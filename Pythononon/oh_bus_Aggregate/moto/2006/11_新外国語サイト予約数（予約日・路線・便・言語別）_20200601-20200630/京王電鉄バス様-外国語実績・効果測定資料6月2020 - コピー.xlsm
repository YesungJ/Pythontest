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filterPrivacy="1" codeName="ThisWorkbook" defaultThemeVersion="124226"/>
  <bookViews>
    <workbookView xWindow="41490" yWindow="12885" windowWidth="26535" windowHeight="12915" tabRatio="703" activeTab="1"/>
  </bookViews>
  <sheets>
    <sheet name="対前年実績・増加率" sheetId="5" r:id="rId1"/>
    <sheet name="効果測定2012年度-2016年度月別比較" sheetId="6" r:id="rId2"/>
    <sheet name="外国語実績201201-201712" sheetId="2" r:id="rId3"/>
    <sheet name="集計用" sheetId="3" r:id="rId4"/>
    <sheet name="取込済" sheetId="391" r:id="rId5"/>
    <sheet name="未設定" sheetId="264" r:id="rId6"/>
  </sheets>
  <functionGroups builtInGroupCount="18"/>
  <definedNames>
    <definedName name="_xlnm._FilterDatabase" localSheetId="2" hidden="1">'外国語実績201201-201712'!$A$2608:$P$2634</definedName>
    <definedName name="_xlnm.Print_Area" localSheetId="2">'外国語実績201201-201712'!$A$1:$P$2642</definedName>
    <definedName name="_xlnm.Print_Area" localSheetId="1">'効果測定2012年度-2016年度月別比較'!$A$1:$BO$165</definedName>
    <definedName name="_xlnm.Print_Area" localSheetId="0">対前年実績・増加率!$A$6:$N$330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67" i="6" l="1"/>
  <c r="AJ167" i="6"/>
  <c r="B18" i="3" l="1"/>
  <c r="R18" i="3" s="1"/>
  <c r="M20" i="3"/>
  <c r="AC20" i="3"/>
  <c r="M21" i="3"/>
  <c r="AC21" i="3"/>
  <c r="M22" i="3"/>
  <c r="AC22" i="3"/>
  <c r="M23" i="3"/>
  <c r="AC23" i="3"/>
  <c r="M24" i="3"/>
  <c r="AC24" i="3"/>
  <c r="M25" i="3"/>
  <c r="AC25" i="3"/>
  <c r="M26" i="3"/>
  <c r="AC26" i="3"/>
  <c r="C27" i="3"/>
  <c r="E27" i="3"/>
  <c r="G27" i="3"/>
  <c r="I27" i="3"/>
  <c r="K27" i="3"/>
  <c r="S27" i="3"/>
  <c r="U27" i="3"/>
  <c r="W27" i="3"/>
  <c r="Y27" i="3"/>
  <c r="AA27" i="3"/>
  <c r="M28" i="3"/>
  <c r="AC28" i="3"/>
  <c r="B30" i="3"/>
  <c r="M32" i="3"/>
  <c r="AC32" i="3"/>
  <c r="M33" i="3"/>
  <c r="N33" i="3" s="1"/>
  <c r="AC33" i="3"/>
  <c r="AD33" i="3" s="1"/>
  <c r="M34" i="3"/>
  <c r="N34" i="3"/>
  <c r="AC34" i="3"/>
  <c r="AD34" i="3"/>
  <c r="M35" i="3"/>
  <c r="N35" i="3" s="1"/>
  <c r="AC35" i="3"/>
  <c r="M36" i="3"/>
  <c r="N36" i="3" s="1"/>
  <c r="AC36" i="3"/>
  <c r="AD36" i="3" s="1"/>
  <c r="M37" i="3"/>
  <c r="AC37" i="3"/>
  <c r="M38" i="3"/>
  <c r="AC38" i="3"/>
  <c r="M39" i="3"/>
  <c r="AC39" i="3"/>
  <c r="M40" i="3"/>
  <c r="AC40" i="3"/>
  <c r="M41" i="3"/>
  <c r="AC41" i="3"/>
  <c r="M42" i="3"/>
  <c r="AC42" i="3"/>
  <c r="M43" i="3"/>
  <c r="AC43" i="3"/>
  <c r="M44" i="3"/>
  <c r="AC44" i="3"/>
  <c r="M45" i="3"/>
  <c r="AC45" i="3"/>
  <c r="M46" i="3"/>
  <c r="AC46" i="3"/>
  <c r="M47" i="3"/>
  <c r="AC47" i="3"/>
  <c r="M48" i="3"/>
  <c r="AC48" i="3"/>
  <c r="M49" i="3"/>
  <c r="AC49" i="3"/>
  <c r="M50" i="3"/>
  <c r="AC50" i="3"/>
  <c r="M51" i="3"/>
  <c r="AC51" i="3"/>
  <c r="AD51" i="3" s="1"/>
  <c r="M52" i="3"/>
  <c r="AC52" i="3"/>
  <c r="AD52" i="3" s="1"/>
  <c r="M53" i="3"/>
  <c r="AC53" i="3"/>
  <c r="AD53" i="3" s="1"/>
  <c r="M54" i="3"/>
  <c r="N54" i="3"/>
  <c r="AC54" i="3"/>
  <c r="AD54" i="3"/>
  <c r="M55" i="3"/>
  <c r="N55" i="3" s="1"/>
  <c r="AC55" i="3"/>
  <c r="AD55" i="3" s="1"/>
  <c r="M56" i="3"/>
  <c r="N56" i="3" s="1"/>
  <c r="AC56" i="3"/>
  <c r="AD56" i="3" s="1"/>
  <c r="M57" i="3"/>
  <c r="N57" i="3" s="1"/>
  <c r="AC57" i="3"/>
  <c r="AD57" i="3" s="1"/>
  <c r="M58" i="3"/>
  <c r="N58" i="3" s="1"/>
  <c r="AC58" i="3"/>
  <c r="AD58" i="3" s="1"/>
  <c r="M59" i="3"/>
  <c r="N59" i="3" s="1"/>
  <c r="AC59" i="3"/>
  <c r="AD59" i="3" s="1"/>
  <c r="M60" i="3"/>
  <c r="N60" i="3"/>
  <c r="AC60" i="3"/>
  <c r="AD60" i="3"/>
  <c r="M61" i="3"/>
  <c r="N61" i="3" s="1"/>
  <c r="AC61" i="3"/>
  <c r="AD61" i="3" s="1"/>
  <c r="M62" i="3"/>
  <c r="N62" i="3" s="1"/>
  <c r="AC62" i="3"/>
  <c r="AD62" i="3" s="1"/>
  <c r="M63" i="3"/>
  <c r="N63" i="3"/>
  <c r="AC63" i="3"/>
  <c r="AD63" i="3"/>
  <c r="M64" i="3"/>
  <c r="N64" i="3" s="1"/>
  <c r="AC64" i="3"/>
  <c r="AD64" i="3" s="1"/>
  <c r="M65" i="3"/>
  <c r="N65" i="3"/>
  <c r="AC65" i="3"/>
  <c r="AD65" i="3"/>
  <c r="M66" i="3"/>
  <c r="N66" i="3" s="1"/>
  <c r="AC66" i="3"/>
  <c r="AD66" i="3" s="1"/>
  <c r="M67" i="3"/>
  <c r="N67" i="3"/>
  <c r="AC67" i="3"/>
  <c r="AD67" i="3"/>
  <c r="M68" i="3"/>
  <c r="N68" i="3" s="1"/>
  <c r="AC68" i="3"/>
  <c r="AD68" i="3" s="1"/>
  <c r="M69" i="3"/>
  <c r="N69" i="3"/>
  <c r="AC69" i="3"/>
  <c r="AD69" i="3"/>
  <c r="M70" i="3"/>
  <c r="N70" i="3" s="1"/>
  <c r="AC70" i="3"/>
  <c r="M71" i="3"/>
  <c r="AC71" i="3"/>
  <c r="M72" i="3"/>
  <c r="AC72" i="3"/>
  <c r="M73" i="3"/>
  <c r="AC73" i="3"/>
  <c r="M74" i="3"/>
  <c r="AC74" i="3"/>
  <c r="M75" i="3"/>
  <c r="AC75" i="3"/>
  <c r="M76" i="3"/>
  <c r="AC76" i="3"/>
  <c r="M77" i="3"/>
  <c r="AC77" i="3"/>
  <c r="M78" i="3"/>
  <c r="AC78" i="3"/>
  <c r="M79" i="3"/>
  <c r="AC79" i="3"/>
  <c r="M80" i="3"/>
  <c r="AC80" i="3"/>
  <c r="M81" i="3"/>
  <c r="AC81" i="3"/>
  <c r="M82" i="3"/>
  <c r="AC82" i="3"/>
  <c r="M83" i="3"/>
  <c r="AC83" i="3"/>
  <c r="M84" i="3"/>
  <c r="AC84" i="3"/>
  <c r="M85" i="3"/>
  <c r="AC85" i="3"/>
  <c r="M86" i="3"/>
  <c r="AC86" i="3"/>
  <c r="M87" i="3"/>
  <c r="AC87" i="3"/>
  <c r="M88" i="3"/>
  <c r="AC88" i="3"/>
  <c r="AD88" i="3" s="1"/>
  <c r="M89" i="3"/>
  <c r="N89" i="3" s="1"/>
  <c r="AC89" i="3"/>
  <c r="AD89" i="3" s="1"/>
  <c r="M90" i="3"/>
  <c r="N90" i="3" s="1"/>
  <c r="AC90" i="3"/>
  <c r="AD90" i="3" s="1"/>
  <c r="M91" i="3"/>
  <c r="N91" i="3" s="1"/>
  <c r="AC91" i="3"/>
  <c r="AD91" i="3" s="1"/>
  <c r="M92" i="3"/>
  <c r="N92" i="3" s="1"/>
  <c r="AC92" i="3"/>
  <c r="AD92" i="3" s="1"/>
  <c r="M93" i="3"/>
  <c r="N93" i="3" s="1"/>
  <c r="AC93" i="3"/>
  <c r="AD93" i="3" s="1"/>
  <c r="M94" i="3"/>
  <c r="N94" i="3" s="1"/>
  <c r="AC94" i="3"/>
  <c r="AD94" i="3" s="1"/>
  <c r="M95" i="3"/>
  <c r="N95" i="3" s="1"/>
  <c r="AC95" i="3"/>
  <c r="AD95" i="3" s="1"/>
  <c r="M96" i="3"/>
  <c r="N96" i="3" s="1"/>
  <c r="AC96" i="3"/>
  <c r="AD96" i="3" s="1"/>
  <c r="M97" i="3"/>
  <c r="N97" i="3" s="1"/>
  <c r="AC97" i="3"/>
  <c r="AD97" i="3" s="1"/>
  <c r="M98" i="3"/>
  <c r="N98" i="3" s="1"/>
  <c r="AC98" i="3"/>
  <c r="AD98" i="3" s="1"/>
  <c r="M99" i="3"/>
  <c r="N99" i="3" s="1"/>
  <c r="AC99" i="3"/>
  <c r="AD99" i="3" s="1"/>
  <c r="M100" i="3"/>
  <c r="N100" i="3" s="1"/>
  <c r="AC100" i="3"/>
  <c r="AD100" i="3" s="1"/>
  <c r="M101" i="3"/>
  <c r="N101" i="3" s="1"/>
  <c r="AC101" i="3"/>
  <c r="AD101" i="3" s="1"/>
  <c r="M102" i="3"/>
  <c r="N102" i="3" s="1"/>
  <c r="AC102" i="3"/>
  <c r="AD102" i="3" s="1"/>
  <c r="M103" i="3"/>
  <c r="N103" i="3"/>
  <c r="AC103" i="3"/>
  <c r="AD103" i="3"/>
  <c r="M104" i="3"/>
  <c r="N104" i="3" s="1"/>
  <c r="AC104" i="3"/>
  <c r="AD104" i="3" s="1"/>
  <c r="M105" i="3"/>
  <c r="N105" i="3" s="1"/>
  <c r="AC105" i="3"/>
  <c r="AD105" i="3" s="1"/>
  <c r="M106" i="3"/>
  <c r="N106" i="3" s="1"/>
  <c r="AC106" i="3"/>
  <c r="AD106" i="3" s="1"/>
  <c r="M107" i="3"/>
  <c r="N107" i="3" s="1"/>
  <c r="AC107" i="3"/>
  <c r="AD107" i="3" s="1"/>
  <c r="M108" i="3"/>
  <c r="N108" i="3" s="1"/>
  <c r="AC108" i="3"/>
  <c r="AD108" i="3" s="1"/>
  <c r="M109" i="3"/>
  <c r="N109" i="3" s="1"/>
  <c r="AC109" i="3"/>
  <c r="AD109" i="3" s="1"/>
  <c r="M110" i="3"/>
  <c r="N110" i="3" s="1"/>
  <c r="AC110" i="3"/>
  <c r="AD110" i="3" s="1"/>
  <c r="M111" i="3"/>
  <c r="N111" i="3" s="1"/>
  <c r="AC111" i="3"/>
  <c r="AD111" i="3" s="1"/>
  <c r="M112" i="3"/>
  <c r="N112" i="3" s="1"/>
  <c r="AC112" i="3"/>
  <c r="AD112" i="3" s="1"/>
  <c r="M113" i="3"/>
  <c r="N113" i="3" s="1"/>
  <c r="AC113" i="3"/>
  <c r="AD113" i="3" s="1"/>
  <c r="M114" i="3"/>
  <c r="N114" i="3" s="1"/>
  <c r="AC114" i="3"/>
  <c r="AD114" i="3" s="1"/>
  <c r="M115" i="3"/>
  <c r="N115" i="3" s="1"/>
  <c r="AC115" i="3"/>
  <c r="AD115" i="3" s="1"/>
  <c r="M116" i="3"/>
  <c r="N116" i="3" s="1"/>
  <c r="AC116" i="3"/>
  <c r="AD116" i="3" s="1"/>
  <c r="M117" i="3"/>
  <c r="N117" i="3" s="1"/>
  <c r="AC117" i="3"/>
  <c r="AD117" i="3" s="1"/>
  <c r="M118" i="3"/>
  <c r="N118" i="3" s="1"/>
  <c r="AC118" i="3"/>
  <c r="AD118" i="3" s="1"/>
  <c r="C119" i="3"/>
  <c r="E119" i="3"/>
  <c r="E122" i="3" s="1"/>
  <c r="G119" i="3"/>
  <c r="G122" i="3" s="1"/>
  <c r="I119" i="3"/>
  <c r="I122" i="3" s="1"/>
  <c r="J105" i="3" s="1"/>
  <c r="K119" i="3"/>
  <c r="K122" i="3" s="1"/>
  <c r="S119" i="3"/>
  <c r="S122" i="3" s="1"/>
  <c r="U119" i="3"/>
  <c r="U122" i="3" s="1"/>
  <c r="V60" i="3" s="1"/>
  <c r="W119" i="3"/>
  <c r="Y119" i="3"/>
  <c r="Y122" i="3" s="1"/>
  <c r="AA119" i="3"/>
  <c r="AA122" i="3" s="1"/>
  <c r="M120" i="3"/>
  <c r="AC120" i="3"/>
  <c r="L2627" i="2"/>
  <c r="K2627" i="2"/>
  <c r="J2627" i="2"/>
  <c r="I2627" i="2"/>
  <c r="H2627" i="2"/>
  <c r="G2627" i="2"/>
  <c r="F2627" i="2"/>
  <c r="E2627" i="2"/>
  <c r="D2627" i="2"/>
  <c r="C2627" i="2"/>
  <c r="W122" i="3" l="1"/>
  <c r="X106" i="3" s="1"/>
  <c r="AD35" i="3"/>
  <c r="AD32" i="3"/>
  <c r="AC119" i="3"/>
  <c r="L70" i="3"/>
  <c r="L65" i="3"/>
  <c r="L102" i="3"/>
  <c r="L66" i="3"/>
  <c r="L67" i="3"/>
  <c r="L68" i="3"/>
  <c r="L69" i="3"/>
  <c r="N32" i="3"/>
  <c r="C122" i="3"/>
  <c r="D53" i="3" s="1"/>
  <c r="V62" i="3"/>
  <c r="AC27" i="3"/>
  <c r="L122" i="3"/>
  <c r="R30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32" i="3"/>
  <c r="Z34" i="3"/>
  <c r="Z36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37" i="3"/>
  <c r="Z33" i="3"/>
  <c r="Z35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51" i="3"/>
  <c r="Z5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AD82" i="3"/>
  <c r="AD78" i="3"/>
  <c r="AD74" i="3"/>
  <c r="F32" i="3"/>
  <c r="F33" i="3"/>
  <c r="F34" i="3"/>
  <c r="F35" i="3"/>
  <c r="F36" i="3"/>
  <c r="F37" i="3"/>
  <c r="F52" i="3"/>
  <c r="F53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4" i="3"/>
  <c r="F55" i="3"/>
  <c r="F56" i="3"/>
  <c r="F57" i="3"/>
  <c r="F58" i="3"/>
  <c r="F59" i="3"/>
  <c r="F60" i="3"/>
  <c r="F65" i="3"/>
  <c r="F66" i="3"/>
  <c r="F67" i="3"/>
  <c r="F68" i="3"/>
  <c r="F69" i="3"/>
  <c r="F70" i="3"/>
  <c r="F62" i="3"/>
  <c r="F64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61" i="3"/>
  <c r="F63" i="3"/>
  <c r="M119" i="3"/>
  <c r="V118" i="3"/>
  <c r="J118" i="3"/>
  <c r="V117" i="3"/>
  <c r="J117" i="3"/>
  <c r="V116" i="3"/>
  <c r="J116" i="3"/>
  <c r="V115" i="3"/>
  <c r="J115" i="3"/>
  <c r="V114" i="3"/>
  <c r="J114" i="3"/>
  <c r="V113" i="3"/>
  <c r="J113" i="3"/>
  <c r="V112" i="3"/>
  <c r="J112" i="3"/>
  <c r="V111" i="3"/>
  <c r="J111" i="3"/>
  <c r="V110" i="3"/>
  <c r="J110" i="3"/>
  <c r="V109" i="3"/>
  <c r="J109" i="3"/>
  <c r="V108" i="3"/>
  <c r="J108" i="3"/>
  <c r="V107" i="3"/>
  <c r="J107" i="3"/>
  <c r="V106" i="3"/>
  <c r="J106" i="3"/>
  <c r="V105" i="3"/>
  <c r="N88" i="3"/>
  <c r="N86" i="3"/>
  <c r="N84" i="3"/>
  <c r="N82" i="3"/>
  <c r="N80" i="3"/>
  <c r="N78" i="3"/>
  <c r="N76" i="3"/>
  <c r="N74" i="3"/>
  <c r="N72" i="3"/>
  <c r="V69" i="3"/>
  <c r="V67" i="3"/>
  <c r="V65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33" i="3"/>
  <c r="H35" i="3"/>
  <c r="H37" i="3"/>
  <c r="H32" i="3"/>
  <c r="H34" i="3"/>
  <c r="H36" i="3"/>
  <c r="H54" i="3"/>
  <c r="H56" i="3"/>
  <c r="H58" i="3"/>
  <c r="H60" i="3"/>
  <c r="H61" i="3"/>
  <c r="H62" i="3"/>
  <c r="H63" i="3"/>
  <c r="H64" i="3"/>
  <c r="H55" i="3"/>
  <c r="H59" i="3"/>
  <c r="H57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AD84" i="3"/>
  <c r="AD80" i="3"/>
  <c r="AD76" i="3"/>
  <c r="AD70" i="3"/>
  <c r="V37" i="3"/>
  <c r="V32" i="3"/>
  <c r="V33" i="3"/>
  <c r="V34" i="3"/>
  <c r="V35" i="3"/>
  <c r="V36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1" i="3"/>
  <c r="V63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3" i="3"/>
  <c r="V104" i="3"/>
  <c r="V70" i="3"/>
  <c r="AB32" i="3"/>
  <c r="AB119" i="3" s="1"/>
  <c r="AB33" i="3"/>
  <c r="AB34" i="3"/>
  <c r="AB35" i="3"/>
  <c r="AB36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02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V102" i="3"/>
  <c r="AD87" i="3"/>
  <c r="AD85" i="3"/>
  <c r="AD83" i="3"/>
  <c r="AD81" i="3"/>
  <c r="AD79" i="3"/>
  <c r="AD77" i="3"/>
  <c r="AD75" i="3"/>
  <c r="AD73" i="3"/>
  <c r="AD7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70" i="3"/>
  <c r="T65" i="3"/>
  <c r="T66" i="3"/>
  <c r="T67" i="3"/>
  <c r="T68" i="3"/>
  <c r="T69" i="3"/>
  <c r="T102" i="3"/>
  <c r="AD86" i="3"/>
  <c r="AD72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33" i="3"/>
  <c r="J35" i="3"/>
  <c r="J37" i="3"/>
  <c r="J52" i="3"/>
  <c r="J53" i="3"/>
  <c r="J36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34" i="3"/>
  <c r="J32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J104" i="3"/>
  <c r="J103" i="3"/>
  <c r="N87" i="3"/>
  <c r="N85" i="3"/>
  <c r="N83" i="3"/>
  <c r="N81" i="3"/>
  <c r="N79" i="3"/>
  <c r="N77" i="3"/>
  <c r="N75" i="3"/>
  <c r="N73" i="3"/>
  <c r="N71" i="3"/>
  <c r="V68" i="3"/>
  <c r="V66" i="3"/>
  <c r="V64" i="3"/>
  <c r="AD50" i="3"/>
  <c r="AD48" i="3"/>
  <c r="AD46" i="3"/>
  <c r="AD44" i="3"/>
  <c r="AD42" i="3"/>
  <c r="AD40" i="3"/>
  <c r="AD38" i="3"/>
  <c r="L32" i="3"/>
  <c r="L119" i="3" s="1"/>
  <c r="L33" i="3"/>
  <c r="L34" i="3"/>
  <c r="L35" i="3"/>
  <c r="L36" i="3"/>
  <c r="L37" i="3"/>
  <c r="L54" i="3"/>
  <c r="L55" i="3"/>
  <c r="L56" i="3"/>
  <c r="L57" i="3"/>
  <c r="L58" i="3"/>
  <c r="L59" i="3"/>
  <c r="L60" i="3"/>
  <c r="L61" i="3"/>
  <c r="L62" i="3"/>
  <c r="L63" i="3"/>
  <c r="L64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D32" i="3"/>
  <c r="D35" i="3"/>
  <c r="D36" i="3"/>
  <c r="D38" i="3"/>
  <c r="D40" i="3"/>
  <c r="D42" i="3"/>
  <c r="D43" i="3"/>
  <c r="D46" i="3"/>
  <c r="D47" i="3"/>
  <c r="D48" i="3"/>
  <c r="D51" i="3"/>
  <c r="D54" i="3"/>
  <c r="D56" i="3"/>
  <c r="D58" i="3"/>
  <c r="D60" i="3"/>
  <c r="D61" i="3"/>
  <c r="D64" i="3"/>
  <c r="D65" i="3"/>
  <c r="D66" i="3"/>
  <c r="D69" i="3"/>
  <c r="D70" i="3"/>
  <c r="D72" i="3"/>
  <c r="D74" i="3"/>
  <c r="D76" i="3"/>
  <c r="D77" i="3"/>
  <c r="D80" i="3"/>
  <c r="D81" i="3"/>
  <c r="D82" i="3"/>
  <c r="D85" i="3"/>
  <c r="D86" i="3"/>
  <c r="D88" i="3"/>
  <c r="D90" i="3"/>
  <c r="D92" i="3"/>
  <c r="D93" i="3"/>
  <c r="D96" i="3"/>
  <c r="D97" i="3"/>
  <c r="D98" i="3"/>
  <c r="D101" i="3"/>
  <c r="D102" i="3"/>
  <c r="L118" i="3"/>
  <c r="L117" i="3"/>
  <c r="D117" i="3"/>
  <c r="L116" i="3"/>
  <c r="L115" i="3"/>
  <c r="D115" i="3"/>
  <c r="L114" i="3"/>
  <c r="L113" i="3"/>
  <c r="D113" i="3"/>
  <c r="L112" i="3"/>
  <c r="L111" i="3"/>
  <c r="D111" i="3"/>
  <c r="L110" i="3"/>
  <c r="L109" i="3"/>
  <c r="D109" i="3"/>
  <c r="L108" i="3"/>
  <c r="L107" i="3"/>
  <c r="D107" i="3"/>
  <c r="L106" i="3"/>
  <c r="L105" i="3"/>
  <c r="D105" i="3"/>
  <c r="L104" i="3"/>
  <c r="L103" i="3"/>
  <c r="D103" i="3"/>
  <c r="N50" i="3"/>
  <c r="N48" i="3"/>
  <c r="N46" i="3"/>
  <c r="N44" i="3"/>
  <c r="N42" i="3"/>
  <c r="N40" i="3"/>
  <c r="N38" i="3"/>
  <c r="AD49" i="3"/>
  <c r="AD47" i="3"/>
  <c r="AD45" i="3"/>
  <c r="AD43" i="3"/>
  <c r="AD41" i="3"/>
  <c r="AD39" i="3"/>
  <c r="N53" i="3"/>
  <c r="N52" i="3"/>
  <c r="N51" i="3"/>
  <c r="N49" i="3"/>
  <c r="N47" i="3"/>
  <c r="N45" i="3"/>
  <c r="N43" i="3"/>
  <c r="N41" i="3"/>
  <c r="N39" i="3"/>
  <c r="M27" i="3"/>
  <c r="L2598" i="2"/>
  <c r="K2598" i="2"/>
  <c r="J2598" i="2"/>
  <c r="I2598" i="2"/>
  <c r="H2598" i="2"/>
  <c r="G2598" i="2"/>
  <c r="F2598" i="2"/>
  <c r="E2598" i="2"/>
  <c r="D2598" i="2"/>
  <c r="C2598" i="2"/>
  <c r="L2569" i="2"/>
  <c r="K2569" i="2"/>
  <c r="J2569" i="2"/>
  <c r="I2569" i="2"/>
  <c r="H2569" i="2"/>
  <c r="G2569" i="2"/>
  <c r="F2569" i="2"/>
  <c r="E2569" i="2"/>
  <c r="D2569" i="2"/>
  <c r="C2569" i="2"/>
  <c r="L2541" i="2"/>
  <c r="K2541" i="2"/>
  <c r="J2541" i="2"/>
  <c r="I2541" i="2"/>
  <c r="H2541" i="2"/>
  <c r="G2541" i="2"/>
  <c r="F2541" i="2"/>
  <c r="E2541" i="2"/>
  <c r="D2541" i="2"/>
  <c r="C2541" i="2"/>
  <c r="L2513" i="2"/>
  <c r="K2513" i="2"/>
  <c r="J2513" i="2"/>
  <c r="I2513" i="2"/>
  <c r="H2513" i="2"/>
  <c r="G2513" i="2"/>
  <c r="F2513" i="2"/>
  <c r="E2513" i="2"/>
  <c r="D2513" i="2"/>
  <c r="C2513" i="2"/>
  <c r="L2482" i="2"/>
  <c r="K2482" i="2"/>
  <c r="J2482" i="2"/>
  <c r="I2482" i="2"/>
  <c r="H2482" i="2"/>
  <c r="G2482" i="2"/>
  <c r="F2482" i="2"/>
  <c r="E2482" i="2"/>
  <c r="D2482" i="2"/>
  <c r="C2482" i="2"/>
  <c r="L2454" i="2"/>
  <c r="K2454" i="2"/>
  <c r="J2454" i="2"/>
  <c r="I2454" i="2"/>
  <c r="H2454" i="2"/>
  <c r="G2454" i="2"/>
  <c r="F2454" i="2"/>
  <c r="E2454" i="2"/>
  <c r="D2454" i="2"/>
  <c r="C2454" i="2"/>
  <c r="L2426" i="2"/>
  <c r="K2426" i="2"/>
  <c r="J2426" i="2"/>
  <c r="I2426" i="2"/>
  <c r="H2426" i="2"/>
  <c r="G2426" i="2"/>
  <c r="F2426" i="2"/>
  <c r="E2426" i="2"/>
  <c r="D2426" i="2"/>
  <c r="C2426" i="2"/>
  <c r="L2398" i="2"/>
  <c r="K2398" i="2"/>
  <c r="J2398" i="2"/>
  <c r="I2398" i="2"/>
  <c r="H2398" i="2"/>
  <c r="G2398" i="2"/>
  <c r="F2398" i="2"/>
  <c r="E2398" i="2"/>
  <c r="D2398" i="2"/>
  <c r="C2398" i="2"/>
  <c r="L2370" i="2"/>
  <c r="K2370" i="2"/>
  <c r="J2370" i="2"/>
  <c r="I2370" i="2"/>
  <c r="H2370" i="2"/>
  <c r="G2370" i="2"/>
  <c r="F2370" i="2"/>
  <c r="E2370" i="2"/>
  <c r="D2370" i="2"/>
  <c r="C2370" i="2"/>
  <c r="L2342" i="2"/>
  <c r="K2342" i="2"/>
  <c r="J2342" i="2"/>
  <c r="I2342" i="2"/>
  <c r="H2342" i="2"/>
  <c r="G2342" i="2"/>
  <c r="F2342" i="2"/>
  <c r="E2342" i="2"/>
  <c r="D2342" i="2"/>
  <c r="C2342" i="2"/>
  <c r="L2307" i="2"/>
  <c r="K2307" i="2"/>
  <c r="J2307" i="2"/>
  <c r="I2307" i="2"/>
  <c r="H2307" i="2"/>
  <c r="G2307" i="2"/>
  <c r="F2307" i="2"/>
  <c r="E2307" i="2"/>
  <c r="D2307" i="2"/>
  <c r="C2307" i="2"/>
  <c r="L2279" i="2"/>
  <c r="K2279" i="2"/>
  <c r="J2279" i="2"/>
  <c r="I2279" i="2"/>
  <c r="H2279" i="2"/>
  <c r="G2279" i="2"/>
  <c r="F2279" i="2"/>
  <c r="E2279" i="2"/>
  <c r="D2279" i="2"/>
  <c r="C2279" i="2"/>
  <c r="L2250" i="2"/>
  <c r="K2250" i="2"/>
  <c r="J2250" i="2"/>
  <c r="I2250" i="2"/>
  <c r="H2250" i="2"/>
  <c r="G2250" i="2"/>
  <c r="F2250" i="2"/>
  <c r="E2250" i="2"/>
  <c r="D2250" i="2"/>
  <c r="C2250" i="2"/>
  <c r="L2208" i="2"/>
  <c r="K2208" i="2"/>
  <c r="J2208" i="2"/>
  <c r="I2208" i="2"/>
  <c r="H2208" i="2"/>
  <c r="G2208" i="2"/>
  <c r="F2208" i="2"/>
  <c r="E2208" i="2"/>
  <c r="D2208" i="2"/>
  <c r="C2208" i="2"/>
  <c r="L2155" i="2"/>
  <c r="K2155" i="2"/>
  <c r="J2155" i="2"/>
  <c r="I2155" i="2"/>
  <c r="H2155" i="2"/>
  <c r="G2155" i="2"/>
  <c r="F2155" i="2"/>
  <c r="E2155" i="2"/>
  <c r="D2155" i="2"/>
  <c r="C2155" i="2"/>
  <c r="L2115" i="2"/>
  <c r="K2115" i="2"/>
  <c r="J2115" i="2"/>
  <c r="I2115" i="2"/>
  <c r="H2115" i="2"/>
  <c r="G2115" i="2"/>
  <c r="F2115" i="2"/>
  <c r="E2115" i="2"/>
  <c r="D2115" i="2"/>
  <c r="C2115" i="2"/>
  <c r="L2075" i="2"/>
  <c r="K2075" i="2"/>
  <c r="J2075" i="2"/>
  <c r="I2075" i="2"/>
  <c r="H2075" i="2"/>
  <c r="G2075" i="2"/>
  <c r="F2075" i="2"/>
  <c r="E2075" i="2"/>
  <c r="D2075" i="2"/>
  <c r="C2075" i="2"/>
  <c r="L2035" i="2"/>
  <c r="K2035" i="2"/>
  <c r="J2035" i="2"/>
  <c r="I2035" i="2"/>
  <c r="H2035" i="2"/>
  <c r="G2035" i="2"/>
  <c r="F2035" i="2"/>
  <c r="E2035" i="2"/>
  <c r="D2035" i="2"/>
  <c r="C2035" i="2"/>
  <c r="L1995" i="2"/>
  <c r="K1995" i="2"/>
  <c r="J1995" i="2"/>
  <c r="I1995" i="2"/>
  <c r="H1995" i="2"/>
  <c r="G1995" i="2"/>
  <c r="F1995" i="2"/>
  <c r="E1995" i="2"/>
  <c r="D1995" i="2"/>
  <c r="C1995" i="2"/>
  <c r="L1943" i="2"/>
  <c r="K1943" i="2"/>
  <c r="J1943" i="2"/>
  <c r="I1943" i="2"/>
  <c r="H1943" i="2"/>
  <c r="G1943" i="2"/>
  <c r="F1943" i="2"/>
  <c r="E1943" i="2"/>
  <c r="D1943" i="2"/>
  <c r="C1943" i="2"/>
  <c r="L1903" i="2"/>
  <c r="K1903" i="2"/>
  <c r="J1903" i="2"/>
  <c r="I1903" i="2"/>
  <c r="H1903" i="2"/>
  <c r="G1903" i="2"/>
  <c r="F1903" i="2"/>
  <c r="E1903" i="2"/>
  <c r="D1903" i="2"/>
  <c r="C1903" i="2"/>
  <c r="L1863" i="2"/>
  <c r="K1863" i="2"/>
  <c r="J1863" i="2"/>
  <c r="I1863" i="2"/>
  <c r="H1863" i="2"/>
  <c r="G1863" i="2"/>
  <c r="F1863" i="2"/>
  <c r="E1863" i="2"/>
  <c r="D1863" i="2"/>
  <c r="C1863" i="2"/>
  <c r="L1823" i="2"/>
  <c r="K1823" i="2"/>
  <c r="J1823" i="2"/>
  <c r="I1823" i="2"/>
  <c r="H1823" i="2"/>
  <c r="G1823" i="2"/>
  <c r="F1823" i="2"/>
  <c r="E1823" i="2"/>
  <c r="D1823" i="2"/>
  <c r="C1823" i="2"/>
  <c r="L1783" i="2"/>
  <c r="K1783" i="2"/>
  <c r="J1783" i="2"/>
  <c r="I1783" i="2"/>
  <c r="H1783" i="2"/>
  <c r="G1783" i="2"/>
  <c r="F1783" i="2"/>
  <c r="E1783" i="2"/>
  <c r="D1783" i="2"/>
  <c r="C1783" i="2"/>
  <c r="L1731" i="2"/>
  <c r="K1731" i="2"/>
  <c r="J1731" i="2"/>
  <c r="I1731" i="2"/>
  <c r="H1731" i="2"/>
  <c r="G1731" i="2"/>
  <c r="F1731" i="2"/>
  <c r="E1731" i="2"/>
  <c r="D1731" i="2"/>
  <c r="C1731" i="2"/>
  <c r="L1679" i="2"/>
  <c r="K1679" i="2"/>
  <c r="J1679" i="2"/>
  <c r="I1679" i="2"/>
  <c r="H1679" i="2"/>
  <c r="G1679" i="2"/>
  <c r="F1679" i="2"/>
  <c r="E1679" i="2"/>
  <c r="D1679" i="2"/>
  <c r="C1679" i="2"/>
  <c r="L1627" i="2"/>
  <c r="K1627" i="2"/>
  <c r="J1627" i="2"/>
  <c r="I1627" i="2"/>
  <c r="H1627" i="2"/>
  <c r="G1627" i="2"/>
  <c r="F1627" i="2"/>
  <c r="E1627" i="2"/>
  <c r="D1627" i="2"/>
  <c r="C1627" i="2"/>
  <c r="L1560" i="2"/>
  <c r="K1560" i="2"/>
  <c r="J1560" i="2"/>
  <c r="I1560" i="2"/>
  <c r="H1560" i="2"/>
  <c r="G1560" i="2"/>
  <c r="F1560" i="2"/>
  <c r="E1560" i="2"/>
  <c r="D1560" i="2"/>
  <c r="C1560" i="2"/>
  <c r="L1508" i="2"/>
  <c r="K1508" i="2"/>
  <c r="J1508" i="2"/>
  <c r="I1508" i="2"/>
  <c r="H1508" i="2"/>
  <c r="G1508" i="2"/>
  <c r="F1508" i="2"/>
  <c r="E1508" i="2"/>
  <c r="D1508" i="2"/>
  <c r="C1508" i="2"/>
  <c r="L1456" i="2"/>
  <c r="K1456" i="2"/>
  <c r="J1456" i="2"/>
  <c r="I1456" i="2"/>
  <c r="H1456" i="2"/>
  <c r="G1456" i="2"/>
  <c r="F1456" i="2"/>
  <c r="E1456" i="2"/>
  <c r="D1456" i="2"/>
  <c r="C1456" i="2"/>
  <c r="L1404" i="2"/>
  <c r="K1404" i="2"/>
  <c r="J1404" i="2"/>
  <c r="I1404" i="2"/>
  <c r="H1404" i="2"/>
  <c r="G1404" i="2"/>
  <c r="F1404" i="2"/>
  <c r="E1404" i="2"/>
  <c r="D1404" i="2"/>
  <c r="C1404" i="2"/>
  <c r="L1352" i="2"/>
  <c r="K1352" i="2"/>
  <c r="J1352" i="2"/>
  <c r="I1352" i="2"/>
  <c r="H1352" i="2"/>
  <c r="G1352" i="2"/>
  <c r="F1352" i="2"/>
  <c r="E1352" i="2"/>
  <c r="D1352" i="2"/>
  <c r="C1352" i="2"/>
  <c r="X72" i="3" l="1"/>
  <c r="X66" i="3"/>
  <c r="X96" i="3"/>
  <c r="X88" i="3"/>
  <c r="X44" i="3"/>
  <c r="X80" i="3"/>
  <c r="X97" i="3"/>
  <c r="X81" i="3"/>
  <c r="X57" i="3"/>
  <c r="X43" i="3"/>
  <c r="X56" i="3"/>
  <c r="X89" i="3"/>
  <c r="X73" i="3"/>
  <c r="X35" i="3"/>
  <c r="X65" i="3"/>
  <c r="X55" i="3"/>
  <c r="X37" i="3"/>
  <c r="X101" i="3"/>
  <c r="X93" i="3"/>
  <c r="X85" i="3"/>
  <c r="X77" i="3"/>
  <c r="X58" i="3"/>
  <c r="X70" i="3"/>
  <c r="X62" i="3"/>
  <c r="X49" i="3"/>
  <c r="X38" i="3"/>
  <c r="X100" i="3"/>
  <c r="X92" i="3"/>
  <c r="X84" i="3"/>
  <c r="X76" i="3"/>
  <c r="X54" i="3"/>
  <c r="X69" i="3"/>
  <c r="X61" i="3"/>
  <c r="X48" i="3"/>
  <c r="X109" i="3"/>
  <c r="AB122" i="3"/>
  <c r="X104" i="3"/>
  <c r="X99" i="3"/>
  <c r="X95" i="3"/>
  <c r="X91" i="3"/>
  <c r="X87" i="3"/>
  <c r="X83" i="3"/>
  <c r="X79" i="3"/>
  <c r="X75" i="3"/>
  <c r="X71" i="3"/>
  <c r="X102" i="3"/>
  <c r="X53" i="3"/>
  <c r="X68" i="3"/>
  <c r="X64" i="3"/>
  <c r="X60" i="3"/>
  <c r="X52" i="3"/>
  <c r="X47" i="3"/>
  <c r="X40" i="3"/>
  <c r="X103" i="3"/>
  <c r="X98" i="3"/>
  <c r="X94" i="3"/>
  <c r="X90" i="3"/>
  <c r="X86" i="3"/>
  <c r="X82" i="3"/>
  <c r="X78" i="3"/>
  <c r="X74" i="3"/>
  <c r="X36" i="3"/>
  <c r="X59" i="3"/>
  <c r="X32" i="3"/>
  <c r="X67" i="3"/>
  <c r="X63" i="3"/>
  <c r="X34" i="3"/>
  <c r="X51" i="3"/>
  <c r="X45" i="3"/>
  <c r="X39" i="3"/>
  <c r="X114" i="3"/>
  <c r="X110" i="3"/>
  <c r="X113" i="3"/>
  <c r="X108" i="3"/>
  <c r="X33" i="3"/>
  <c r="X50" i="3"/>
  <c r="X46" i="3"/>
  <c r="X42" i="3"/>
  <c r="X105" i="3"/>
  <c r="X112" i="3"/>
  <c r="X116" i="3"/>
  <c r="X41" i="3"/>
  <c r="X118" i="3"/>
  <c r="X117" i="3"/>
  <c r="X107" i="3"/>
  <c r="X111" i="3"/>
  <c r="X115" i="3"/>
  <c r="AC122" i="3"/>
  <c r="AE78" i="3" s="1"/>
  <c r="D104" i="3"/>
  <c r="D106" i="3"/>
  <c r="D108" i="3"/>
  <c r="D110" i="3"/>
  <c r="D112" i="3"/>
  <c r="D114" i="3"/>
  <c r="D116" i="3"/>
  <c r="D118" i="3"/>
  <c r="D100" i="3"/>
  <c r="D94" i="3"/>
  <c r="D89" i="3"/>
  <c r="D84" i="3"/>
  <c r="D78" i="3"/>
  <c r="D73" i="3"/>
  <c r="D68" i="3"/>
  <c r="D62" i="3"/>
  <c r="D57" i="3"/>
  <c r="D50" i="3"/>
  <c r="D44" i="3"/>
  <c r="D39" i="3"/>
  <c r="D34" i="3"/>
  <c r="D52" i="3"/>
  <c r="D99" i="3"/>
  <c r="D95" i="3"/>
  <c r="D91" i="3"/>
  <c r="D87" i="3"/>
  <c r="D83" i="3"/>
  <c r="D79" i="3"/>
  <c r="D75" i="3"/>
  <c r="D71" i="3"/>
  <c r="D67" i="3"/>
  <c r="D63" i="3"/>
  <c r="D59" i="3"/>
  <c r="D55" i="3"/>
  <c r="D49" i="3"/>
  <c r="D45" i="3"/>
  <c r="D41" i="3"/>
  <c r="D37" i="3"/>
  <c r="D33" i="3"/>
  <c r="H119" i="3"/>
  <c r="F119" i="3"/>
  <c r="N122" i="3"/>
  <c r="AD122" i="3"/>
  <c r="M122" i="3"/>
  <c r="J119" i="3"/>
  <c r="T119" i="3"/>
  <c r="V119" i="3"/>
  <c r="Z119" i="3"/>
  <c r="L1300" i="2"/>
  <c r="L124" i="5" s="1"/>
  <c r="K1300" i="2"/>
  <c r="J1300" i="2"/>
  <c r="I1300" i="2"/>
  <c r="I124" i="5" s="1"/>
  <c r="H1300" i="2"/>
  <c r="H124" i="5" s="1"/>
  <c r="H125" i="5" s="1"/>
  <c r="G1300" i="2"/>
  <c r="F1300" i="2"/>
  <c r="E1300" i="2"/>
  <c r="E124" i="5" s="1"/>
  <c r="D1300" i="2"/>
  <c r="C1300" i="2"/>
  <c r="L1233" i="2"/>
  <c r="K1233" i="2"/>
  <c r="J1233" i="2"/>
  <c r="J118" i="5" s="1"/>
  <c r="J119" i="5" s="1"/>
  <c r="I1233" i="2"/>
  <c r="H1233" i="2"/>
  <c r="H118" i="5" s="1"/>
  <c r="H119" i="5" s="1"/>
  <c r="G1233" i="2"/>
  <c r="F1233" i="2"/>
  <c r="F118" i="5" s="1"/>
  <c r="F119" i="5" s="1"/>
  <c r="E1233" i="2"/>
  <c r="D1233" i="2"/>
  <c r="C1233" i="2"/>
  <c r="L1181" i="2"/>
  <c r="L112" i="5" s="1"/>
  <c r="L113" i="5" s="1"/>
  <c r="K1181" i="2"/>
  <c r="J1181" i="2"/>
  <c r="I1181" i="2"/>
  <c r="H1181" i="2"/>
  <c r="H112" i="5" s="1"/>
  <c r="H113" i="5" s="1"/>
  <c r="G1181" i="2"/>
  <c r="F1181" i="2"/>
  <c r="E1181" i="2"/>
  <c r="D1181" i="2"/>
  <c r="D112" i="5" s="1"/>
  <c r="C1181" i="2"/>
  <c r="L1129" i="2"/>
  <c r="K1129" i="2"/>
  <c r="K106" i="5" s="1"/>
  <c r="J1129" i="2"/>
  <c r="J106" i="5" s="1"/>
  <c r="J107" i="5" s="1"/>
  <c r="I1129" i="2"/>
  <c r="I106" i="5" s="1"/>
  <c r="I107" i="5" s="1"/>
  <c r="H1129" i="2"/>
  <c r="G1129" i="2"/>
  <c r="G106" i="5" s="1"/>
  <c r="F1129" i="2"/>
  <c r="F106" i="5" s="1"/>
  <c r="E1129" i="2"/>
  <c r="E106" i="5" s="1"/>
  <c r="E107" i="5" s="1"/>
  <c r="D1129" i="2"/>
  <c r="C1129" i="2"/>
  <c r="C106" i="5" s="1"/>
  <c r="M106" i="5" s="1"/>
  <c r="L1077" i="2"/>
  <c r="L100" i="5" s="1"/>
  <c r="L101" i="5" s="1"/>
  <c r="K1077" i="2"/>
  <c r="J1077" i="2"/>
  <c r="I1077" i="2"/>
  <c r="H1077" i="2"/>
  <c r="H100" i="5" s="1"/>
  <c r="H101" i="5" s="1"/>
  <c r="G1077" i="2"/>
  <c r="F1077" i="2"/>
  <c r="E1077" i="2"/>
  <c r="D1077" i="2"/>
  <c r="D100" i="5" s="1"/>
  <c r="D101" i="5" s="1"/>
  <c r="C1077" i="2"/>
  <c r="L1025" i="2"/>
  <c r="K1025" i="2"/>
  <c r="K94" i="5" s="1"/>
  <c r="J1025" i="2"/>
  <c r="J94" i="5" s="1"/>
  <c r="J95" i="5" s="1"/>
  <c r="I1025" i="2"/>
  <c r="I94" i="5" s="1"/>
  <c r="I95" i="5" s="1"/>
  <c r="H1025" i="2"/>
  <c r="G1025" i="2"/>
  <c r="G94" i="5" s="1"/>
  <c r="F1025" i="2"/>
  <c r="F94" i="5" s="1"/>
  <c r="F95" i="5" s="1"/>
  <c r="E1025" i="2"/>
  <c r="E94" i="5" s="1"/>
  <c r="E95" i="5" s="1"/>
  <c r="D1025" i="2"/>
  <c r="C1025" i="2"/>
  <c r="C94" i="5" s="1"/>
  <c r="L973" i="2"/>
  <c r="L88" i="5" s="1"/>
  <c r="L89" i="5" s="1"/>
  <c r="K973" i="2"/>
  <c r="J973" i="2"/>
  <c r="I973" i="2"/>
  <c r="I88" i="5" s="1"/>
  <c r="H973" i="2"/>
  <c r="H88" i="5" s="1"/>
  <c r="H89" i="5" s="1"/>
  <c r="G973" i="2"/>
  <c r="F973" i="2"/>
  <c r="E973" i="2"/>
  <c r="E88" i="5" s="1"/>
  <c r="D973" i="2"/>
  <c r="D88" i="5" s="1"/>
  <c r="D89" i="5" s="1"/>
  <c r="C973" i="2"/>
  <c r="L914" i="2"/>
  <c r="L82" i="5" s="1"/>
  <c r="L83" i="5" s="1"/>
  <c r="K914" i="2"/>
  <c r="J914" i="2"/>
  <c r="J82" i="5" s="1"/>
  <c r="J83" i="5" s="1"/>
  <c r="I914" i="2"/>
  <c r="I82" i="5" s="1"/>
  <c r="I83" i="5" s="1"/>
  <c r="H914" i="2"/>
  <c r="G914" i="2"/>
  <c r="F914" i="2"/>
  <c r="F82" i="5" s="1"/>
  <c r="E914" i="2"/>
  <c r="E82" i="5" s="1"/>
  <c r="E83" i="5" s="1"/>
  <c r="D914" i="2"/>
  <c r="C914" i="2"/>
  <c r="C82" i="5" s="1"/>
  <c r="L862" i="2"/>
  <c r="L76" i="5" s="1"/>
  <c r="K862" i="2"/>
  <c r="J862" i="2"/>
  <c r="I862" i="2"/>
  <c r="I76" i="5" s="1"/>
  <c r="H862" i="2"/>
  <c r="G862" i="2"/>
  <c r="F862" i="2"/>
  <c r="E862" i="2"/>
  <c r="E76" i="5" s="1"/>
  <c r="D862" i="2"/>
  <c r="D76" i="5" s="1"/>
  <c r="C862" i="2"/>
  <c r="L810" i="2"/>
  <c r="K810" i="2"/>
  <c r="J810" i="2"/>
  <c r="J70" i="5" s="1"/>
  <c r="J71" i="5" s="1"/>
  <c r="I810" i="2"/>
  <c r="I70" i="5" s="1"/>
  <c r="I71" i="5" s="1"/>
  <c r="H810" i="2"/>
  <c r="G810" i="2"/>
  <c r="F810" i="2"/>
  <c r="F70" i="5" s="1"/>
  <c r="F71" i="5" s="1"/>
  <c r="E810" i="2"/>
  <c r="E70" i="5" s="1"/>
  <c r="D810" i="2"/>
  <c r="C810" i="2"/>
  <c r="L758" i="2"/>
  <c r="L64" i="5" s="1"/>
  <c r="L65" i="5" s="1"/>
  <c r="K758" i="2"/>
  <c r="J758" i="2"/>
  <c r="I758" i="2"/>
  <c r="I64" i="5" s="1"/>
  <c r="H758" i="2"/>
  <c r="H64" i="5" s="1"/>
  <c r="H65" i="5" s="1"/>
  <c r="G758" i="2"/>
  <c r="F758" i="2"/>
  <c r="E758" i="2"/>
  <c r="E64" i="5" s="1"/>
  <c r="D758" i="2"/>
  <c r="D64" i="5" s="1"/>
  <c r="C758" i="2"/>
  <c r="L706" i="2"/>
  <c r="K706" i="2"/>
  <c r="J706" i="2"/>
  <c r="J58" i="5" s="1"/>
  <c r="J59" i="5" s="1"/>
  <c r="I706" i="2"/>
  <c r="I58" i="5" s="1"/>
  <c r="I59" i="5" s="1"/>
  <c r="H706" i="2"/>
  <c r="H58" i="5" s="1"/>
  <c r="H59" i="5" s="1"/>
  <c r="G706" i="2"/>
  <c r="F706" i="2"/>
  <c r="E706" i="2"/>
  <c r="E58" i="5" s="1"/>
  <c r="D706" i="2"/>
  <c r="D58" i="5" s="1"/>
  <c r="D59" i="5" s="1"/>
  <c r="C706" i="2"/>
  <c r="C58" i="5" s="1"/>
  <c r="L626" i="2"/>
  <c r="L52" i="5" s="1"/>
  <c r="L53" i="5" s="1"/>
  <c r="K626" i="2"/>
  <c r="J626" i="2"/>
  <c r="I626" i="2"/>
  <c r="I52" i="5" s="1"/>
  <c r="H626" i="2"/>
  <c r="G626" i="2"/>
  <c r="F626" i="2"/>
  <c r="E626" i="2"/>
  <c r="E52" i="5" s="1"/>
  <c r="D626" i="2"/>
  <c r="D52" i="5" s="1"/>
  <c r="D53" i="5" s="1"/>
  <c r="C626" i="2"/>
  <c r="L538" i="2"/>
  <c r="K538" i="2"/>
  <c r="J538" i="2"/>
  <c r="J46" i="5" s="1"/>
  <c r="J47" i="5" s="1"/>
  <c r="I538" i="2"/>
  <c r="I46" i="5" s="1"/>
  <c r="I47" i="5" s="1"/>
  <c r="H538" i="2"/>
  <c r="G538" i="2"/>
  <c r="F538" i="2"/>
  <c r="F46" i="5" s="1"/>
  <c r="F47" i="5" s="1"/>
  <c r="E538" i="2"/>
  <c r="E46" i="5" s="1"/>
  <c r="E47" i="5" s="1"/>
  <c r="D538" i="2"/>
  <c r="C538" i="2"/>
  <c r="C46" i="5" s="1"/>
  <c r="L447" i="2"/>
  <c r="L40" i="5" s="1"/>
  <c r="L41" i="5" s="1"/>
  <c r="K447" i="2"/>
  <c r="J447" i="2"/>
  <c r="J40" i="5" s="1"/>
  <c r="J41" i="5" s="1"/>
  <c r="I447" i="2"/>
  <c r="I40" i="5" s="1"/>
  <c r="H447" i="2"/>
  <c r="H40" i="5" s="1"/>
  <c r="H41" i="5" s="1"/>
  <c r="G447" i="2"/>
  <c r="G40" i="5" s="1"/>
  <c r="G41" i="5" s="1"/>
  <c r="F447" i="2"/>
  <c r="E447" i="2"/>
  <c r="E40" i="5" s="1"/>
  <c r="D447" i="2"/>
  <c r="D40" i="5" s="1"/>
  <c r="D41" i="5" s="1"/>
  <c r="C447" i="2"/>
  <c r="L335" i="2"/>
  <c r="K335" i="2"/>
  <c r="J335" i="2"/>
  <c r="J34" i="5" s="1"/>
  <c r="I335" i="2"/>
  <c r="I34" i="5" s="1"/>
  <c r="I35" i="5" s="1"/>
  <c r="H335" i="2"/>
  <c r="G335" i="2"/>
  <c r="F335" i="2"/>
  <c r="F34" i="5" s="1"/>
  <c r="E335" i="2"/>
  <c r="E34" i="5" s="1"/>
  <c r="E35" i="5" s="1"/>
  <c r="D335" i="2"/>
  <c r="C335" i="2"/>
  <c r="L220" i="2"/>
  <c r="L28" i="5" s="1"/>
  <c r="K220" i="2"/>
  <c r="J220" i="2"/>
  <c r="I220" i="2"/>
  <c r="I28" i="5" s="1"/>
  <c r="H220" i="2"/>
  <c r="H28" i="5" s="1"/>
  <c r="G220" i="2"/>
  <c r="G28" i="5" s="1"/>
  <c r="G29" i="5" s="1"/>
  <c r="F220" i="2"/>
  <c r="E220" i="2"/>
  <c r="E28" i="5" s="1"/>
  <c r="D220" i="2"/>
  <c r="D28" i="5" s="1"/>
  <c r="C220" i="2"/>
  <c r="C28" i="5" s="1"/>
  <c r="C29" i="5" s="1"/>
  <c r="L108" i="2"/>
  <c r="K108" i="2"/>
  <c r="K22" i="5" s="1"/>
  <c r="J108" i="2"/>
  <c r="J22" i="5" s="1"/>
  <c r="J23" i="5" s="1"/>
  <c r="I108" i="2"/>
  <c r="I22" i="5" s="1"/>
  <c r="I23" i="5" s="1"/>
  <c r="H108" i="2"/>
  <c r="H22" i="5" s="1"/>
  <c r="H23" i="5" s="1"/>
  <c r="G108" i="2"/>
  <c r="G22" i="5" s="1"/>
  <c r="F108" i="2"/>
  <c r="F22" i="5" s="1"/>
  <c r="E108" i="2"/>
  <c r="E22" i="5" s="1"/>
  <c r="E23" i="5" s="1"/>
  <c r="D108" i="2"/>
  <c r="D22" i="5" s="1"/>
  <c r="D23" i="5" s="1"/>
  <c r="C108" i="2"/>
  <c r="C22" i="5" s="1"/>
  <c r="B21" i="5"/>
  <c r="B27" i="5" s="1"/>
  <c r="B33" i="5" s="1"/>
  <c r="B39" i="5" s="1"/>
  <c r="B45" i="5" s="1"/>
  <c r="B51" i="5" s="1"/>
  <c r="B57" i="5" s="1"/>
  <c r="B63" i="5" s="1"/>
  <c r="B69" i="5" s="1"/>
  <c r="B75" i="5" s="1"/>
  <c r="B81" i="5" s="1"/>
  <c r="B87" i="5" s="1"/>
  <c r="B93" i="5" s="1"/>
  <c r="B99" i="5" s="1"/>
  <c r="B105" i="5" s="1"/>
  <c r="B111" i="5" s="1"/>
  <c r="B117" i="5" s="1"/>
  <c r="B123" i="5" s="1"/>
  <c r="B129" i="5" s="1"/>
  <c r="B135" i="5" s="1"/>
  <c r="B141" i="5" s="1"/>
  <c r="B147" i="5" s="1"/>
  <c r="B153" i="5" s="1"/>
  <c r="B159" i="5" s="1"/>
  <c r="B165" i="5" s="1"/>
  <c r="B171" i="5" s="1"/>
  <c r="B177" i="5" s="1"/>
  <c r="B183" i="5" s="1"/>
  <c r="B189" i="5" s="1"/>
  <c r="B195" i="5" s="1"/>
  <c r="B201" i="5" s="1"/>
  <c r="B207" i="5" s="1"/>
  <c r="B213" i="5" s="1"/>
  <c r="B219" i="5" s="1"/>
  <c r="B225" i="5" s="1"/>
  <c r="B231" i="5" s="1"/>
  <c r="B237" i="5" s="1"/>
  <c r="B243" i="5" s="1"/>
  <c r="B249" i="5" s="1"/>
  <c r="B255" i="5" s="1"/>
  <c r="B261" i="5" s="1"/>
  <c r="B267" i="5" s="1"/>
  <c r="B273" i="5" s="1"/>
  <c r="B279" i="5" s="1"/>
  <c r="B285" i="5" s="1"/>
  <c r="B291" i="5" s="1"/>
  <c r="B297" i="5" s="1"/>
  <c r="B303" i="5" s="1"/>
  <c r="B309" i="5" s="1"/>
  <c r="B315" i="5" s="1"/>
  <c r="C21" i="5"/>
  <c r="D21" i="5"/>
  <c r="E21" i="5"/>
  <c r="F21" i="5"/>
  <c r="G21" i="5"/>
  <c r="H21" i="5"/>
  <c r="I21" i="5"/>
  <c r="J21" i="5"/>
  <c r="K21" i="5"/>
  <c r="L21" i="5"/>
  <c r="N21" i="5"/>
  <c r="B22" i="5"/>
  <c r="B28" i="5" s="1"/>
  <c r="B34" i="5" s="1"/>
  <c r="B40" i="5" s="1"/>
  <c r="B46" i="5" s="1"/>
  <c r="B52" i="5" s="1"/>
  <c r="B58" i="5" s="1"/>
  <c r="B64" i="5" s="1"/>
  <c r="B70" i="5" s="1"/>
  <c r="B76" i="5" s="1"/>
  <c r="B82" i="5" s="1"/>
  <c r="B88" i="5" s="1"/>
  <c r="B94" i="5" s="1"/>
  <c r="B100" i="5" s="1"/>
  <c r="B106" i="5" s="1"/>
  <c r="B112" i="5" s="1"/>
  <c r="B118" i="5" s="1"/>
  <c r="B124" i="5" s="1"/>
  <c r="B130" i="5" s="1"/>
  <c r="B136" i="5" s="1"/>
  <c r="B142" i="5" s="1"/>
  <c r="B148" i="5" s="1"/>
  <c r="B154" i="5" s="1"/>
  <c r="B160" i="5" s="1"/>
  <c r="B166" i="5" s="1"/>
  <c r="B172" i="5" s="1"/>
  <c r="B178" i="5" s="1"/>
  <c r="B184" i="5" s="1"/>
  <c r="B190" i="5" s="1"/>
  <c r="B196" i="5" s="1"/>
  <c r="B202" i="5" s="1"/>
  <c r="B208" i="5" s="1"/>
  <c r="B214" i="5" s="1"/>
  <c r="B220" i="5" s="1"/>
  <c r="B226" i="5" s="1"/>
  <c r="B232" i="5" s="1"/>
  <c r="B238" i="5" s="1"/>
  <c r="B244" i="5" s="1"/>
  <c r="B250" i="5" s="1"/>
  <c r="B256" i="5" s="1"/>
  <c r="B262" i="5" s="1"/>
  <c r="B268" i="5" s="1"/>
  <c r="B274" i="5" s="1"/>
  <c r="B280" i="5" s="1"/>
  <c r="B286" i="5" s="1"/>
  <c r="B292" i="5" s="1"/>
  <c r="B298" i="5" s="1"/>
  <c r="B304" i="5" s="1"/>
  <c r="B310" i="5" s="1"/>
  <c r="B316" i="5" s="1"/>
  <c r="L22" i="5"/>
  <c r="L23" i="5" s="1"/>
  <c r="C27" i="5"/>
  <c r="D27" i="5"/>
  <c r="E27" i="5"/>
  <c r="F27" i="5"/>
  <c r="G27" i="5"/>
  <c r="H27" i="5"/>
  <c r="I27" i="5"/>
  <c r="J27" i="5"/>
  <c r="K27" i="5"/>
  <c r="L27" i="5"/>
  <c r="M27" i="5"/>
  <c r="F28" i="5"/>
  <c r="F29" i="5" s="1"/>
  <c r="J28" i="5"/>
  <c r="J29" i="5" s="1"/>
  <c r="K28" i="5"/>
  <c r="K29" i="5" s="1"/>
  <c r="C33" i="5"/>
  <c r="D33" i="5"/>
  <c r="E33" i="5"/>
  <c r="F33" i="5"/>
  <c r="G33" i="5"/>
  <c r="H33" i="5"/>
  <c r="I33" i="5"/>
  <c r="J33" i="5"/>
  <c r="K33" i="5"/>
  <c r="L33" i="5"/>
  <c r="C34" i="5"/>
  <c r="D34" i="5"/>
  <c r="G34" i="5"/>
  <c r="H34" i="5"/>
  <c r="H35" i="5" s="1"/>
  <c r="K34" i="5"/>
  <c r="L34" i="5"/>
  <c r="L35" i="5" s="1"/>
  <c r="D35" i="5"/>
  <c r="C39" i="5"/>
  <c r="D39" i="5"/>
  <c r="E39" i="5"/>
  <c r="F39" i="5"/>
  <c r="G39" i="5"/>
  <c r="H39" i="5"/>
  <c r="I39" i="5"/>
  <c r="J39" i="5"/>
  <c r="K39" i="5"/>
  <c r="L39" i="5"/>
  <c r="M39" i="5"/>
  <c r="C40" i="5"/>
  <c r="C41" i="5" s="1"/>
  <c r="F40" i="5"/>
  <c r="F41" i="5" s="1"/>
  <c r="K40" i="5"/>
  <c r="K41" i="5" s="1"/>
  <c r="C45" i="5"/>
  <c r="D45" i="5"/>
  <c r="E45" i="5"/>
  <c r="F45" i="5"/>
  <c r="N45" i="5" s="1"/>
  <c r="G45" i="5"/>
  <c r="H45" i="5"/>
  <c r="I45" i="5"/>
  <c r="J45" i="5"/>
  <c r="K45" i="5"/>
  <c r="L45" i="5"/>
  <c r="D46" i="5"/>
  <c r="D47" i="5" s="1"/>
  <c r="G46" i="5"/>
  <c r="H46" i="5"/>
  <c r="H47" i="5" s="1"/>
  <c r="K46" i="5"/>
  <c r="L46" i="5"/>
  <c r="L47" i="5" s="1"/>
  <c r="C51" i="5"/>
  <c r="D51" i="5"/>
  <c r="E51" i="5"/>
  <c r="F51" i="5"/>
  <c r="G51" i="5"/>
  <c r="H51" i="5"/>
  <c r="I51" i="5"/>
  <c r="J51" i="5"/>
  <c r="K51" i="5"/>
  <c r="L51" i="5"/>
  <c r="M51" i="5"/>
  <c r="C52" i="5"/>
  <c r="F52" i="5"/>
  <c r="F53" i="5" s="1"/>
  <c r="G52" i="5"/>
  <c r="G53" i="5" s="1"/>
  <c r="H52" i="5"/>
  <c r="H53" i="5" s="1"/>
  <c r="J52" i="5"/>
  <c r="J53" i="5" s="1"/>
  <c r="K52" i="5"/>
  <c r="K53" i="5" s="1"/>
  <c r="C57" i="5"/>
  <c r="D57" i="5"/>
  <c r="E57" i="5"/>
  <c r="F57" i="5"/>
  <c r="G57" i="5"/>
  <c r="H57" i="5"/>
  <c r="I57" i="5"/>
  <c r="J57" i="5"/>
  <c r="K57" i="5"/>
  <c r="L57" i="5"/>
  <c r="N57" i="5"/>
  <c r="F58" i="5"/>
  <c r="F59" i="5" s="1"/>
  <c r="G58" i="5"/>
  <c r="K58" i="5"/>
  <c r="L58" i="5"/>
  <c r="L59" i="5" s="1"/>
  <c r="C63" i="5"/>
  <c r="D63" i="5"/>
  <c r="E63" i="5"/>
  <c r="F63" i="5"/>
  <c r="G63" i="5"/>
  <c r="H63" i="5"/>
  <c r="I63" i="5"/>
  <c r="J63" i="5"/>
  <c r="K63" i="5"/>
  <c r="L63" i="5"/>
  <c r="M63" i="5"/>
  <c r="C64" i="5"/>
  <c r="C65" i="5" s="1"/>
  <c r="F64" i="5"/>
  <c r="F65" i="5" s="1"/>
  <c r="G64" i="5"/>
  <c r="G65" i="5" s="1"/>
  <c r="J64" i="5"/>
  <c r="J65" i="5" s="1"/>
  <c r="K64" i="5"/>
  <c r="K65" i="5" s="1"/>
  <c r="C69" i="5"/>
  <c r="D69" i="5"/>
  <c r="E69" i="5"/>
  <c r="F69" i="5"/>
  <c r="G69" i="5"/>
  <c r="H69" i="5"/>
  <c r="I69" i="5"/>
  <c r="J69" i="5"/>
  <c r="K69" i="5"/>
  <c r="L69" i="5"/>
  <c r="N69" i="5"/>
  <c r="C70" i="5"/>
  <c r="D70" i="5"/>
  <c r="G70" i="5"/>
  <c r="H70" i="5"/>
  <c r="H71" i="5" s="1"/>
  <c r="K70" i="5"/>
  <c r="L70" i="5"/>
  <c r="L71" i="5" s="1"/>
  <c r="C75" i="5"/>
  <c r="D75" i="5"/>
  <c r="E75" i="5"/>
  <c r="F75" i="5"/>
  <c r="G75" i="5"/>
  <c r="H75" i="5"/>
  <c r="I75" i="5"/>
  <c r="J75" i="5"/>
  <c r="K75" i="5"/>
  <c r="L75" i="5"/>
  <c r="M75" i="5"/>
  <c r="C76" i="5"/>
  <c r="C77" i="5" s="1"/>
  <c r="F76" i="5"/>
  <c r="G76" i="5"/>
  <c r="G77" i="5" s="1"/>
  <c r="H76" i="5"/>
  <c r="J76" i="5"/>
  <c r="J77" i="5" s="1"/>
  <c r="K76" i="5"/>
  <c r="K77" i="5" s="1"/>
  <c r="F77" i="5"/>
  <c r="C81" i="5"/>
  <c r="D81" i="5"/>
  <c r="E81" i="5"/>
  <c r="F81" i="5"/>
  <c r="G81" i="5"/>
  <c r="H81" i="5"/>
  <c r="I81" i="5"/>
  <c r="J81" i="5"/>
  <c r="K81" i="5"/>
  <c r="L81" i="5"/>
  <c r="D82" i="5"/>
  <c r="D83" i="5" s="1"/>
  <c r="G82" i="5"/>
  <c r="H82" i="5"/>
  <c r="H83" i="5" s="1"/>
  <c r="K82" i="5"/>
  <c r="C87" i="5"/>
  <c r="D87" i="5"/>
  <c r="E87" i="5"/>
  <c r="F87" i="5"/>
  <c r="G87" i="5"/>
  <c r="H87" i="5"/>
  <c r="I87" i="5"/>
  <c r="J87" i="5"/>
  <c r="K87" i="5"/>
  <c r="L87" i="5"/>
  <c r="M87" i="5"/>
  <c r="C88" i="5"/>
  <c r="C89" i="5" s="1"/>
  <c r="F88" i="5"/>
  <c r="F89" i="5" s="1"/>
  <c r="G88" i="5"/>
  <c r="G89" i="5" s="1"/>
  <c r="J88" i="5"/>
  <c r="J89" i="5" s="1"/>
  <c r="K88" i="5"/>
  <c r="K89" i="5" s="1"/>
  <c r="C93" i="5"/>
  <c r="D93" i="5"/>
  <c r="E93" i="5"/>
  <c r="F93" i="5"/>
  <c r="N93" i="5" s="1"/>
  <c r="G93" i="5"/>
  <c r="H93" i="5"/>
  <c r="I93" i="5"/>
  <c r="J93" i="5"/>
  <c r="K93" i="5"/>
  <c r="L93" i="5"/>
  <c r="D94" i="5"/>
  <c r="H94" i="5"/>
  <c r="H95" i="5" s="1"/>
  <c r="L94" i="5"/>
  <c r="L95" i="5" s="1"/>
  <c r="C99" i="5"/>
  <c r="D99" i="5"/>
  <c r="E99" i="5"/>
  <c r="F99" i="5"/>
  <c r="G99" i="5"/>
  <c r="H99" i="5"/>
  <c r="I99" i="5"/>
  <c r="J99" i="5"/>
  <c r="K99" i="5"/>
  <c r="L99" i="5"/>
  <c r="M99" i="5"/>
  <c r="C100" i="5"/>
  <c r="E100" i="5"/>
  <c r="F100" i="5"/>
  <c r="F101" i="5" s="1"/>
  <c r="G100" i="5"/>
  <c r="G101" i="5" s="1"/>
  <c r="I100" i="5"/>
  <c r="J100" i="5"/>
  <c r="J101" i="5" s="1"/>
  <c r="K100" i="5"/>
  <c r="K101" i="5" s="1"/>
  <c r="C105" i="5"/>
  <c r="D105" i="5"/>
  <c r="E105" i="5"/>
  <c r="F105" i="5"/>
  <c r="G105" i="5"/>
  <c r="H105" i="5"/>
  <c r="I105" i="5"/>
  <c r="J105" i="5"/>
  <c r="K105" i="5"/>
  <c r="L105" i="5"/>
  <c r="N105" i="5"/>
  <c r="D106" i="5"/>
  <c r="D107" i="5" s="1"/>
  <c r="H106" i="5"/>
  <c r="H107" i="5" s="1"/>
  <c r="L106" i="5"/>
  <c r="L107" i="5"/>
  <c r="C111" i="5"/>
  <c r="D111" i="5"/>
  <c r="E111" i="5"/>
  <c r="F111" i="5"/>
  <c r="G111" i="5"/>
  <c r="H111" i="5"/>
  <c r="I111" i="5"/>
  <c r="J111" i="5"/>
  <c r="K111" i="5"/>
  <c r="L111" i="5"/>
  <c r="M111" i="5"/>
  <c r="C112" i="5"/>
  <c r="C113" i="5" s="1"/>
  <c r="E112" i="5"/>
  <c r="F112" i="5"/>
  <c r="F113" i="5" s="1"/>
  <c r="G112" i="5"/>
  <c r="I112" i="5"/>
  <c r="J112" i="5"/>
  <c r="J113" i="5" s="1"/>
  <c r="K112" i="5"/>
  <c r="K113" i="5" s="1"/>
  <c r="G113" i="5"/>
  <c r="C117" i="5"/>
  <c r="D117" i="5"/>
  <c r="E117" i="5"/>
  <c r="F117" i="5"/>
  <c r="G117" i="5"/>
  <c r="H117" i="5"/>
  <c r="I117" i="5"/>
  <c r="J117" i="5"/>
  <c r="K117" i="5"/>
  <c r="L117" i="5"/>
  <c r="N117" i="5"/>
  <c r="C118" i="5"/>
  <c r="D118" i="5"/>
  <c r="E118" i="5"/>
  <c r="E119" i="5" s="1"/>
  <c r="G118" i="5"/>
  <c r="I118" i="5"/>
  <c r="I119" i="5" s="1"/>
  <c r="K118" i="5"/>
  <c r="L118" i="5"/>
  <c r="L119" i="5" s="1"/>
  <c r="C123" i="5"/>
  <c r="D123" i="5"/>
  <c r="E123" i="5"/>
  <c r="F123" i="5"/>
  <c r="G123" i="5"/>
  <c r="H123" i="5"/>
  <c r="I123" i="5"/>
  <c r="J123" i="5"/>
  <c r="K123" i="5"/>
  <c r="L123" i="5"/>
  <c r="M123" i="5"/>
  <c r="C124" i="5"/>
  <c r="C125" i="5" s="1"/>
  <c r="D124" i="5"/>
  <c r="F124" i="5"/>
  <c r="F125" i="5" s="1"/>
  <c r="G124" i="5"/>
  <c r="G125" i="5" s="1"/>
  <c r="J124" i="5"/>
  <c r="J125" i="5" s="1"/>
  <c r="K124" i="5"/>
  <c r="K125" i="5" s="1"/>
  <c r="C129" i="5"/>
  <c r="D129" i="5"/>
  <c r="E129" i="5"/>
  <c r="F129" i="5"/>
  <c r="N129" i="5" s="1"/>
  <c r="G129" i="5"/>
  <c r="H129" i="5"/>
  <c r="I129" i="5"/>
  <c r="J129" i="5"/>
  <c r="K129" i="5"/>
  <c r="L129" i="5"/>
  <c r="C130" i="5"/>
  <c r="D130" i="5"/>
  <c r="D131" i="5" s="1"/>
  <c r="E130" i="5"/>
  <c r="E131" i="5" s="1"/>
  <c r="F130" i="5"/>
  <c r="F131" i="5" s="1"/>
  <c r="G130" i="5"/>
  <c r="H130" i="5"/>
  <c r="H131" i="5" s="1"/>
  <c r="I130" i="5"/>
  <c r="I131" i="5" s="1"/>
  <c r="J130" i="5"/>
  <c r="K130" i="5"/>
  <c r="M130" i="5" s="1"/>
  <c r="L130" i="5"/>
  <c r="L131" i="5" s="1"/>
  <c r="C135" i="5"/>
  <c r="D135" i="5"/>
  <c r="E135" i="5"/>
  <c r="F135" i="5"/>
  <c r="G135" i="5"/>
  <c r="H135" i="5"/>
  <c r="I135" i="5"/>
  <c r="J135" i="5"/>
  <c r="K135" i="5"/>
  <c r="L135" i="5"/>
  <c r="M135" i="5"/>
  <c r="C136" i="5"/>
  <c r="C137" i="5" s="1"/>
  <c r="D136" i="5"/>
  <c r="E136" i="5"/>
  <c r="F136" i="5"/>
  <c r="G136" i="5"/>
  <c r="G137" i="5" s="1"/>
  <c r="H136" i="5"/>
  <c r="I136" i="5"/>
  <c r="J136" i="5"/>
  <c r="K136" i="5"/>
  <c r="L136" i="5"/>
  <c r="F137" i="5"/>
  <c r="J137" i="5"/>
  <c r="K137" i="5"/>
  <c r="C141" i="5"/>
  <c r="D141" i="5"/>
  <c r="E141" i="5"/>
  <c r="F141" i="5"/>
  <c r="F327" i="5" s="1"/>
  <c r="G141" i="5"/>
  <c r="H141" i="5"/>
  <c r="I141" i="5"/>
  <c r="J141" i="5"/>
  <c r="K141" i="5"/>
  <c r="L141" i="5"/>
  <c r="C142" i="5"/>
  <c r="D142" i="5"/>
  <c r="D143" i="5" s="1"/>
  <c r="E142" i="5"/>
  <c r="E143" i="5" s="1"/>
  <c r="F142" i="5"/>
  <c r="G142" i="5"/>
  <c r="H142" i="5"/>
  <c r="H143" i="5" s="1"/>
  <c r="I142" i="5"/>
  <c r="I143" i="5" s="1"/>
  <c r="J142" i="5"/>
  <c r="K142" i="5"/>
  <c r="L142" i="5"/>
  <c r="L143" i="5"/>
  <c r="C147" i="5"/>
  <c r="D147" i="5"/>
  <c r="E147" i="5"/>
  <c r="F147" i="5"/>
  <c r="G147" i="5"/>
  <c r="H147" i="5"/>
  <c r="I147" i="5"/>
  <c r="J147" i="5"/>
  <c r="K147" i="5"/>
  <c r="L147" i="5"/>
  <c r="M147" i="5"/>
  <c r="C148" i="5"/>
  <c r="C149" i="5" s="1"/>
  <c r="D148" i="5"/>
  <c r="E148" i="5"/>
  <c r="F148" i="5"/>
  <c r="F149" i="5" s="1"/>
  <c r="G148" i="5"/>
  <c r="G149" i="5" s="1"/>
  <c r="H148" i="5"/>
  <c r="I148" i="5"/>
  <c r="J148" i="5"/>
  <c r="J149" i="5" s="1"/>
  <c r="K148" i="5"/>
  <c r="L148" i="5"/>
  <c r="K149" i="5"/>
  <c r="C153" i="5"/>
  <c r="D153" i="5"/>
  <c r="E153" i="5"/>
  <c r="F153" i="5"/>
  <c r="G153" i="5"/>
  <c r="H153" i="5"/>
  <c r="I153" i="5"/>
  <c r="J153" i="5"/>
  <c r="K153" i="5"/>
  <c r="L153" i="5"/>
  <c r="C154" i="5"/>
  <c r="D154" i="5"/>
  <c r="D155" i="5" s="1"/>
  <c r="E154" i="5"/>
  <c r="E155" i="5" s="1"/>
  <c r="F154" i="5"/>
  <c r="G154" i="5"/>
  <c r="H154" i="5"/>
  <c r="I154" i="5"/>
  <c r="J154" i="5"/>
  <c r="K154" i="5"/>
  <c r="L154" i="5"/>
  <c r="L155" i="5" s="1"/>
  <c r="H155" i="5"/>
  <c r="I155" i="5"/>
  <c r="C159" i="5"/>
  <c r="D159" i="5"/>
  <c r="E159" i="5"/>
  <c r="F159" i="5"/>
  <c r="G159" i="5"/>
  <c r="H159" i="5"/>
  <c r="I159" i="5"/>
  <c r="J159" i="5"/>
  <c r="K159" i="5"/>
  <c r="L159" i="5"/>
  <c r="M159" i="5"/>
  <c r="C160" i="5"/>
  <c r="C161" i="5" s="1"/>
  <c r="D160" i="5"/>
  <c r="E160" i="5"/>
  <c r="F160" i="5"/>
  <c r="G160" i="5"/>
  <c r="H160" i="5"/>
  <c r="I160" i="5"/>
  <c r="J160" i="5"/>
  <c r="J161" i="5" s="1"/>
  <c r="K160" i="5"/>
  <c r="K161" i="5" s="1"/>
  <c r="L160" i="5"/>
  <c r="F161" i="5"/>
  <c r="G161" i="5"/>
  <c r="C165" i="5"/>
  <c r="D165" i="5"/>
  <c r="E165" i="5"/>
  <c r="F165" i="5"/>
  <c r="G165" i="5"/>
  <c r="H165" i="5"/>
  <c r="I165" i="5"/>
  <c r="J165" i="5"/>
  <c r="K165" i="5"/>
  <c r="L165" i="5"/>
  <c r="C166" i="5"/>
  <c r="D166" i="5"/>
  <c r="E166" i="5"/>
  <c r="E167" i="5" s="1"/>
  <c r="F166" i="5"/>
  <c r="G166" i="5"/>
  <c r="H166" i="5"/>
  <c r="H167" i="5" s="1"/>
  <c r="I166" i="5"/>
  <c r="I167" i="5" s="1"/>
  <c r="J166" i="5"/>
  <c r="K166" i="5"/>
  <c r="L166" i="5"/>
  <c r="D167" i="5"/>
  <c r="L167" i="5"/>
  <c r="C171" i="5"/>
  <c r="D171" i="5"/>
  <c r="E171" i="5"/>
  <c r="F171" i="5"/>
  <c r="G171" i="5"/>
  <c r="H171" i="5"/>
  <c r="I171" i="5"/>
  <c r="J171" i="5"/>
  <c r="K171" i="5"/>
  <c r="L171" i="5"/>
  <c r="M171" i="5"/>
  <c r="C172" i="5"/>
  <c r="D172" i="5"/>
  <c r="E172" i="5"/>
  <c r="F172" i="5"/>
  <c r="G172" i="5"/>
  <c r="H172" i="5"/>
  <c r="I172" i="5"/>
  <c r="J172" i="5"/>
  <c r="J173" i="5" s="1"/>
  <c r="K172" i="5"/>
  <c r="L172" i="5"/>
  <c r="C173" i="5"/>
  <c r="F173" i="5"/>
  <c r="G173" i="5"/>
  <c r="K173" i="5"/>
  <c r="C177" i="5"/>
  <c r="D177" i="5"/>
  <c r="E177" i="5"/>
  <c r="F177" i="5"/>
  <c r="G177" i="5"/>
  <c r="H177" i="5"/>
  <c r="I177" i="5"/>
  <c r="J177" i="5"/>
  <c r="K177" i="5"/>
  <c r="L177" i="5"/>
  <c r="C178" i="5"/>
  <c r="D178" i="5"/>
  <c r="E178" i="5"/>
  <c r="E179" i="5" s="1"/>
  <c r="F178" i="5"/>
  <c r="G178" i="5"/>
  <c r="H178" i="5"/>
  <c r="I178" i="5"/>
  <c r="J178" i="5"/>
  <c r="J179" i="5" s="1"/>
  <c r="K178" i="5"/>
  <c r="M178" i="5" s="1"/>
  <c r="L178" i="5"/>
  <c r="L179" i="5" s="1"/>
  <c r="H179" i="5"/>
  <c r="I179" i="5"/>
  <c r="C183" i="5"/>
  <c r="D183" i="5"/>
  <c r="E183" i="5"/>
  <c r="F183" i="5"/>
  <c r="G183" i="5"/>
  <c r="H183" i="5"/>
  <c r="I183" i="5"/>
  <c r="J183" i="5"/>
  <c r="K183" i="5"/>
  <c r="L183" i="5"/>
  <c r="M183" i="5"/>
  <c r="C184" i="5"/>
  <c r="D184" i="5"/>
  <c r="E184" i="5"/>
  <c r="F184" i="5"/>
  <c r="F185" i="5" s="1"/>
  <c r="G184" i="5"/>
  <c r="H184" i="5"/>
  <c r="H185" i="5" s="1"/>
  <c r="I184" i="5"/>
  <c r="J184" i="5"/>
  <c r="J185" i="5" s="1"/>
  <c r="K184" i="5"/>
  <c r="L184" i="5"/>
  <c r="L185" i="5" s="1"/>
  <c r="G185" i="5"/>
  <c r="K185" i="5"/>
  <c r="C189" i="5"/>
  <c r="D189" i="5"/>
  <c r="E189" i="5"/>
  <c r="F189" i="5"/>
  <c r="G189" i="5"/>
  <c r="H189" i="5"/>
  <c r="I189" i="5"/>
  <c r="J189" i="5"/>
  <c r="K189" i="5"/>
  <c r="L189" i="5"/>
  <c r="N189" i="5"/>
  <c r="C190" i="5"/>
  <c r="D190" i="5"/>
  <c r="D191" i="5" s="1"/>
  <c r="E190" i="5"/>
  <c r="E191" i="5" s="1"/>
  <c r="F190" i="5"/>
  <c r="F191" i="5" s="1"/>
  <c r="G190" i="5"/>
  <c r="H190" i="5"/>
  <c r="H191" i="5" s="1"/>
  <c r="I190" i="5"/>
  <c r="I191" i="5" s="1"/>
  <c r="J190" i="5"/>
  <c r="J191" i="5" s="1"/>
  <c r="K190" i="5"/>
  <c r="L190" i="5"/>
  <c r="C195" i="5"/>
  <c r="D195" i="5"/>
  <c r="E195" i="5"/>
  <c r="F195" i="5"/>
  <c r="G195" i="5"/>
  <c r="H195" i="5"/>
  <c r="I195" i="5"/>
  <c r="J195" i="5"/>
  <c r="K195" i="5"/>
  <c r="L195" i="5"/>
  <c r="M195" i="5"/>
  <c r="C196" i="5"/>
  <c r="C197" i="5" s="1"/>
  <c r="D196" i="5"/>
  <c r="E196" i="5"/>
  <c r="F196" i="5"/>
  <c r="G196" i="5"/>
  <c r="H196" i="5"/>
  <c r="I196" i="5"/>
  <c r="J196" i="5"/>
  <c r="K196" i="5"/>
  <c r="K197" i="5" s="1"/>
  <c r="L196" i="5"/>
  <c r="F197" i="5"/>
  <c r="G197" i="5"/>
  <c r="H197" i="5"/>
  <c r="J197" i="5"/>
  <c r="C201" i="5"/>
  <c r="D201" i="5"/>
  <c r="E201" i="5"/>
  <c r="F201" i="5"/>
  <c r="G201" i="5"/>
  <c r="H201" i="5"/>
  <c r="I201" i="5"/>
  <c r="J201" i="5"/>
  <c r="K201" i="5"/>
  <c r="L201" i="5"/>
  <c r="C202" i="5"/>
  <c r="D202" i="5"/>
  <c r="E202" i="5"/>
  <c r="E203" i="5" s="1"/>
  <c r="F202" i="5"/>
  <c r="G202" i="5"/>
  <c r="G203" i="5" s="1"/>
  <c r="H202" i="5"/>
  <c r="H203" i="5" s="1"/>
  <c r="I202" i="5"/>
  <c r="I203" i="5" s="1"/>
  <c r="J202" i="5"/>
  <c r="K202" i="5"/>
  <c r="K203" i="5" s="1"/>
  <c r="L202" i="5"/>
  <c r="L203" i="5" s="1"/>
  <c r="D203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C208" i="5"/>
  <c r="D208" i="5"/>
  <c r="D209" i="5" s="1"/>
  <c r="E208" i="5"/>
  <c r="E209" i="5" s="1"/>
  <c r="F208" i="5"/>
  <c r="G208" i="5"/>
  <c r="H208" i="5"/>
  <c r="H209" i="5" s="1"/>
  <c r="I208" i="5"/>
  <c r="I209" i="5" s="1"/>
  <c r="J208" i="5"/>
  <c r="K208" i="5"/>
  <c r="L208" i="5"/>
  <c r="L209" i="5" s="1"/>
  <c r="C213" i="5"/>
  <c r="M213" i="5" s="1"/>
  <c r="D213" i="5"/>
  <c r="E213" i="5"/>
  <c r="F213" i="5"/>
  <c r="G213" i="5"/>
  <c r="H213" i="5"/>
  <c r="I213" i="5"/>
  <c r="J213" i="5"/>
  <c r="K213" i="5"/>
  <c r="L213" i="5"/>
  <c r="C214" i="5"/>
  <c r="C215" i="5" s="1"/>
  <c r="D214" i="5"/>
  <c r="E214" i="5"/>
  <c r="F214" i="5"/>
  <c r="F215" i="5" s="1"/>
  <c r="G214" i="5"/>
  <c r="H214" i="5"/>
  <c r="I214" i="5"/>
  <c r="J214" i="5"/>
  <c r="J215" i="5" s="1"/>
  <c r="K214" i="5"/>
  <c r="K215" i="5" s="1"/>
  <c r="L214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C220" i="5"/>
  <c r="D220" i="5"/>
  <c r="D221" i="5" s="1"/>
  <c r="E220" i="5"/>
  <c r="E221" i="5" s="1"/>
  <c r="F220" i="5"/>
  <c r="G220" i="5"/>
  <c r="H220" i="5"/>
  <c r="H221" i="5" s="1"/>
  <c r="I220" i="5"/>
  <c r="I221" i="5" s="1"/>
  <c r="J220" i="5"/>
  <c r="K220" i="5"/>
  <c r="L220" i="5"/>
  <c r="L221" i="5" s="1"/>
  <c r="C225" i="5"/>
  <c r="D225" i="5"/>
  <c r="E225" i="5"/>
  <c r="F225" i="5"/>
  <c r="G225" i="5"/>
  <c r="H225" i="5"/>
  <c r="I225" i="5"/>
  <c r="J225" i="5"/>
  <c r="K225" i="5"/>
  <c r="L225" i="5"/>
  <c r="C226" i="5"/>
  <c r="C227" i="5" s="1"/>
  <c r="D226" i="5"/>
  <c r="E226" i="5"/>
  <c r="F226" i="5"/>
  <c r="F227" i="5" s="1"/>
  <c r="G226" i="5"/>
  <c r="G227" i="5" s="1"/>
  <c r="H226" i="5"/>
  <c r="I226" i="5"/>
  <c r="J226" i="5"/>
  <c r="K226" i="5"/>
  <c r="K227" i="5" s="1"/>
  <c r="L226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C232" i="5"/>
  <c r="D232" i="5"/>
  <c r="D233" i="5" s="1"/>
  <c r="E232" i="5"/>
  <c r="F232" i="5"/>
  <c r="G232" i="5"/>
  <c r="H232" i="5"/>
  <c r="H233" i="5" s="1"/>
  <c r="I232" i="5"/>
  <c r="I233" i="5" s="1"/>
  <c r="J232" i="5"/>
  <c r="K232" i="5"/>
  <c r="L232" i="5"/>
  <c r="L233" i="5" s="1"/>
  <c r="E233" i="5"/>
  <c r="C237" i="5"/>
  <c r="D237" i="5"/>
  <c r="E237" i="5"/>
  <c r="F237" i="5"/>
  <c r="G237" i="5"/>
  <c r="G327" i="5" s="1"/>
  <c r="H237" i="5"/>
  <c r="I237" i="5"/>
  <c r="J237" i="5"/>
  <c r="K237" i="5"/>
  <c r="K327" i="5" s="1"/>
  <c r="L237" i="5"/>
  <c r="C238" i="5"/>
  <c r="D238" i="5"/>
  <c r="E238" i="5"/>
  <c r="F238" i="5"/>
  <c r="F239" i="5" s="1"/>
  <c r="G238" i="5"/>
  <c r="G239" i="5" s="1"/>
  <c r="H238" i="5"/>
  <c r="I238" i="5"/>
  <c r="J238" i="5"/>
  <c r="J239" i="5" s="1"/>
  <c r="K238" i="5"/>
  <c r="K239" i="5" s="1"/>
  <c r="L238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C244" i="5"/>
  <c r="D244" i="5"/>
  <c r="E244" i="5"/>
  <c r="E245" i="5" s="1"/>
  <c r="F244" i="5"/>
  <c r="G244" i="5"/>
  <c r="H244" i="5"/>
  <c r="H245" i="5" s="1"/>
  <c r="I244" i="5"/>
  <c r="I245" i="5" s="1"/>
  <c r="J244" i="5"/>
  <c r="K244" i="5"/>
  <c r="L244" i="5"/>
  <c r="D245" i="5"/>
  <c r="L245" i="5"/>
  <c r="C249" i="5"/>
  <c r="D249" i="5"/>
  <c r="E249" i="5"/>
  <c r="F249" i="5"/>
  <c r="G249" i="5"/>
  <c r="H249" i="5"/>
  <c r="I249" i="5"/>
  <c r="J249" i="5"/>
  <c r="K249" i="5"/>
  <c r="L249" i="5"/>
  <c r="C250" i="5"/>
  <c r="C251" i="5" s="1"/>
  <c r="D250" i="5"/>
  <c r="E250" i="5"/>
  <c r="F250" i="5"/>
  <c r="F251" i="5" s="1"/>
  <c r="G250" i="5"/>
  <c r="G251" i="5" s="1"/>
  <c r="H250" i="5"/>
  <c r="I250" i="5"/>
  <c r="J250" i="5"/>
  <c r="J251" i="5" s="1"/>
  <c r="K250" i="5"/>
  <c r="K251" i="5" s="1"/>
  <c r="L250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C256" i="5"/>
  <c r="D256" i="5"/>
  <c r="E256" i="5"/>
  <c r="F256" i="5"/>
  <c r="G256" i="5"/>
  <c r="H256" i="5"/>
  <c r="H257" i="5" s="1"/>
  <c r="I256" i="5"/>
  <c r="I257" i="5" s="1"/>
  <c r="J256" i="5"/>
  <c r="K256" i="5"/>
  <c r="L256" i="5"/>
  <c r="L257" i="5" s="1"/>
  <c r="E257" i="5"/>
  <c r="C261" i="5"/>
  <c r="D261" i="5"/>
  <c r="E261" i="5"/>
  <c r="F261" i="5"/>
  <c r="G261" i="5"/>
  <c r="H261" i="5"/>
  <c r="I261" i="5"/>
  <c r="J261" i="5"/>
  <c r="K261" i="5"/>
  <c r="L261" i="5"/>
  <c r="C262" i="5"/>
  <c r="D262" i="5"/>
  <c r="E262" i="5"/>
  <c r="F262" i="5"/>
  <c r="F263" i="5" s="1"/>
  <c r="G262" i="5"/>
  <c r="G263" i="5" s="1"/>
  <c r="H262" i="5"/>
  <c r="I262" i="5"/>
  <c r="J262" i="5"/>
  <c r="J263" i="5" s="1"/>
  <c r="K262" i="5"/>
  <c r="K263" i="5" s="1"/>
  <c r="L262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C268" i="5"/>
  <c r="D268" i="5"/>
  <c r="D269" i="5" s="1"/>
  <c r="E268" i="5"/>
  <c r="E269" i="5" s="1"/>
  <c r="F268" i="5"/>
  <c r="G268" i="5"/>
  <c r="H268" i="5"/>
  <c r="H269" i="5" s="1"/>
  <c r="I268" i="5"/>
  <c r="I269" i="5" s="1"/>
  <c r="J268" i="5"/>
  <c r="K268" i="5"/>
  <c r="M268" i="5" s="1"/>
  <c r="M269" i="5" s="1"/>
  <c r="L268" i="5"/>
  <c r="L269" i="5" s="1"/>
  <c r="C273" i="5"/>
  <c r="D273" i="5"/>
  <c r="E273" i="5"/>
  <c r="F273" i="5"/>
  <c r="G273" i="5"/>
  <c r="H273" i="5"/>
  <c r="I273" i="5"/>
  <c r="J273" i="5"/>
  <c r="K273" i="5"/>
  <c r="L273" i="5"/>
  <c r="C274" i="5"/>
  <c r="C275" i="5" s="1"/>
  <c r="D274" i="5"/>
  <c r="E274" i="5"/>
  <c r="F274" i="5"/>
  <c r="F275" i="5" s="1"/>
  <c r="G274" i="5"/>
  <c r="G275" i="5" s="1"/>
  <c r="H274" i="5"/>
  <c r="I274" i="5"/>
  <c r="J274" i="5"/>
  <c r="J275" i="5" s="1"/>
  <c r="K274" i="5"/>
  <c r="K275" i="5" s="1"/>
  <c r="L274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C280" i="5"/>
  <c r="D280" i="5"/>
  <c r="E280" i="5"/>
  <c r="E281" i="5" s="1"/>
  <c r="F280" i="5"/>
  <c r="G280" i="5"/>
  <c r="H280" i="5"/>
  <c r="H281" i="5" s="1"/>
  <c r="I280" i="5"/>
  <c r="I281" i="5" s="1"/>
  <c r="J280" i="5"/>
  <c r="K280" i="5"/>
  <c r="L280" i="5"/>
  <c r="L281" i="5" s="1"/>
  <c r="C285" i="5"/>
  <c r="M285" i="5" s="1"/>
  <c r="D285" i="5"/>
  <c r="E285" i="5"/>
  <c r="F285" i="5"/>
  <c r="G285" i="5"/>
  <c r="H285" i="5"/>
  <c r="I285" i="5"/>
  <c r="J285" i="5"/>
  <c r="K285" i="5"/>
  <c r="L285" i="5"/>
  <c r="C286" i="5"/>
  <c r="D286" i="5"/>
  <c r="D287" i="5" s="1"/>
  <c r="E286" i="5"/>
  <c r="F286" i="5"/>
  <c r="F287" i="5" s="1"/>
  <c r="G286" i="5"/>
  <c r="G287" i="5" s="1"/>
  <c r="H286" i="5"/>
  <c r="H287" i="5" s="1"/>
  <c r="I286" i="5"/>
  <c r="J286" i="5"/>
  <c r="J287" i="5" s="1"/>
  <c r="K286" i="5"/>
  <c r="K287" i="5" s="1"/>
  <c r="L286" i="5"/>
  <c r="L287" i="5" s="1"/>
  <c r="C291" i="5"/>
  <c r="D291" i="5"/>
  <c r="E291" i="5"/>
  <c r="F291" i="5"/>
  <c r="G291" i="5"/>
  <c r="H291" i="5"/>
  <c r="I291" i="5"/>
  <c r="J291" i="5"/>
  <c r="K291" i="5"/>
  <c r="L291" i="5"/>
  <c r="M291" i="5"/>
  <c r="N291" i="5"/>
  <c r="C292" i="5"/>
  <c r="D292" i="5"/>
  <c r="E292" i="5"/>
  <c r="E293" i="5" s="1"/>
  <c r="F292" i="5"/>
  <c r="F293" i="5" s="1"/>
  <c r="G292" i="5"/>
  <c r="H292" i="5"/>
  <c r="H293" i="5" s="1"/>
  <c r="I292" i="5"/>
  <c r="I293" i="5" s="1"/>
  <c r="J292" i="5"/>
  <c r="K292" i="5"/>
  <c r="L292" i="5"/>
  <c r="L293" i="5" s="1"/>
  <c r="C297" i="5"/>
  <c r="M297" i="5" s="1"/>
  <c r="D297" i="5"/>
  <c r="E297" i="5"/>
  <c r="F297" i="5"/>
  <c r="G297" i="5"/>
  <c r="H297" i="5"/>
  <c r="I297" i="5"/>
  <c r="J297" i="5"/>
  <c r="K297" i="5"/>
  <c r="L297" i="5"/>
  <c r="C298" i="5"/>
  <c r="D298" i="5"/>
  <c r="E298" i="5"/>
  <c r="F298" i="5"/>
  <c r="F299" i="5" s="1"/>
  <c r="G298" i="5"/>
  <c r="G299" i="5" s="1"/>
  <c r="H298" i="5"/>
  <c r="H299" i="5" s="1"/>
  <c r="I298" i="5"/>
  <c r="J298" i="5"/>
  <c r="J299" i="5" s="1"/>
  <c r="K298" i="5"/>
  <c r="K299" i="5" s="1"/>
  <c r="L298" i="5"/>
  <c r="L299" i="5" s="1"/>
  <c r="M303" i="5"/>
  <c r="N303" i="5"/>
  <c r="C304" i="5"/>
  <c r="D304" i="5"/>
  <c r="E304" i="5"/>
  <c r="F304" i="5"/>
  <c r="F305" i="5" s="1"/>
  <c r="G304" i="5"/>
  <c r="G305" i="5" s="1"/>
  <c r="H304" i="5"/>
  <c r="H305" i="5" s="1"/>
  <c r="I304" i="5"/>
  <c r="I305" i="5" s="1"/>
  <c r="J304" i="5"/>
  <c r="K304" i="5"/>
  <c r="K305" i="5" s="1"/>
  <c r="L304" i="5"/>
  <c r="L305" i="5" s="1"/>
  <c r="E305" i="5"/>
  <c r="J305" i="5"/>
  <c r="M309" i="5"/>
  <c r="N309" i="5"/>
  <c r="C310" i="5"/>
  <c r="D310" i="5"/>
  <c r="E310" i="5"/>
  <c r="E311" i="5" s="1"/>
  <c r="F310" i="5"/>
  <c r="G310" i="5"/>
  <c r="H310" i="5"/>
  <c r="I310" i="5"/>
  <c r="I311" i="5" s="1"/>
  <c r="J310" i="5"/>
  <c r="J311" i="5" s="1"/>
  <c r="K310" i="5"/>
  <c r="L310" i="5"/>
  <c r="C311" i="5"/>
  <c r="D311" i="5"/>
  <c r="G311" i="5"/>
  <c r="H311" i="5"/>
  <c r="K311" i="5"/>
  <c r="L311" i="5"/>
  <c r="M315" i="5"/>
  <c r="N315" i="5"/>
  <c r="C316" i="5"/>
  <c r="D316" i="5"/>
  <c r="E316" i="5"/>
  <c r="E317" i="5" s="1"/>
  <c r="F316" i="5"/>
  <c r="F317" i="5" s="1"/>
  <c r="G316" i="5"/>
  <c r="G317" i="5" s="1"/>
  <c r="H316" i="5"/>
  <c r="H317" i="5" s="1"/>
  <c r="I316" i="5"/>
  <c r="I317" i="5" s="1"/>
  <c r="J316" i="5"/>
  <c r="J317" i="5" s="1"/>
  <c r="K316" i="5"/>
  <c r="K317" i="5" s="1"/>
  <c r="L316" i="5"/>
  <c r="L317" i="5" s="1"/>
  <c r="M321" i="5"/>
  <c r="N321" i="5"/>
  <c r="C322" i="5"/>
  <c r="C323" i="5" s="1"/>
  <c r="D322" i="5"/>
  <c r="E322" i="5"/>
  <c r="E323" i="5" s="1"/>
  <c r="F322" i="5"/>
  <c r="G322" i="5"/>
  <c r="H322" i="5"/>
  <c r="I322" i="5"/>
  <c r="I323" i="5" s="1"/>
  <c r="J322" i="5"/>
  <c r="J323" i="5" s="1"/>
  <c r="K322" i="5"/>
  <c r="K323" i="5" s="1"/>
  <c r="L322" i="5"/>
  <c r="D323" i="5"/>
  <c r="G323" i="5"/>
  <c r="H323" i="5"/>
  <c r="L323" i="5"/>
  <c r="C327" i="5"/>
  <c r="E327" i="5"/>
  <c r="I327" i="5"/>
  <c r="L227" i="5" l="1"/>
  <c r="AE35" i="3"/>
  <c r="N190" i="5"/>
  <c r="N191" i="5" s="1"/>
  <c r="H227" i="5"/>
  <c r="N166" i="5"/>
  <c r="AE34" i="3"/>
  <c r="AE39" i="3"/>
  <c r="X119" i="3"/>
  <c r="AE43" i="3"/>
  <c r="AE33" i="3"/>
  <c r="AE67" i="3"/>
  <c r="AE47" i="3"/>
  <c r="AE37" i="3"/>
  <c r="AE46" i="3"/>
  <c r="AE36" i="3"/>
  <c r="AE72" i="3"/>
  <c r="AE53" i="3"/>
  <c r="AE79" i="3"/>
  <c r="AE76" i="3"/>
  <c r="AE59" i="3"/>
  <c r="N238" i="5"/>
  <c r="AE65" i="3"/>
  <c r="AE58" i="3"/>
  <c r="AE85" i="3"/>
  <c r="AE60" i="3"/>
  <c r="AE63" i="3"/>
  <c r="AE69" i="3"/>
  <c r="AE83" i="3"/>
  <c r="AE38" i="3"/>
  <c r="AE68" i="3"/>
  <c r="AE81" i="3"/>
  <c r="AE48" i="3"/>
  <c r="AE80" i="3"/>
  <c r="AE84" i="3"/>
  <c r="AE74" i="3"/>
  <c r="AE42" i="3"/>
  <c r="AE54" i="3"/>
  <c r="AE40" i="3"/>
  <c r="AE71" i="3"/>
  <c r="AE87" i="3"/>
  <c r="AE32" i="3"/>
  <c r="AE50" i="3"/>
  <c r="AE64" i="3"/>
  <c r="AE82" i="3"/>
  <c r="AE73" i="3"/>
  <c r="AE61" i="3"/>
  <c r="AE44" i="3"/>
  <c r="AE75" i="3"/>
  <c r="AE70" i="3"/>
  <c r="AE52" i="3"/>
  <c r="AE77" i="3"/>
  <c r="N214" i="5"/>
  <c r="AE51" i="3"/>
  <c r="AE56" i="3"/>
  <c r="AE45" i="3"/>
  <c r="AE41" i="3"/>
  <c r="N178" i="5"/>
  <c r="AE49" i="3"/>
  <c r="AE62" i="3"/>
  <c r="AE86" i="3"/>
  <c r="AE66" i="3"/>
  <c r="AE57" i="3"/>
  <c r="AE55" i="3"/>
  <c r="N202" i="5"/>
  <c r="M280" i="5"/>
  <c r="M281" i="5" s="1"/>
  <c r="M166" i="5"/>
  <c r="K71" i="5"/>
  <c r="K119" i="5"/>
  <c r="M118" i="5"/>
  <c r="M292" i="5"/>
  <c r="M293" i="5" s="1"/>
  <c r="G71" i="5"/>
  <c r="G119" i="5"/>
  <c r="M256" i="5"/>
  <c r="M257" i="5" s="1"/>
  <c r="M154" i="5"/>
  <c r="M94" i="5"/>
  <c r="M202" i="5"/>
  <c r="M142" i="5"/>
  <c r="M220" i="5"/>
  <c r="M221" i="5" s="1"/>
  <c r="M190" i="5"/>
  <c r="D119" i="3"/>
  <c r="F107" i="5"/>
  <c r="N106" i="5"/>
  <c r="F83" i="5"/>
  <c r="N82" i="5"/>
  <c r="N94" i="5"/>
  <c r="N95" i="5" s="1"/>
  <c r="L251" i="5"/>
  <c r="H251" i="5"/>
  <c r="D179" i="5"/>
  <c r="N154" i="5"/>
  <c r="K59" i="5"/>
  <c r="G59" i="5"/>
  <c r="O103" i="3"/>
  <c r="O104" i="3"/>
  <c r="O109" i="3"/>
  <c r="O118" i="3"/>
  <c r="O110" i="3"/>
  <c r="O116" i="3"/>
  <c r="O98" i="3"/>
  <c r="O90" i="3"/>
  <c r="O95" i="3"/>
  <c r="O115" i="3"/>
  <c r="O92" i="3"/>
  <c r="O89" i="3"/>
  <c r="O108" i="3"/>
  <c r="O112" i="3"/>
  <c r="O111" i="3"/>
  <c r="O96" i="3"/>
  <c r="O101" i="3"/>
  <c r="O93" i="3"/>
  <c r="O107" i="3"/>
  <c r="O100" i="3"/>
  <c r="O97" i="3"/>
  <c r="O117" i="3"/>
  <c r="O105" i="3"/>
  <c r="O114" i="3"/>
  <c r="O106" i="3"/>
  <c r="O113" i="3"/>
  <c r="O94" i="3"/>
  <c r="O99" i="3"/>
  <c r="O91" i="3"/>
  <c r="O102" i="3"/>
  <c r="F245" i="5"/>
  <c r="N118" i="5"/>
  <c r="N119" i="5" s="1"/>
  <c r="N262" i="5"/>
  <c r="M232" i="5"/>
  <c r="M233" i="5" s="1"/>
  <c r="M208" i="5"/>
  <c r="M209" i="5" s="1"/>
  <c r="L191" i="5"/>
  <c r="K155" i="5"/>
  <c r="G155" i="5"/>
  <c r="C155" i="5"/>
  <c r="N142" i="5"/>
  <c r="N130" i="5"/>
  <c r="N131" i="5" s="1"/>
  <c r="N58" i="5"/>
  <c r="N46" i="5"/>
  <c r="N47" i="5" s="1"/>
  <c r="N34" i="5"/>
  <c r="O33" i="3"/>
  <c r="O35" i="3"/>
  <c r="O32" i="3"/>
  <c r="O34" i="3"/>
  <c r="O36" i="3"/>
  <c r="O37" i="3"/>
  <c r="O87" i="3"/>
  <c r="O83" i="3"/>
  <c r="O79" i="3"/>
  <c r="O75" i="3"/>
  <c r="O71" i="3"/>
  <c r="O48" i="3"/>
  <c r="O44" i="3"/>
  <c r="O40" i="3"/>
  <c r="O58" i="3"/>
  <c r="O69" i="3"/>
  <c r="O65" i="3"/>
  <c r="O82" i="3"/>
  <c r="O59" i="3"/>
  <c r="O60" i="3"/>
  <c r="O70" i="3"/>
  <c r="O45" i="3"/>
  <c r="O88" i="3"/>
  <c r="O84" i="3"/>
  <c r="O80" i="3"/>
  <c r="O76" i="3"/>
  <c r="O72" i="3"/>
  <c r="O57" i="3"/>
  <c r="O55" i="3"/>
  <c r="O63" i="3"/>
  <c r="O61" i="3"/>
  <c r="O56" i="3"/>
  <c r="O68" i="3"/>
  <c r="O53" i="3"/>
  <c r="O51" i="3"/>
  <c r="O47" i="3"/>
  <c r="O43" i="3"/>
  <c r="O39" i="3"/>
  <c r="O86" i="3"/>
  <c r="O78" i="3"/>
  <c r="O74" i="3"/>
  <c r="O64" i="3"/>
  <c r="O62" i="3"/>
  <c r="O66" i="3"/>
  <c r="O52" i="3"/>
  <c r="O49" i="3"/>
  <c r="O41" i="3"/>
  <c r="O85" i="3"/>
  <c r="O81" i="3"/>
  <c r="O77" i="3"/>
  <c r="O73" i="3"/>
  <c r="O50" i="3"/>
  <c r="O46" i="3"/>
  <c r="O42" i="3"/>
  <c r="O38" i="3"/>
  <c r="O54" i="3"/>
  <c r="O67" i="3"/>
  <c r="M244" i="5"/>
  <c r="M245" i="5" s="1"/>
  <c r="M82" i="5"/>
  <c r="N70" i="5"/>
  <c r="N71" i="5" s="1"/>
  <c r="M46" i="5"/>
  <c r="M34" i="5"/>
  <c r="M22" i="5"/>
  <c r="AE104" i="3"/>
  <c r="AE103" i="3"/>
  <c r="AE114" i="3"/>
  <c r="AE113" i="3"/>
  <c r="AE105" i="3"/>
  <c r="AE102" i="3"/>
  <c r="AE95" i="3"/>
  <c r="AE92" i="3"/>
  <c r="AE111" i="3"/>
  <c r="AE88" i="3"/>
  <c r="AE97" i="3"/>
  <c r="AE89" i="3"/>
  <c r="AE107" i="3"/>
  <c r="AE116" i="3"/>
  <c r="AE108" i="3"/>
  <c r="AE110" i="3"/>
  <c r="AE98" i="3"/>
  <c r="AE96" i="3"/>
  <c r="AE101" i="3"/>
  <c r="AE93" i="3"/>
  <c r="AE100" i="3"/>
  <c r="AE106" i="3"/>
  <c r="AE117" i="3"/>
  <c r="AE109" i="3"/>
  <c r="AE94" i="3"/>
  <c r="AE90" i="3"/>
  <c r="AE99" i="3"/>
  <c r="AE91" i="3"/>
  <c r="AE115" i="3"/>
  <c r="AE112" i="3"/>
  <c r="AE118" i="3"/>
  <c r="N322" i="5"/>
  <c r="N323" i="5" s="1"/>
  <c r="N316" i="5"/>
  <c r="N317" i="5" s="1"/>
  <c r="N310" i="5"/>
  <c r="N311" i="5" s="1"/>
  <c r="N304" i="5"/>
  <c r="N305" i="5" s="1"/>
  <c r="I299" i="5"/>
  <c r="E299" i="5"/>
  <c r="N298" i="5"/>
  <c r="N292" i="5"/>
  <c r="N293" i="5" s="1"/>
  <c r="K293" i="5"/>
  <c r="G293" i="5"/>
  <c r="C293" i="5"/>
  <c r="J293" i="5"/>
  <c r="N286" i="5"/>
  <c r="M286" i="5"/>
  <c r="I287" i="5"/>
  <c r="E287" i="5"/>
  <c r="K281" i="5"/>
  <c r="G281" i="5"/>
  <c r="C281" i="5"/>
  <c r="J281" i="5"/>
  <c r="F281" i="5"/>
  <c r="I275" i="5"/>
  <c r="E275" i="5"/>
  <c r="L275" i="5"/>
  <c r="H275" i="5"/>
  <c r="K269" i="5"/>
  <c r="G269" i="5"/>
  <c r="C269" i="5"/>
  <c r="F269" i="5"/>
  <c r="J269" i="5"/>
  <c r="I263" i="5"/>
  <c r="E263" i="5"/>
  <c r="L263" i="5"/>
  <c r="H263" i="5"/>
  <c r="J257" i="5"/>
  <c r="F257" i="5"/>
  <c r="K257" i="5"/>
  <c r="G257" i="5"/>
  <c r="C257" i="5"/>
  <c r="I251" i="5"/>
  <c r="E251" i="5"/>
  <c r="J245" i="5"/>
  <c r="K245" i="5"/>
  <c r="G245" i="5"/>
  <c r="C245" i="5"/>
  <c r="I239" i="5"/>
  <c r="E239" i="5"/>
  <c r="L239" i="5"/>
  <c r="H239" i="5"/>
  <c r="C233" i="5"/>
  <c r="J233" i="5"/>
  <c r="F233" i="5"/>
  <c r="K233" i="5"/>
  <c r="G233" i="5"/>
  <c r="I227" i="5"/>
  <c r="E227" i="5"/>
  <c r="K221" i="5"/>
  <c r="G221" i="5"/>
  <c r="C221" i="5"/>
  <c r="J221" i="5"/>
  <c r="F221" i="5"/>
  <c r="I215" i="5"/>
  <c r="E215" i="5"/>
  <c r="L215" i="5"/>
  <c r="H215" i="5"/>
  <c r="N208" i="5"/>
  <c r="K209" i="5"/>
  <c r="G209" i="5"/>
  <c r="C209" i="5"/>
  <c r="J209" i="5"/>
  <c r="F209" i="5"/>
  <c r="I197" i="5"/>
  <c r="E197" i="5"/>
  <c r="L197" i="5"/>
  <c r="K191" i="5"/>
  <c r="G191" i="5"/>
  <c r="I185" i="5"/>
  <c r="E185" i="5"/>
  <c r="K179" i="5"/>
  <c r="G179" i="5"/>
  <c r="C179" i="5"/>
  <c r="N172" i="5"/>
  <c r="I173" i="5"/>
  <c r="E173" i="5"/>
  <c r="L173" i="5"/>
  <c r="H173" i="5"/>
  <c r="J167" i="5"/>
  <c r="K167" i="5"/>
  <c r="G167" i="5"/>
  <c r="C167" i="5"/>
  <c r="L161" i="5"/>
  <c r="H161" i="5"/>
  <c r="N160" i="5"/>
  <c r="N161" i="5" s="1"/>
  <c r="I161" i="5"/>
  <c r="E161" i="5"/>
  <c r="J155" i="5"/>
  <c r="I149" i="5"/>
  <c r="E149" i="5"/>
  <c r="L149" i="5"/>
  <c r="H149" i="5"/>
  <c r="N148" i="5"/>
  <c r="K143" i="5"/>
  <c r="G143" i="5"/>
  <c r="C143" i="5"/>
  <c r="J143" i="5"/>
  <c r="I137" i="5"/>
  <c r="E137" i="5"/>
  <c r="L137" i="5"/>
  <c r="H137" i="5"/>
  <c r="N136" i="5"/>
  <c r="N137" i="5" s="1"/>
  <c r="K131" i="5"/>
  <c r="G131" i="5"/>
  <c r="C131" i="5"/>
  <c r="I125" i="5"/>
  <c r="E125" i="5"/>
  <c r="L125" i="5"/>
  <c r="D119" i="5"/>
  <c r="I113" i="5"/>
  <c r="E113" i="5"/>
  <c r="G107" i="5"/>
  <c r="N107" i="5"/>
  <c r="K107" i="5"/>
  <c r="I101" i="5"/>
  <c r="E101" i="5"/>
  <c r="D95" i="5"/>
  <c r="K95" i="5"/>
  <c r="G95" i="5"/>
  <c r="E89" i="5"/>
  <c r="I89" i="5"/>
  <c r="K83" i="5"/>
  <c r="G83" i="5"/>
  <c r="I77" i="5"/>
  <c r="E77" i="5"/>
  <c r="E71" i="5"/>
  <c r="M70" i="5"/>
  <c r="D71" i="5"/>
  <c r="H328" i="5"/>
  <c r="I65" i="5"/>
  <c r="E65" i="5"/>
  <c r="E59" i="5"/>
  <c r="M58" i="5"/>
  <c r="M59" i="5" s="1"/>
  <c r="N59" i="5"/>
  <c r="I53" i="5"/>
  <c r="E53" i="5"/>
  <c r="L328" i="5"/>
  <c r="K47" i="5"/>
  <c r="G47" i="5"/>
  <c r="I41" i="5"/>
  <c r="E41" i="5"/>
  <c r="K35" i="5"/>
  <c r="G35" i="5"/>
  <c r="I29" i="5"/>
  <c r="E29" i="5"/>
  <c r="L29" i="5"/>
  <c r="H29" i="5"/>
  <c r="F23" i="5"/>
  <c r="F328" i="5"/>
  <c r="F329" i="5" s="1"/>
  <c r="N22" i="5"/>
  <c r="N23" i="5" s="1"/>
  <c r="G23" i="5"/>
  <c r="C23" i="5"/>
  <c r="K23" i="5"/>
  <c r="J328" i="5"/>
  <c r="B328" i="5"/>
  <c r="B322" i="5"/>
  <c r="B321" i="5"/>
  <c r="B327" i="5"/>
  <c r="M327" i="5"/>
  <c r="N274" i="5"/>
  <c r="N275" i="5" s="1"/>
  <c r="D275" i="5"/>
  <c r="N273" i="5"/>
  <c r="M262" i="5"/>
  <c r="N250" i="5"/>
  <c r="N251" i="5" s="1"/>
  <c r="D251" i="5"/>
  <c r="N249" i="5"/>
  <c r="M238" i="5"/>
  <c r="J227" i="5"/>
  <c r="N226" i="5"/>
  <c r="D227" i="5"/>
  <c r="N225" i="5"/>
  <c r="D215" i="5"/>
  <c r="N213" i="5"/>
  <c r="N215" i="5" s="1"/>
  <c r="N201" i="5"/>
  <c r="F167" i="5"/>
  <c r="N165" i="5"/>
  <c r="N167" i="5" s="1"/>
  <c r="N33" i="5"/>
  <c r="N297" i="5"/>
  <c r="N299" i="5" s="1"/>
  <c r="N280" i="5"/>
  <c r="N281" i="5" s="1"/>
  <c r="N256" i="5"/>
  <c r="N257" i="5" s="1"/>
  <c r="K328" i="5"/>
  <c r="K329" i="5" s="1"/>
  <c r="M214" i="5"/>
  <c r="M215" i="5" s="1"/>
  <c r="C328" i="5"/>
  <c r="E328" i="5"/>
  <c r="E329" i="5" s="1"/>
  <c r="F323" i="5"/>
  <c r="D317" i="5"/>
  <c r="M316" i="5"/>
  <c r="M317" i="5" s="1"/>
  <c r="F311" i="5"/>
  <c r="D305" i="5"/>
  <c r="M304" i="5"/>
  <c r="M305" i="5" s="1"/>
  <c r="D299" i="5"/>
  <c r="M298" i="5"/>
  <c r="M299" i="5" s="1"/>
  <c r="C287" i="5"/>
  <c r="I328" i="5"/>
  <c r="I329" i="5" s="1"/>
  <c r="D328" i="5"/>
  <c r="C317" i="5"/>
  <c r="C305" i="5"/>
  <c r="C299" i="5"/>
  <c r="D293" i="5"/>
  <c r="D281" i="5"/>
  <c r="M273" i="5"/>
  <c r="N268" i="5"/>
  <c r="N269" i="5" s="1"/>
  <c r="C263" i="5"/>
  <c r="D257" i="5"/>
  <c r="M249" i="5"/>
  <c r="N244" i="5"/>
  <c r="N245" i="5" s="1"/>
  <c r="C239" i="5"/>
  <c r="M225" i="5"/>
  <c r="N220" i="5"/>
  <c r="N221" i="5" s="1"/>
  <c r="N209" i="5"/>
  <c r="N203" i="5"/>
  <c r="J203" i="5"/>
  <c r="F203" i="5"/>
  <c r="N184" i="5"/>
  <c r="N185" i="5" s="1"/>
  <c r="D185" i="5"/>
  <c r="M287" i="5"/>
  <c r="M261" i="5"/>
  <c r="M237" i="5"/>
  <c r="N232" i="5"/>
  <c r="N233" i="5" s="1"/>
  <c r="G328" i="5"/>
  <c r="G329" i="5" s="1"/>
  <c r="F143" i="5"/>
  <c r="N141" i="5"/>
  <c r="N143" i="5" s="1"/>
  <c r="J327" i="5"/>
  <c r="M322" i="5"/>
  <c r="M323" i="5" s="1"/>
  <c r="M310" i="5"/>
  <c r="M311" i="5" s="1"/>
  <c r="N285" i="5"/>
  <c r="N287" i="5" s="1"/>
  <c r="M274" i="5"/>
  <c r="M275" i="5" s="1"/>
  <c r="D263" i="5"/>
  <c r="N261" i="5"/>
  <c r="M250" i="5"/>
  <c r="M251" i="5" s="1"/>
  <c r="D239" i="5"/>
  <c r="N237" i="5"/>
  <c r="N239" i="5" s="1"/>
  <c r="M226" i="5"/>
  <c r="M227" i="5" s="1"/>
  <c r="G215" i="5"/>
  <c r="N195" i="5"/>
  <c r="F179" i="5"/>
  <c r="N177" i="5"/>
  <c r="N179" i="5" s="1"/>
  <c r="F155" i="5"/>
  <c r="N153" i="5"/>
  <c r="L77" i="5"/>
  <c r="L327" i="5"/>
  <c r="H77" i="5"/>
  <c r="H327" i="5"/>
  <c r="N75" i="5"/>
  <c r="D77" i="5"/>
  <c r="D327" i="5"/>
  <c r="N327" i="5" s="1"/>
  <c r="N196" i="5"/>
  <c r="N197" i="5" s="1"/>
  <c r="M184" i="5"/>
  <c r="M185" i="5" s="1"/>
  <c r="D173" i="5"/>
  <c r="N171" i="5"/>
  <c r="N173" i="5" s="1"/>
  <c r="D161" i="5"/>
  <c r="N159" i="5"/>
  <c r="D149" i="5"/>
  <c r="N147" i="5"/>
  <c r="D137" i="5"/>
  <c r="N135" i="5"/>
  <c r="M100" i="5"/>
  <c r="M101" i="5" s="1"/>
  <c r="C101" i="5"/>
  <c r="N35" i="5"/>
  <c r="J35" i="5"/>
  <c r="F35" i="5"/>
  <c r="N27" i="5"/>
  <c r="D29" i="5"/>
  <c r="M196" i="5"/>
  <c r="M197" i="5" s="1"/>
  <c r="C191" i="5"/>
  <c r="M189" i="5"/>
  <c r="M191" i="5" s="1"/>
  <c r="N112" i="5"/>
  <c r="N113" i="5" s="1"/>
  <c r="D113" i="5"/>
  <c r="M107" i="5"/>
  <c r="C95" i="5"/>
  <c r="M93" i="5"/>
  <c r="M95" i="5" s="1"/>
  <c r="M52" i="5"/>
  <c r="M53" i="5" s="1"/>
  <c r="C53" i="5"/>
  <c r="C203" i="5"/>
  <c r="M201" i="5"/>
  <c r="M203" i="5" s="1"/>
  <c r="D197" i="5"/>
  <c r="C185" i="5"/>
  <c r="N183" i="5"/>
  <c r="M172" i="5"/>
  <c r="M173" i="5" s="1"/>
  <c r="M160" i="5"/>
  <c r="M161" i="5" s="1"/>
  <c r="M148" i="5"/>
  <c r="M149" i="5" s="1"/>
  <c r="M136" i="5"/>
  <c r="M137" i="5" s="1"/>
  <c r="J131" i="5"/>
  <c r="N123" i="5"/>
  <c r="D125" i="5"/>
  <c r="N81" i="5"/>
  <c r="N64" i="5"/>
  <c r="N65" i="5" s="1"/>
  <c r="D65" i="5"/>
  <c r="C47" i="5"/>
  <c r="M45" i="5"/>
  <c r="M177" i="5"/>
  <c r="M179" i="5" s="1"/>
  <c r="M165" i="5"/>
  <c r="M167" i="5" s="1"/>
  <c r="M153" i="5"/>
  <c r="M155" i="5" s="1"/>
  <c r="M141" i="5"/>
  <c r="M143" i="5" s="1"/>
  <c r="M129" i="5"/>
  <c r="M131" i="5" s="1"/>
  <c r="N124" i="5"/>
  <c r="M112" i="5"/>
  <c r="M113" i="5" s="1"/>
  <c r="C107" i="5"/>
  <c r="M105" i="5"/>
  <c r="N87" i="5"/>
  <c r="N76" i="5"/>
  <c r="N77" i="5" s="1"/>
  <c r="M64" i="5"/>
  <c r="M65" i="5" s="1"/>
  <c r="C59" i="5"/>
  <c r="M57" i="5"/>
  <c r="N39" i="5"/>
  <c r="N28" i="5"/>
  <c r="M124" i="5"/>
  <c r="M125" i="5" s="1"/>
  <c r="C119" i="5"/>
  <c r="M117" i="5"/>
  <c r="M119" i="5" s="1"/>
  <c r="N99" i="5"/>
  <c r="N88" i="5"/>
  <c r="N89" i="5" s="1"/>
  <c r="M76" i="5"/>
  <c r="M77" i="5" s="1"/>
  <c r="C71" i="5"/>
  <c r="M69" i="5"/>
  <c r="N51" i="5"/>
  <c r="N40" i="5"/>
  <c r="M28" i="5"/>
  <c r="M29" i="5" s="1"/>
  <c r="N111" i="5"/>
  <c r="N100" i="5"/>
  <c r="N101" i="5" s="1"/>
  <c r="M88" i="5"/>
  <c r="M89" i="5" s="1"/>
  <c r="C83" i="5"/>
  <c r="M81" i="5"/>
  <c r="N63" i="5"/>
  <c r="N52" i="5"/>
  <c r="M40" i="5"/>
  <c r="M41" i="5" s="1"/>
  <c r="C35" i="5"/>
  <c r="M33" i="5"/>
  <c r="M21" i="5"/>
  <c r="M23" i="5" s="1"/>
  <c r="N155" i="5" l="1"/>
  <c r="N149" i="5"/>
  <c r="M35" i="5"/>
  <c r="M83" i="5"/>
  <c r="M71" i="5"/>
  <c r="M47" i="5"/>
  <c r="N83" i="5"/>
  <c r="N263" i="5"/>
  <c r="H329" i="5"/>
  <c r="L329" i="5"/>
  <c r="J329" i="5"/>
  <c r="C329" i="5"/>
  <c r="M328" i="5"/>
  <c r="M329" i="5" s="1"/>
  <c r="N53" i="5"/>
  <c r="N41" i="5"/>
  <c r="N125" i="5"/>
  <c r="M239" i="5"/>
  <c r="M263" i="5"/>
  <c r="N29" i="5"/>
  <c r="N328" i="5"/>
  <c r="N329" i="5" s="1"/>
  <c r="D329" i="5"/>
  <c r="N227" i="5"/>
  <c r="D2634" i="2"/>
  <c r="L2634" i="2"/>
  <c r="K2634" i="2"/>
  <c r="H2634" i="2"/>
  <c r="G2634" i="2"/>
  <c r="C2634" i="2"/>
  <c r="K2433" i="2"/>
  <c r="J2433" i="2"/>
  <c r="H2433" i="2"/>
  <c r="G2433" i="2"/>
  <c r="F2433" i="2"/>
  <c r="C2433" i="2"/>
  <c r="K227" i="2"/>
  <c r="J227" i="2"/>
  <c r="F227" i="2"/>
  <c r="C227" i="2"/>
  <c r="L115" i="2"/>
  <c r="K115" i="2"/>
  <c r="H115" i="2"/>
  <c r="G115" i="2"/>
  <c r="D115" i="2"/>
  <c r="L227" i="2" l="1"/>
  <c r="J115" i="2"/>
  <c r="H227" i="2"/>
  <c r="F115" i="2"/>
  <c r="D2433" i="2"/>
  <c r="L2433" i="2"/>
  <c r="F2634" i="2"/>
  <c r="J2634" i="2"/>
  <c r="D227" i="2"/>
  <c r="G227" i="2"/>
  <c r="C115" i="2"/>
  <c r="I115" i="2"/>
  <c r="E115" i="2"/>
  <c r="I2433" i="2"/>
  <c r="E2433" i="2"/>
  <c r="I2634" i="2"/>
  <c r="E2634" i="2"/>
  <c r="I227" i="2"/>
  <c r="E227" i="2"/>
  <c r="D139" i="6" l="1"/>
  <c r="D140" i="6"/>
  <c r="D141" i="6"/>
  <c r="D142" i="6"/>
  <c r="D143" i="6"/>
  <c r="D144" i="6"/>
  <c r="AE8" i="6"/>
  <c r="AE9" i="6"/>
  <c r="AE10" i="6"/>
  <c r="AE11" i="6"/>
  <c r="AE12" i="6"/>
  <c r="AE13" i="6"/>
  <c r="AE14" i="6"/>
  <c r="AE15" i="6"/>
  <c r="AI40" i="6" l="1"/>
  <c r="AI41" i="6"/>
  <c r="AI42" i="6"/>
  <c r="AI43" i="6"/>
  <c r="AI44" i="6"/>
  <c r="AI45" i="6"/>
  <c r="L155" i="6"/>
  <c r="L156" i="6"/>
  <c r="L157" i="6"/>
  <c r="L158" i="6"/>
  <c r="L159" i="6"/>
  <c r="L160" i="6"/>
  <c r="I155" i="6"/>
  <c r="I156" i="6"/>
  <c r="I157" i="6"/>
  <c r="I158" i="6"/>
  <c r="I159" i="6"/>
  <c r="I160" i="6"/>
  <c r="F155" i="6"/>
  <c r="F156" i="6"/>
  <c r="F157" i="6"/>
  <c r="F158" i="6"/>
  <c r="F159" i="6"/>
  <c r="F160" i="6"/>
  <c r="C155" i="6"/>
  <c r="C156" i="6"/>
  <c r="C157" i="6"/>
  <c r="C158" i="6"/>
  <c r="C159" i="6"/>
  <c r="C160" i="6"/>
  <c r="BL139" i="6"/>
  <c r="BL140" i="6"/>
  <c r="BL141" i="6"/>
  <c r="BL142" i="6"/>
  <c r="BL143" i="6"/>
  <c r="BL144" i="6"/>
  <c r="BH139" i="6"/>
  <c r="BH140" i="6"/>
  <c r="BH141" i="6"/>
  <c r="BH142" i="6"/>
  <c r="BH143" i="6"/>
  <c r="BH144" i="6"/>
  <c r="BD139" i="6"/>
  <c r="BD140" i="6"/>
  <c r="BD141" i="6"/>
  <c r="BD142" i="6"/>
  <c r="BD143" i="6"/>
  <c r="BD144" i="6"/>
  <c r="AZ139" i="6"/>
  <c r="AZ140" i="6"/>
  <c r="AZ141" i="6"/>
  <c r="AZ142" i="6"/>
  <c r="AZ143" i="6"/>
  <c r="AZ144" i="6"/>
  <c r="AV139" i="6"/>
  <c r="AV140" i="6"/>
  <c r="AV141" i="6"/>
  <c r="AV142" i="6"/>
  <c r="AV143" i="6"/>
  <c r="AV144" i="6"/>
  <c r="AR139" i="6"/>
  <c r="AR140" i="6"/>
  <c r="AR141" i="6"/>
  <c r="AR142" i="6"/>
  <c r="AR143" i="6"/>
  <c r="AR144" i="6"/>
  <c r="AN139" i="6"/>
  <c r="AN140" i="6"/>
  <c r="AN141" i="6"/>
  <c r="AN142" i="6"/>
  <c r="AN143" i="6"/>
  <c r="AN144" i="6"/>
  <c r="AJ139" i="6"/>
  <c r="AJ140" i="6"/>
  <c r="AJ141" i="6"/>
  <c r="AJ142" i="6"/>
  <c r="AJ143" i="6"/>
  <c r="AJ144" i="6"/>
  <c r="AF139" i="6"/>
  <c r="AF140" i="6"/>
  <c r="AF141" i="6"/>
  <c r="AF142" i="6"/>
  <c r="AF143" i="6"/>
  <c r="AF144" i="6"/>
  <c r="AB139" i="6"/>
  <c r="AB140" i="6"/>
  <c r="AB141" i="6"/>
  <c r="AB142" i="6"/>
  <c r="AB143" i="6"/>
  <c r="AB144" i="6"/>
  <c r="X139" i="6"/>
  <c r="X140" i="6"/>
  <c r="X141" i="6"/>
  <c r="X142" i="6"/>
  <c r="X143" i="6"/>
  <c r="X144" i="6"/>
  <c r="T139" i="6"/>
  <c r="T140" i="6"/>
  <c r="T141" i="6"/>
  <c r="T142" i="6"/>
  <c r="T143" i="6"/>
  <c r="T144" i="6"/>
  <c r="P139" i="6"/>
  <c r="P140" i="6"/>
  <c r="P141" i="6"/>
  <c r="P142" i="6"/>
  <c r="P143" i="6"/>
  <c r="P144" i="6"/>
  <c r="L139" i="6"/>
  <c r="L140" i="6"/>
  <c r="L141" i="6"/>
  <c r="L142" i="6"/>
  <c r="L143" i="6"/>
  <c r="L144" i="6"/>
  <c r="H139" i="6"/>
  <c r="H140" i="6"/>
  <c r="H141" i="6"/>
  <c r="H142" i="6"/>
  <c r="H143" i="6"/>
  <c r="H144" i="6"/>
  <c r="BK123" i="6"/>
  <c r="BK124" i="6"/>
  <c r="BK125" i="6"/>
  <c r="BK126" i="6"/>
  <c r="BK127" i="6"/>
  <c r="BK128" i="6"/>
  <c r="BG123" i="6"/>
  <c r="BG124" i="6"/>
  <c r="BG125" i="6"/>
  <c r="BG126" i="6"/>
  <c r="BG127" i="6"/>
  <c r="BG128" i="6"/>
  <c r="BC123" i="6"/>
  <c r="BC124" i="6"/>
  <c r="BC125" i="6"/>
  <c r="BC126" i="6"/>
  <c r="BC127" i="6"/>
  <c r="BC128" i="6"/>
  <c r="AX123" i="6"/>
  <c r="AX124" i="6"/>
  <c r="AX125" i="6"/>
  <c r="AX126" i="6"/>
  <c r="AX127" i="6"/>
  <c r="AX128" i="6"/>
  <c r="AS123" i="6"/>
  <c r="AS124" i="6"/>
  <c r="AS125" i="6"/>
  <c r="AS126" i="6"/>
  <c r="AS127" i="6"/>
  <c r="AS128" i="6"/>
  <c r="AN123" i="6"/>
  <c r="AN124" i="6"/>
  <c r="AN125" i="6"/>
  <c r="AN126" i="6"/>
  <c r="AN127" i="6"/>
  <c r="AN128" i="6"/>
  <c r="AI123" i="6"/>
  <c r="AI124" i="6"/>
  <c r="AI125" i="6"/>
  <c r="AI126" i="6"/>
  <c r="AI127" i="6"/>
  <c r="AI128" i="6"/>
  <c r="AD123" i="6"/>
  <c r="AD124" i="6"/>
  <c r="AD125" i="6"/>
  <c r="AD126" i="6"/>
  <c r="AD127" i="6"/>
  <c r="AD128" i="6"/>
  <c r="Y123" i="6"/>
  <c r="Y124" i="6"/>
  <c r="Y125" i="6"/>
  <c r="Y126" i="6"/>
  <c r="Y127" i="6"/>
  <c r="Y128" i="6"/>
  <c r="T123" i="6"/>
  <c r="T124" i="6"/>
  <c r="T125" i="6"/>
  <c r="T126" i="6"/>
  <c r="T127" i="6"/>
  <c r="T128" i="6"/>
  <c r="O123" i="6"/>
  <c r="O124" i="6"/>
  <c r="O125" i="6"/>
  <c r="O126" i="6"/>
  <c r="O127" i="6"/>
  <c r="O128" i="6"/>
  <c r="J123" i="6"/>
  <c r="J124" i="6"/>
  <c r="J125" i="6"/>
  <c r="J126" i="6"/>
  <c r="J127" i="6"/>
  <c r="J128" i="6"/>
  <c r="E123" i="6"/>
  <c r="E124" i="6"/>
  <c r="E125" i="6"/>
  <c r="E126" i="6"/>
  <c r="E127" i="6"/>
  <c r="E128" i="6"/>
  <c r="BC107" i="6"/>
  <c r="BC108" i="6"/>
  <c r="BC109" i="6"/>
  <c r="BC110" i="6"/>
  <c r="BC111" i="6"/>
  <c r="BC112" i="6"/>
  <c r="AX107" i="6"/>
  <c r="AX108" i="6"/>
  <c r="AX109" i="6"/>
  <c r="AX110" i="6"/>
  <c r="AX111" i="6"/>
  <c r="AX112" i="6"/>
  <c r="AS107" i="6"/>
  <c r="AS108" i="6"/>
  <c r="AS109" i="6"/>
  <c r="AS110" i="6"/>
  <c r="AS111" i="6"/>
  <c r="AS112" i="6"/>
  <c r="AN107" i="6"/>
  <c r="AN108" i="6"/>
  <c r="AN109" i="6"/>
  <c r="AN110" i="6"/>
  <c r="AN111" i="6"/>
  <c r="AN112" i="6"/>
  <c r="AI107" i="6"/>
  <c r="AI108" i="6"/>
  <c r="AI109" i="6"/>
  <c r="AI110" i="6"/>
  <c r="AI111" i="6"/>
  <c r="AI112" i="6"/>
  <c r="AD107" i="6"/>
  <c r="AD108" i="6"/>
  <c r="AD109" i="6"/>
  <c r="AD110" i="6"/>
  <c r="AD111" i="6"/>
  <c r="AD112" i="6"/>
  <c r="Y107" i="6"/>
  <c r="Y108" i="6"/>
  <c r="Y109" i="6"/>
  <c r="Y110" i="6"/>
  <c r="Y111" i="6"/>
  <c r="Y112" i="6"/>
  <c r="T107" i="6"/>
  <c r="T108" i="6"/>
  <c r="T109" i="6"/>
  <c r="T110" i="6"/>
  <c r="T111" i="6"/>
  <c r="T112" i="6"/>
  <c r="O107" i="6"/>
  <c r="O108" i="6"/>
  <c r="O109" i="6"/>
  <c r="O110" i="6"/>
  <c r="O111" i="6"/>
  <c r="O112" i="6"/>
  <c r="J107" i="6"/>
  <c r="J108" i="6"/>
  <c r="J109" i="6"/>
  <c r="J110" i="6"/>
  <c r="J111" i="6"/>
  <c r="J112" i="6"/>
  <c r="E107" i="6"/>
  <c r="E108" i="6"/>
  <c r="E109" i="6"/>
  <c r="E110" i="6"/>
  <c r="E111" i="6"/>
  <c r="E112" i="6"/>
  <c r="BN97" i="6"/>
  <c r="BN98" i="6"/>
  <c r="BM91" i="6"/>
  <c r="BM92" i="6"/>
  <c r="BM93" i="6"/>
  <c r="BM94" i="6"/>
  <c r="BM95" i="6"/>
  <c r="BM96" i="6"/>
  <c r="BL88" i="6"/>
  <c r="BL89" i="6"/>
  <c r="BL90" i="6"/>
  <c r="BL91" i="6"/>
  <c r="BL92" i="6"/>
  <c r="BL93" i="6"/>
  <c r="BL94" i="6"/>
  <c r="BL95" i="6"/>
  <c r="BL96" i="6"/>
  <c r="BL97" i="6"/>
  <c r="BL98" i="6"/>
  <c r="BF91" i="6"/>
  <c r="BF92" i="6"/>
  <c r="BF93" i="6"/>
  <c r="BF94" i="6"/>
  <c r="BF95" i="6"/>
  <c r="BF96" i="6"/>
  <c r="AW91" i="6"/>
  <c r="AW92" i="6"/>
  <c r="AW93" i="6"/>
  <c r="AW94" i="6"/>
  <c r="AW95" i="6"/>
  <c r="AW96" i="6"/>
  <c r="AN91" i="6"/>
  <c r="AN92" i="6"/>
  <c r="AN93" i="6"/>
  <c r="AN94" i="6"/>
  <c r="AN95" i="6"/>
  <c r="AN96" i="6"/>
  <c r="AD91" i="6"/>
  <c r="AD92" i="6"/>
  <c r="AD93" i="6"/>
  <c r="AD94" i="6"/>
  <c r="AD95" i="6"/>
  <c r="AD96" i="6"/>
  <c r="T91" i="6"/>
  <c r="T92" i="6"/>
  <c r="T93" i="6"/>
  <c r="T94" i="6"/>
  <c r="T95" i="6"/>
  <c r="T96" i="6"/>
  <c r="J91" i="6"/>
  <c r="J92" i="6"/>
  <c r="J93" i="6"/>
  <c r="J94" i="6"/>
  <c r="J95" i="6"/>
  <c r="J96" i="6"/>
  <c r="AC46" i="6"/>
  <c r="AC47" i="6"/>
  <c r="L72" i="6"/>
  <c r="L73" i="6"/>
  <c r="L74" i="6"/>
  <c r="L75" i="6"/>
  <c r="L76" i="6"/>
  <c r="L77" i="6"/>
  <c r="I72" i="6"/>
  <c r="I73" i="6"/>
  <c r="I74" i="6"/>
  <c r="I75" i="6"/>
  <c r="I76" i="6"/>
  <c r="I77" i="6"/>
  <c r="AA81" i="6"/>
  <c r="X81" i="6"/>
  <c r="U81" i="6"/>
  <c r="R81" i="6"/>
  <c r="O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Y80" i="6"/>
  <c r="Y79" i="6"/>
  <c r="Y78" i="6"/>
  <c r="Y77" i="6"/>
  <c r="Y76" i="6"/>
  <c r="Y75" i="6"/>
  <c r="Y74" i="6"/>
  <c r="Y73" i="6"/>
  <c r="Y72" i="6"/>
  <c r="Y71" i="6"/>
  <c r="Y70" i="6"/>
  <c r="Y69" i="6"/>
  <c r="V80" i="6"/>
  <c r="V79" i="6"/>
  <c r="V78" i="6"/>
  <c r="V77" i="6"/>
  <c r="V76" i="6"/>
  <c r="V75" i="6"/>
  <c r="V74" i="6"/>
  <c r="V73" i="6"/>
  <c r="V72" i="6"/>
  <c r="V71" i="6"/>
  <c r="V70" i="6"/>
  <c r="V69" i="6"/>
  <c r="S80" i="6"/>
  <c r="S79" i="6"/>
  <c r="S78" i="6"/>
  <c r="S77" i="6"/>
  <c r="S76" i="6"/>
  <c r="S75" i="6"/>
  <c r="S74" i="6"/>
  <c r="S73" i="6"/>
  <c r="S72" i="6"/>
  <c r="S71" i="6"/>
  <c r="S70" i="6"/>
  <c r="S69" i="6"/>
  <c r="P80" i="6"/>
  <c r="P79" i="6"/>
  <c r="P78" i="6"/>
  <c r="P77" i="6"/>
  <c r="P76" i="6"/>
  <c r="P75" i="6"/>
  <c r="P74" i="6"/>
  <c r="P73" i="6"/>
  <c r="P72" i="6"/>
  <c r="P71" i="6"/>
  <c r="P70" i="6"/>
  <c r="P69" i="6"/>
  <c r="F72" i="6"/>
  <c r="F73" i="6"/>
  <c r="F74" i="6"/>
  <c r="F75" i="6"/>
  <c r="F76" i="6"/>
  <c r="F77" i="6"/>
  <c r="C72" i="6"/>
  <c r="C73" i="6"/>
  <c r="C74" i="6"/>
  <c r="C75" i="6"/>
  <c r="C76" i="6"/>
  <c r="C77" i="6"/>
  <c r="BL56" i="6"/>
  <c r="BL57" i="6"/>
  <c r="BL58" i="6"/>
  <c r="BL59" i="6"/>
  <c r="BL60" i="6"/>
  <c r="BL61" i="6"/>
  <c r="BH56" i="6"/>
  <c r="BH57" i="6"/>
  <c r="BH58" i="6"/>
  <c r="BH59" i="6"/>
  <c r="BH60" i="6"/>
  <c r="BH61" i="6"/>
  <c r="BD56" i="6"/>
  <c r="BD57" i="6"/>
  <c r="BD58" i="6"/>
  <c r="BD59" i="6"/>
  <c r="BD60" i="6"/>
  <c r="BD61" i="6"/>
  <c r="AZ56" i="6"/>
  <c r="AZ57" i="6"/>
  <c r="AZ58" i="6"/>
  <c r="AZ59" i="6"/>
  <c r="AZ60" i="6"/>
  <c r="AZ61" i="6"/>
  <c r="AV56" i="6"/>
  <c r="AV57" i="6"/>
  <c r="AV58" i="6"/>
  <c r="AV59" i="6"/>
  <c r="AV60" i="6"/>
  <c r="AV61" i="6"/>
  <c r="AR56" i="6"/>
  <c r="AR57" i="6"/>
  <c r="AR58" i="6"/>
  <c r="AR59" i="6"/>
  <c r="AR60" i="6"/>
  <c r="AR61" i="6"/>
  <c r="AN56" i="6"/>
  <c r="AN57" i="6"/>
  <c r="AN58" i="6"/>
  <c r="AN59" i="6"/>
  <c r="AN60" i="6"/>
  <c r="AN61" i="6"/>
  <c r="AJ56" i="6"/>
  <c r="AJ57" i="6"/>
  <c r="AJ58" i="6"/>
  <c r="AJ59" i="6"/>
  <c r="AJ60" i="6"/>
  <c r="AJ61" i="6"/>
  <c r="AF56" i="6"/>
  <c r="AF57" i="6"/>
  <c r="AF58" i="6"/>
  <c r="AF59" i="6"/>
  <c r="AF60" i="6"/>
  <c r="AF61" i="6"/>
  <c r="AB56" i="6"/>
  <c r="AB57" i="6"/>
  <c r="AB58" i="6"/>
  <c r="AB59" i="6"/>
  <c r="AB60" i="6"/>
  <c r="AB61" i="6"/>
  <c r="X56" i="6"/>
  <c r="X57" i="6"/>
  <c r="X58" i="6"/>
  <c r="X59" i="6"/>
  <c r="X60" i="6"/>
  <c r="X61" i="6"/>
  <c r="T56" i="6"/>
  <c r="T57" i="6"/>
  <c r="T58" i="6"/>
  <c r="T59" i="6"/>
  <c r="T60" i="6"/>
  <c r="T61" i="6"/>
  <c r="P56" i="6"/>
  <c r="P57" i="6"/>
  <c r="P58" i="6"/>
  <c r="P59" i="6"/>
  <c r="P60" i="6"/>
  <c r="P61" i="6"/>
  <c r="O54" i="6"/>
  <c r="O55" i="6"/>
  <c r="O56" i="6"/>
  <c r="O57" i="6"/>
  <c r="O58" i="6"/>
  <c r="O59" i="6"/>
  <c r="O60" i="6"/>
  <c r="O61" i="6"/>
  <c r="O62" i="6"/>
  <c r="O63" i="6"/>
  <c r="N54" i="6"/>
  <c r="N55" i="6"/>
  <c r="N56" i="6"/>
  <c r="N57" i="6"/>
  <c r="N58" i="6"/>
  <c r="N59" i="6"/>
  <c r="N60" i="6"/>
  <c r="N61" i="6"/>
  <c r="N62" i="6"/>
  <c r="N63" i="6"/>
  <c r="N64" i="6"/>
  <c r="O53" i="6"/>
  <c r="L56" i="6"/>
  <c r="L57" i="6"/>
  <c r="L58" i="6"/>
  <c r="L59" i="6"/>
  <c r="L60" i="6"/>
  <c r="L61" i="6"/>
  <c r="H56" i="6"/>
  <c r="H57" i="6"/>
  <c r="H58" i="6"/>
  <c r="H59" i="6"/>
  <c r="H60" i="6"/>
  <c r="H61" i="6"/>
  <c r="D56" i="6"/>
  <c r="D57" i="6"/>
  <c r="D58" i="6"/>
  <c r="D59" i="6"/>
  <c r="D60" i="6"/>
  <c r="D61" i="6"/>
  <c r="BK40" i="6"/>
  <c r="BK41" i="6"/>
  <c r="BK42" i="6"/>
  <c r="BK43" i="6"/>
  <c r="BK44" i="6"/>
  <c r="BK45" i="6"/>
  <c r="BG40" i="6"/>
  <c r="BG41" i="6"/>
  <c r="BG42" i="6"/>
  <c r="BG43" i="6"/>
  <c r="BG44" i="6"/>
  <c r="BG45" i="6"/>
  <c r="BC40" i="6"/>
  <c r="BC41" i="6"/>
  <c r="BC42" i="6"/>
  <c r="BC43" i="6"/>
  <c r="BC44" i="6"/>
  <c r="BC45" i="6"/>
  <c r="AX45" i="6"/>
  <c r="AX44" i="6"/>
  <c r="AX43" i="6"/>
  <c r="AX42" i="6"/>
  <c r="AX41" i="6"/>
  <c r="AX40" i="6"/>
  <c r="AS45" i="6"/>
  <c r="AS44" i="6"/>
  <c r="AS43" i="6"/>
  <c r="AS42" i="6"/>
  <c r="AS41" i="6"/>
  <c r="AS40" i="6"/>
  <c r="AN45" i="6"/>
  <c r="AN44" i="6"/>
  <c r="AN43" i="6"/>
  <c r="AN42" i="6"/>
  <c r="AN41" i="6"/>
  <c r="AN40" i="6"/>
  <c r="AD40" i="6"/>
  <c r="AD41" i="6"/>
  <c r="AD42" i="6"/>
  <c r="AD43" i="6"/>
  <c r="AD44" i="6"/>
  <c r="AD45" i="6"/>
  <c r="AK160" i="6" l="1"/>
  <c r="AK156" i="6"/>
  <c r="BN96" i="6"/>
  <c r="BN92" i="6"/>
  <c r="AK159" i="6"/>
  <c r="AK155" i="6"/>
  <c r="BN95" i="6"/>
  <c r="BN91" i="6"/>
  <c r="AK158" i="6"/>
  <c r="BN94" i="6"/>
  <c r="AK157" i="6"/>
  <c r="BN93" i="6"/>
  <c r="Q60" i="6"/>
  <c r="Q56" i="6"/>
  <c r="Q62" i="6"/>
  <c r="Q58" i="6"/>
  <c r="Q63" i="6"/>
  <c r="Q59" i="6"/>
  <c r="Q61" i="6"/>
  <c r="Q57" i="6"/>
  <c r="Y40" i="6"/>
  <c r="Y41" i="6"/>
  <c r="Y42" i="6"/>
  <c r="Y43" i="6"/>
  <c r="Y44" i="6"/>
  <c r="Y45" i="6"/>
  <c r="T40" i="6"/>
  <c r="T41" i="6"/>
  <c r="T42" i="6"/>
  <c r="T43" i="6"/>
  <c r="T44" i="6"/>
  <c r="T45" i="6"/>
  <c r="O40" i="6"/>
  <c r="O41" i="6"/>
  <c r="O42" i="6"/>
  <c r="O43" i="6"/>
  <c r="O44" i="6"/>
  <c r="O45" i="6"/>
  <c r="J40" i="6"/>
  <c r="J41" i="6"/>
  <c r="J42" i="6"/>
  <c r="J43" i="6"/>
  <c r="J44" i="6"/>
  <c r="J45" i="6"/>
  <c r="E40" i="6"/>
  <c r="E41" i="6"/>
  <c r="E42" i="6"/>
  <c r="E43" i="6"/>
  <c r="E44" i="6"/>
  <c r="E45" i="6"/>
  <c r="BC24" i="6"/>
  <c r="BC25" i="6"/>
  <c r="BC26" i="6"/>
  <c r="BC27" i="6"/>
  <c r="BC28" i="6"/>
  <c r="BC29" i="6"/>
  <c r="AX24" i="6"/>
  <c r="AX25" i="6"/>
  <c r="AX26" i="6"/>
  <c r="AX27" i="6"/>
  <c r="AX28" i="6"/>
  <c r="AX29" i="6"/>
  <c r="AS24" i="6"/>
  <c r="AS25" i="6"/>
  <c r="AS26" i="6"/>
  <c r="AS27" i="6"/>
  <c r="AS28" i="6"/>
  <c r="AS29" i="6"/>
  <c r="AN24" i="6"/>
  <c r="AN25" i="6"/>
  <c r="AN26" i="6"/>
  <c r="AN27" i="6"/>
  <c r="AN28" i="6"/>
  <c r="AN29" i="6"/>
  <c r="AI24" i="6"/>
  <c r="AI25" i="6"/>
  <c r="AI26" i="6"/>
  <c r="AI27" i="6"/>
  <c r="AI28" i="6"/>
  <c r="AI29" i="6"/>
  <c r="AD24" i="6"/>
  <c r="AD25" i="6"/>
  <c r="AD26" i="6"/>
  <c r="AD27" i="6"/>
  <c r="AD28" i="6"/>
  <c r="AD29" i="6"/>
  <c r="Y24" i="6"/>
  <c r="Y25" i="6"/>
  <c r="Y26" i="6"/>
  <c r="Y27" i="6"/>
  <c r="Y28" i="6"/>
  <c r="Y29" i="6"/>
  <c r="X26" i="6"/>
  <c r="X27" i="6"/>
  <c r="X28" i="6"/>
  <c r="X29" i="6"/>
  <c r="X30" i="6"/>
  <c r="X31" i="6"/>
  <c r="T24" i="6"/>
  <c r="T25" i="6"/>
  <c r="T26" i="6"/>
  <c r="T27" i="6"/>
  <c r="T28" i="6"/>
  <c r="T29" i="6"/>
  <c r="O24" i="6"/>
  <c r="O25" i="6"/>
  <c r="O26" i="6"/>
  <c r="O27" i="6"/>
  <c r="O28" i="6"/>
  <c r="O29" i="6"/>
  <c r="J24" i="6"/>
  <c r="J25" i="6"/>
  <c r="J26" i="6"/>
  <c r="J27" i="6"/>
  <c r="J28" i="6"/>
  <c r="J29" i="6"/>
  <c r="E24" i="6"/>
  <c r="E25" i="6"/>
  <c r="E26" i="6"/>
  <c r="E27" i="6"/>
  <c r="E28" i="6"/>
  <c r="E29" i="6"/>
  <c r="BM8" i="6"/>
  <c r="BM9" i="6"/>
  <c r="BM10" i="6"/>
  <c r="BM11" i="6"/>
  <c r="BM12" i="6"/>
  <c r="BM13" i="6"/>
  <c r="BF8" i="6"/>
  <c r="BF9" i="6"/>
  <c r="BF10" i="6"/>
  <c r="BF11" i="6"/>
  <c r="BF12" i="6"/>
  <c r="BF13" i="6"/>
  <c r="AW8" i="6"/>
  <c r="AW9" i="6"/>
  <c r="AW10" i="6"/>
  <c r="AW11" i="6"/>
  <c r="AW12" i="6"/>
  <c r="AW13" i="6"/>
  <c r="AN8" i="6"/>
  <c r="AN9" i="6"/>
  <c r="AN10" i="6"/>
  <c r="AN11" i="6"/>
  <c r="AN12" i="6"/>
  <c r="AN13" i="6"/>
  <c r="AD8" i="6"/>
  <c r="AD9" i="6"/>
  <c r="AD10" i="6"/>
  <c r="AD11" i="6"/>
  <c r="AD12" i="6"/>
  <c r="AD13" i="6"/>
  <c r="T8" i="6"/>
  <c r="T9" i="6"/>
  <c r="T10" i="6"/>
  <c r="T11" i="6"/>
  <c r="T12" i="6"/>
  <c r="T13" i="6"/>
  <c r="J8" i="6"/>
  <c r="J9" i="6"/>
  <c r="J10" i="6"/>
  <c r="J11" i="6"/>
  <c r="J12" i="6"/>
  <c r="J13" i="6"/>
  <c r="AK77" i="6" l="1"/>
  <c r="AK73" i="6"/>
  <c r="AK76" i="6"/>
  <c r="AK72" i="6"/>
  <c r="AK75" i="6"/>
  <c r="AK74" i="6"/>
  <c r="Z28" i="6"/>
  <c r="Z31" i="6"/>
  <c r="Z27" i="6"/>
  <c r="Z30" i="6"/>
  <c r="Z26" i="6"/>
  <c r="Z29" i="6"/>
  <c r="AH38" i="6" l="1"/>
  <c r="AH39" i="6"/>
  <c r="AH40" i="6"/>
  <c r="AJ40" i="6" s="1"/>
  <c r="AH41" i="6"/>
  <c r="AJ41" i="6" s="1"/>
  <c r="AH42" i="6"/>
  <c r="AJ42" i="6" s="1"/>
  <c r="AH43" i="6"/>
  <c r="AJ43" i="6" s="1"/>
  <c r="AH44" i="6"/>
  <c r="AJ44" i="6" s="1"/>
  <c r="AH45" i="6"/>
  <c r="AJ45" i="6" s="1"/>
  <c r="AH37" i="6"/>
  <c r="AG46" i="6"/>
  <c r="AG47" i="6"/>
  <c r="AG48" i="6"/>
  <c r="I38" i="6"/>
  <c r="I39" i="6"/>
  <c r="I40" i="6"/>
  <c r="K40" i="6" s="1"/>
  <c r="I41" i="6"/>
  <c r="K41" i="6" s="1"/>
  <c r="I42" i="6"/>
  <c r="K42" i="6" s="1"/>
  <c r="I43" i="6"/>
  <c r="K43" i="6" s="1"/>
  <c r="I44" i="6"/>
  <c r="K44" i="6" s="1"/>
  <c r="I45" i="6"/>
  <c r="K45" i="6" s="1"/>
  <c r="I37" i="6"/>
  <c r="H47" i="6"/>
  <c r="H48" i="6"/>
  <c r="H46" i="6"/>
  <c r="BD16" i="6"/>
  <c r="BD13" i="6"/>
  <c r="BD14" i="6"/>
  <c r="BD15" i="6"/>
  <c r="W58" i="6" l="1"/>
  <c r="Y58" i="6" s="1"/>
  <c r="H157" i="6"/>
  <c r="J157" i="6" s="1"/>
  <c r="E157" i="6"/>
  <c r="G157" i="6" s="1"/>
  <c r="B157" i="6"/>
  <c r="D157" i="6" s="1"/>
  <c r="AQ141" i="6"/>
  <c r="AS141" i="6" s="1"/>
  <c r="AR125" i="6"/>
  <c r="AT125" i="6" s="1"/>
  <c r="X109" i="6"/>
  <c r="Z109" i="6" s="1"/>
  <c r="I109" i="6"/>
  <c r="K109" i="6" s="1"/>
  <c r="AM93" i="6" l="1"/>
  <c r="AO93" i="6" s="1"/>
  <c r="AU58" i="6"/>
  <c r="AW58" i="6" s="1"/>
  <c r="AA58" i="6"/>
  <c r="AC58" i="6" s="1"/>
  <c r="M1986" i="2"/>
  <c r="O1986" i="2" s="1"/>
  <c r="N1986" i="2"/>
  <c r="P1986" i="2" s="1"/>
  <c r="C58" i="6"/>
  <c r="E58" i="6" s="1"/>
  <c r="I26" i="6"/>
  <c r="K26" i="6" s="1"/>
  <c r="BK140" i="6" l="1"/>
  <c r="BM140" i="6" s="1"/>
  <c r="BK141" i="6"/>
  <c r="BM141" i="6" s="1"/>
  <c r="BG141" i="6"/>
  <c r="BI141" i="6" s="1"/>
  <c r="BC141" i="6"/>
  <c r="BE141" i="6" s="1"/>
  <c r="AY141" i="6"/>
  <c r="BA141" i="6" s="1"/>
  <c r="AU141" i="6"/>
  <c r="AW141" i="6" s="1"/>
  <c r="AM141" i="6"/>
  <c r="AO141" i="6" s="1"/>
  <c r="AI141" i="6"/>
  <c r="AK141" i="6" s="1"/>
  <c r="AE141" i="6"/>
  <c r="AG141" i="6" s="1"/>
  <c r="AA141" i="6"/>
  <c r="AC141" i="6" s="1"/>
  <c r="W141" i="6"/>
  <c r="Y141" i="6" s="1"/>
  <c r="S141" i="6"/>
  <c r="U141" i="6" s="1"/>
  <c r="O141" i="6"/>
  <c r="Q141" i="6" s="1"/>
  <c r="K141" i="6"/>
  <c r="M141" i="6" s="1"/>
  <c r="G141" i="6"/>
  <c r="I141" i="6" s="1"/>
  <c r="G143" i="6"/>
  <c r="I143" i="6" s="1"/>
  <c r="C141" i="6"/>
  <c r="E141" i="6" s="1"/>
  <c r="BJ123" i="6"/>
  <c r="BL123" i="6" s="1"/>
  <c r="BJ125" i="6"/>
  <c r="BL125" i="6" s="1"/>
  <c r="BI129" i="6"/>
  <c r="BF125" i="6"/>
  <c r="BH125" i="6" s="1"/>
  <c r="BB125" i="6"/>
  <c r="BD125" i="6" s="1"/>
  <c r="AW121" i="6"/>
  <c r="AW125" i="6"/>
  <c r="AY125" i="6" s="1"/>
  <c r="AW120" i="6"/>
  <c r="AM125" i="6"/>
  <c r="AO125" i="6" s="1"/>
  <c r="AH125" i="6"/>
  <c r="AJ125" i="6" s="1"/>
  <c r="AH120" i="6"/>
  <c r="AC125" i="6"/>
  <c r="AE125" i="6" s="1"/>
  <c r="X122" i="6"/>
  <c r="X125" i="6"/>
  <c r="Z125" i="6" s="1"/>
  <c r="S125" i="6"/>
  <c r="U125" i="6" s="1"/>
  <c r="N125" i="6"/>
  <c r="P125" i="6" s="1"/>
  <c r="N126" i="6"/>
  <c r="P126" i="6" s="1"/>
  <c r="I125" i="6"/>
  <c r="K125" i="6" s="1"/>
  <c r="D121" i="6"/>
  <c r="D125" i="6"/>
  <c r="F125" i="6" s="1"/>
  <c r="C131" i="6"/>
  <c r="BB109" i="6"/>
  <c r="BD109" i="6" s="1"/>
  <c r="BA114" i="6"/>
  <c r="AW109" i="6"/>
  <c r="AY109" i="6" s="1"/>
  <c r="AW111" i="6"/>
  <c r="AY111" i="6" s="1"/>
  <c r="AR109" i="6"/>
  <c r="AT109" i="6" s="1"/>
  <c r="AM108" i="6"/>
  <c r="AO108" i="6" s="1"/>
  <c r="AM109" i="6"/>
  <c r="AO109" i="6" s="1"/>
  <c r="AH109" i="6"/>
  <c r="AJ109" i="6" s="1"/>
  <c r="AC109" i="6"/>
  <c r="AE109" i="6" s="1"/>
  <c r="AB113" i="6"/>
  <c r="R113" i="6"/>
  <c r="S109" i="6"/>
  <c r="U109" i="6" s="1"/>
  <c r="S110" i="6"/>
  <c r="U110" i="6" s="1"/>
  <c r="N109" i="6"/>
  <c r="P109" i="6" s="1"/>
  <c r="C115" i="6"/>
  <c r="D109" i="6"/>
  <c r="F109" i="6" s="1"/>
  <c r="BE93" i="6"/>
  <c r="BG93" i="6" s="1"/>
  <c r="AV93" i="6"/>
  <c r="AX93" i="6" s="1"/>
  <c r="AC93" i="6"/>
  <c r="AE93" i="6" s="1"/>
  <c r="M2630" i="2"/>
  <c r="O2630" i="2" s="1"/>
  <c r="N2630" i="2"/>
  <c r="P2630" i="2" s="1"/>
  <c r="N2633" i="2"/>
  <c r="P2633" i="2" s="1"/>
  <c r="M2633" i="2"/>
  <c r="O2633" i="2" s="1"/>
  <c r="N2632" i="2"/>
  <c r="P2632" i="2" s="1"/>
  <c r="M2632" i="2"/>
  <c r="O2632" i="2" s="1"/>
  <c r="N2631" i="2"/>
  <c r="P2631" i="2" s="1"/>
  <c r="M2631" i="2"/>
  <c r="O2631" i="2" s="1"/>
  <c r="N2629" i="2"/>
  <c r="P2629" i="2" s="1"/>
  <c r="M2629" i="2"/>
  <c r="O2629" i="2" s="1"/>
  <c r="N2628" i="2"/>
  <c r="P2628" i="2" s="1"/>
  <c r="M2628" i="2"/>
  <c r="O2628" i="2" s="1"/>
  <c r="N2627" i="2"/>
  <c r="M2627" i="2"/>
  <c r="N2626" i="2"/>
  <c r="M2626" i="2"/>
  <c r="N2625" i="2"/>
  <c r="M2625" i="2"/>
  <c r="N2624" i="2"/>
  <c r="M2624" i="2"/>
  <c r="O2624" i="2" s="1"/>
  <c r="N2623" i="2"/>
  <c r="K162" i="6" s="1"/>
  <c r="M162" i="6" s="1"/>
  <c r="M2623" i="2"/>
  <c r="O2623" i="2" s="1"/>
  <c r="N2622" i="2"/>
  <c r="M2622" i="2"/>
  <c r="O2622" i="2" s="1"/>
  <c r="H74" i="6"/>
  <c r="J74" i="6" s="1"/>
  <c r="L2605" i="2"/>
  <c r="K2605" i="2"/>
  <c r="J2605" i="2"/>
  <c r="H2605" i="2"/>
  <c r="G2605" i="2"/>
  <c r="F2605" i="2"/>
  <c r="D2605" i="2"/>
  <c r="C2605" i="2"/>
  <c r="I2605" i="2"/>
  <c r="E2605" i="2"/>
  <c r="M2601" i="2"/>
  <c r="O2601" i="2" s="1"/>
  <c r="N2601" i="2"/>
  <c r="P2601" i="2" s="1"/>
  <c r="M2591" i="2"/>
  <c r="O2591" i="2" s="1"/>
  <c r="N2591" i="2"/>
  <c r="N2590" i="2"/>
  <c r="M2590" i="2"/>
  <c r="H75" i="6" s="1"/>
  <c r="J75" i="6" s="1"/>
  <c r="N2588" i="2"/>
  <c r="M2588" i="2"/>
  <c r="H73" i="6" s="1"/>
  <c r="J73" i="6" s="1"/>
  <c r="N2587" i="2"/>
  <c r="M2587" i="2"/>
  <c r="H72" i="6" s="1"/>
  <c r="J72" i="6" s="1"/>
  <c r="O2586" i="2"/>
  <c r="N2586" i="2"/>
  <c r="M2586" i="2"/>
  <c r="H71" i="6" s="1"/>
  <c r="N2585" i="2"/>
  <c r="M2585" i="2"/>
  <c r="O2585" i="2" s="1"/>
  <c r="N2584" i="2"/>
  <c r="M2584" i="2"/>
  <c r="H69" i="6" s="1"/>
  <c r="N2583" i="2"/>
  <c r="P2583" i="2" s="1"/>
  <c r="M2583" i="2"/>
  <c r="O2583" i="2" s="1"/>
  <c r="N2582" i="2"/>
  <c r="P2582" i="2" s="1"/>
  <c r="M2582" i="2"/>
  <c r="O2582" i="2" s="1"/>
  <c r="N2581" i="2"/>
  <c r="P2581" i="2" s="1"/>
  <c r="M2581" i="2"/>
  <c r="O2581" i="2" s="1"/>
  <c r="E74" i="6"/>
  <c r="G74" i="6" s="1"/>
  <c r="C2576" i="2"/>
  <c r="L2576" i="2"/>
  <c r="K2576" i="2"/>
  <c r="J2576" i="2"/>
  <c r="H2576" i="2"/>
  <c r="G2576" i="2"/>
  <c r="F2576" i="2"/>
  <c r="E2576" i="2"/>
  <c r="D2576" i="2"/>
  <c r="M2572" i="2"/>
  <c r="O2572" i="2" s="1"/>
  <c r="N2572" i="2"/>
  <c r="P2572" i="2" s="1"/>
  <c r="M2562" i="2"/>
  <c r="O2562" i="2" s="1"/>
  <c r="N2562" i="2"/>
  <c r="N2561" i="2"/>
  <c r="M2561" i="2"/>
  <c r="E75" i="6" s="1"/>
  <c r="G75" i="6" s="1"/>
  <c r="N2559" i="2"/>
  <c r="M2559" i="2"/>
  <c r="O2559" i="2" s="1"/>
  <c r="N2558" i="2"/>
  <c r="M2558" i="2"/>
  <c r="E72" i="6" s="1"/>
  <c r="G72" i="6" s="1"/>
  <c r="N2557" i="2"/>
  <c r="M2557" i="2"/>
  <c r="E71" i="6" s="1"/>
  <c r="N2556" i="2"/>
  <c r="M2556" i="2"/>
  <c r="O2556" i="2" s="1"/>
  <c r="N2555" i="2"/>
  <c r="M2555" i="2"/>
  <c r="O2555" i="2" s="1"/>
  <c r="O2554" i="2"/>
  <c r="N2554" i="2"/>
  <c r="P2554" i="2" s="1"/>
  <c r="M2554" i="2"/>
  <c r="N2553" i="2"/>
  <c r="P2553" i="2" s="1"/>
  <c r="M2553" i="2"/>
  <c r="O2553" i="2" s="1"/>
  <c r="N2552" i="2"/>
  <c r="P2552" i="2" s="1"/>
  <c r="M2552" i="2"/>
  <c r="O2552" i="2" s="1"/>
  <c r="B74" i="6"/>
  <c r="D74" i="6" s="1"/>
  <c r="L2548" i="2"/>
  <c r="K2548" i="2"/>
  <c r="I2548" i="2"/>
  <c r="G2548" i="2"/>
  <c r="E2548" i="2"/>
  <c r="D2548" i="2"/>
  <c r="C2548" i="2"/>
  <c r="J2548" i="2"/>
  <c r="H2548" i="2"/>
  <c r="F2548" i="2"/>
  <c r="M2544" i="2"/>
  <c r="O2544" i="2" s="1"/>
  <c r="N2544" i="2"/>
  <c r="P2544" i="2" s="1"/>
  <c r="M2534" i="2"/>
  <c r="O2534" i="2" s="1"/>
  <c r="N2534" i="2"/>
  <c r="N2533" i="2"/>
  <c r="M2533" i="2"/>
  <c r="B75" i="6" s="1"/>
  <c r="D75" i="6" s="1"/>
  <c r="N2531" i="2"/>
  <c r="B156" i="6" s="1"/>
  <c r="D156" i="6" s="1"/>
  <c r="M2531" i="2"/>
  <c r="O2531" i="2" s="1"/>
  <c r="N2530" i="2"/>
  <c r="M2530" i="2"/>
  <c r="B72" i="6" s="1"/>
  <c r="D72" i="6" s="1"/>
  <c r="N2529" i="2"/>
  <c r="M2529" i="2"/>
  <c r="B71" i="6" s="1"/>
  <c r="N2528" i="2"/>
  <c r="M2528" i="2"/>
  <c r="B70" i="6" s="1"/>
  <c r="N2527" i="2"/>
  <c r="M2527" i="2"/>
  <c r="B69" i="6" s="1"/>
  <c r="N2526" i="2"/>
  <c r="P2526" i="2" s="1"/>
  <c r="M2526" i="2"/>
  <c r="O2526" i="2" s="1"/>
  <c r="N2525" i="2"/>
  <c r="P2525" i="2" s="1"/>
  <c r="M2525" i="2"/>
  <c r="O2525" i="2" s="1"/>
  <c r="O2524" i="2"/>
  <c r="N2524" i="2"/>
  <c r="P2524" i="2" s="1"/>
  <c r="M2524" i="2"/>
  <c r="BJ64" i="6"/>
  <c r="BK58" i="6"/>
  <c r="BM58" i="6" s="1"/>
  <c r="L2520" i="2"/>
  <c r="K2520" i="2"/>
  <c r="J2520" i="2"/>
  <c r="I2520" i="2"/>
  <c r="H2520" i="2"/>
  <c r="G2520" i="2"/>
  <c r="F2520" i="2"/>
  <c r="E2520" i="2"/>
  <c r="D2520" i="2"/>
  <c r="C2520" i="2"/>
  <c r="M2516" i="2"/>
  <c r="O2516" i="2" s="1"/>
  <c r="N2516" i="2"/>
  <c r="P2516" i="2" s="1"/>
  <c r="M2506" i="2"/>
  <c r="O2506" i="2" s="1"/>
  <c r="N2506" i="2"/>
  <c r="P2506" i="2" s="1"/>
  <c r="N2505" i="2"/>
  <c r="P2505" i="2" s="1"/>
  <c r="M2505" i="2"/>
  <c r="O2505" i="2" s="1"/>
  <c r="N2503" i="2"/>
  <c r="P2503" i="2" s="1"/>
  <c r="M2503" i="2"/>
  <c r="O2503" i="2" s="1"/>
  <c r="N2502" i="2"/>
  <c r="P2502" i="2" s="1"/>
  <c r="M2502" i="2"/>
  <c r="BK56" i="6" s="1"/>
  <c r="BM56" i="6" s="1"/>
  <c r="N2501" i="2"/>
  <c r="P2501" i="2" s="1"/>
  <c r="M2501" i="2"/>
  <c r="O2501" i="2" s="1"/>
  <c r="N2500" i="2"/>
  <c r="P2500" i="2" s="1"/>
  <c r="M2500" i="2"/>
  <c r="O2500" i="2" s="1"/>
  <c r="N2499" i="2"/>
  <c r="P2499" i="2" s="1"/>
  <c r="M2499" i="2"/>
  <c r="O2499" i="2" s="1"/>
  <c r="O2498" i="2"/>
  <c r="N2498" i="2"/>
  <c r="P2498" i="2" s="1"/>
  <c r="M2498" i="2"/>
  <c r="N2497" i="2"/>
  <c r="P2497" i="2" s="1"/>
  <c r="M2497" i="2"/>
  <c r="BJ63" i="6" s="1"/>
  <c r="N2496" i="2"/>
  <c r="P2496" i="2" s="1"/>
  <c r="M2496" i="2"/>
  <c r="O2496" i="2" s="1"/>
  <c r="BG58" i="6"/>
  <c r="BI58" i="6" s="1"/>
  <c r="L2489" i="2"/>
  <c r="K2489" i="2"/>
  <c r="J2489" i="2"/>
  <c r="I2489" i="2"/>
  <c r="H2489" i="2"/>
  <c r="G2489" i="2"/>
  <c r="F2489" i="2"/>
  <c r="N2476" i="2"/>
  <c r="P2476" i="2" s="1"/>
  <c r="C2489" i="2"/>
  <c r="M2485" i="2"/>
  <c r="O2485" i="2" s="1"/>
  <c r="N2485" i="2"/>
  <c r="P2485" i="2" s="1"/>
  <c r="N2475" i="2"/>
  <c r="P2475" i="2" s="1"/>
  <c r="M2475" i="2"/>
  <c r="O2475" i="2" s="1"/>
  <c r="N2474" i="2"/>
  <c r="P2474" i="2" s="1"/>
  <c r="M2474" i="2"/>
  <c r="BG59" i="6" s="1"/>
  <c r="BI59" i="6" s="1"/>
  <c r="N2472" i="2"/>
  <c r="P2472" i="2" s="1"/>
  <c r="M2472" i="2"/>
  <c r="BG57" i="6" s="1"/>
  <c r="BI57" i="6" s="1"/>
  <c r="N2471" i="2"/>
  <c r="P2471" i="2" s="1"/>
  <c r="M2471" i="2"/>
  <c r="BG56" i="6" s="1"/>
  <c r="BI56" i="6" s="1"/>
  <c r="N2470" i="2"/>
  <c r="P2470" i="2" s="1"/>
  <c r="M2470" i="2"/>
  <c r="BG55" i="6" s="1"/>
  <c r="N2469" i="2"/>
  <c r="P2469" i="2" s="1"/>
  <c r="M2469" i="2"/>
  <c r="BG54" i="6" s="1"/>
  <c r="N2468" i="2"/>
  <c r="P2468" i="2" s="1"/>
  <c r="M2468" i="2"/>
  <c r="BG53" i="6" s="1"/>
  <c r="N2467" i="2"/>
  <c r="P2467" i="2" s="1"/>
  <c r="M2467" i="2"/>
  <c r="BF64" i="6" s="1"/>
  <c r="N2466" i="2"/>
  <c r="P2466" i="2" s="1"/>
  <c r="M2466" i="2"/>
  <c r="O2466" i="2" s="1"/>
  <c r="N2465" i="2"/>
  <c r="P2465" i="2" s="1"/>
  <c r="M2465" i="2"/>
  <c r="BF62" i="6" s="1"/>
  <c r="BC58" i="6"/>
  <c r="BE58" i="6" s="1"/>
  <c r="L2461" i="2"/>
  <c r="K2461" i="2"/>
  <c r="I2461" i="2"/>
  <c r="H2461" i="2"/>
  <c r="G2461" i="2"/>
  <c r="F2461" i="2"/>
  <c r="E2461" i="2"/>
  <c r="D2461" i="2"/>
  <c r="J2461" i="2"/>
  <c r="C2461" i="2"/>
  <c r="M2457" i="2"/>
  <c r="O2457" i="2" s="1"/>
  <c r="N2457" i="2"/>
  <c r="P2457" i="2" s="1"/>
  <c r="M2447" i="2"/>
  <c r="O2447" i="2" s="1"/>
  <c r="N2447" i="2"/>
  <c r="P2447" i="2" s="1"/>
  <c r="N2446" i="2"/>
  <c r="P2446" i="2" s="1"/>
  <c r="M2446" i="2"/>
  <c r="BC59" i="6" s="1"/>
  <c r="BE59" i="6" s="1"/>
  <c r="N2444" i="2"/>
  <c r="P2444" i="2" s="1"/>
  <c r="M2444" i="2"/>
  <c r="BC57" i="6" s="1"/>
  <c r="BE57" i="6" s="1"/>
  <c r="N2443" i="2"/>
  <c r="P2443" i="2" s="1"/>
  <c r="M2443" i="2"/>
  <c r="BC56" i="6" s="1"/>
  <c r="BE56" i="6" s="1"/>
  <c r="N2442" i="2"/>
  <c r="P2442" i="2" s="1"/>
  <c r="M2442" i="2"/>
  <c r="O2442" i="2" s="1"/>
  <c r="N2441" i="2"/>
  <c r="P2441" i="2" s="1"/>
  <c r="M2441" i="2"/>
  <c r="BC54" i="6" s="1"/>
  <c r="N2440" i="2"/>
  <c r="P2440" i="2" s="1"/>
  <c r="M2440" i="2"/>
  <c r="BC53" i="6" s="1"/>
  <c r="N2439" i="2"/>
  <c r="P2439" i="2" s="1"/>
  <c r="M2439" i="2"/>
  <c r="BB64" i="6" s="1"/>
  <c r="N2438" i="2"/>
  <c r="P2438" i="2" s="1"/>
  <c r="M2438" i="2"/>
  <c r="O2438" i="2" s="1"/>
  <c r="N2437" i="2"/>
  <c r="P2437" i="2" s="1"/>
  <c r="M2437" i="2"/>
  <c r="BB62" i="6" s="1"/>
  <c r="AY58" i="6"/>
  <c r="BA58" i="6" s="1"/>
  <c r="M2429" i="2"/>
  <c r="O2429" i="2" s="1"/>
  <c r="N2429" i="2"/>
  <c r="P2429" i="2" s="1"/>
  <c r="N2432" i="2"/>
  <c r="P2432" i="2" s="1"/>
  <c r="M2432" i="2"/>
  <c r="O2432" i="2" s="1"/>
  <c r="M2431" i="2"/>
  <c r="O2431" i="2" s="1"/>
  <c r="N2431" i="2"/>
  <c r="P2431" i="2" s="1"/>
  <c r="N2430" i="2"/>
  <c r="P2430" i="2" s="1"/>
  <c r="M2430" i="2"/>
  <c r="O2430" i="2" s="1"/>
  <c r="N2428" i="2"/>
  <c r="P2428" i="2" s="1"/>
  <c r="M2428" i="2"/>
  <c r="O2428" i="2" s="1"/>
  <c r="N2427" i="2"/>
  <c r="P2427" i="2" s="1"/>
  <c r="M2427" i="2"/>
  <c r="O2427" i="2" s="1"/>
  <c r="N2426" i="2"/>
  <c r="M2426" i="2"/>
  <c r="N2425" i="2"/>
  <c r="M2425" i="2"/>
  <c r="N2424" i="2"/>
  <c r="M2424" i="2"/>
  <c r="N2423" i="2"/>
  <c r="P2423" i="2" s="1"/>
  <c r="M2423" i="2"/>
  <c r="N2422" i="2"/>
  <c r="P2422" i="2" s="1"/>
  <c r="M2422" i="2"/>
  <c r="N2421" i="2"/>
  <c r="P2421" i="2" s="1"/>
  <c r="M2421" i="2"/>
  <c r="L2405" i="2"/>
  <c r="K2405" i="2"/>
  <c r="J2405" i="2"/>
  <c r="I2405" i="2"/>
  <c r="H2405" i="2"/>
  <c r="G2405" i="2"/>
  <c r="F2405" i="2"/>
  <c r="E2405" i="2"/>
  <c r="D2405" i="2"/>
  <c r="C2405" i="2"/>
  <c r="M2401" i="2"/>
  <c r="O2401" i="2" s="1"/>
  <c r="N2401" i="2"/>
  <c r="P2401" i="2" s="1"/>
  <c r="N2404" i="2"/>
  <c r="P2404" i="2" s="1"/>
  <c r="M2404" i="2"/>
  <c r="O2404" i="2" s="1"/>
  <c r="M2403" i="2"/>
  <c r="O2403" i="2" s="1"/>
  <c r="N2403" i="2"/>
  <c r="P2403" i="2" s="1"/>
  <c r="N2402" i="2"/>
  <c r="P2402" i="2" s="1"/>
  <c r="M2402" i="2"/>
  <c r="O2402" i="2" s="1"/>
  <c r="N2400" i="2"/>
  <c r="P2400" i="2" s="1"/>
  <c r="M2400" i="2"/>
  <c r="O2400" i="2" s="1"/>
  <c r="N2399" i="2"/>
  <c r="P2399" i="2" s="1"/>
  <c r="M2399" i="2"/>
  <c r="O2399" i="2" s="1"/>
  <c r="N2398" i="2"/>
  <c r="M2398" i="2"/>
  <c r="N2397" i="2"/>
  <c r="M2397" i="2"/>
  <c r="N2396" i="2"/>
  <c r="M2396" i="2"/>
  <c r="N2395" i="2"/>
  <c r="P2395" i="2" s="1"/>
  <c r="M2395" i="2"/>
  <c r="N2394" i="2"/>
  <c r="P2394" i="2" s="1"/>
  <c r="M2394" i="2"/>
  <c r="N2393" i="2"/>
  <c r="P2393" i="2" s="1"/>
  <c r="M2393" i="2"/>
  <c r="AP62" i="6"/>
  <c r="AQ58" i="6"/>
  <c r="AS58" i="6" s="1"/>
  <c r="L2377" i="2"/>
  <c r="K2377" i="2"/>
  <c r="J2377" i="2"/>
  <c r="I2377" i="2"/>
  <c r="H2377" i="2"/>
  <c r="G2377" i="2"/>
  <c r="F2377" i="2"/>
  <c r="E2377" i="2"/>
  <c r="D2377" i="2"/>
  <c r="C2377" i="2"/>
  <c r="P2373" i="2"/>
  <c r="M2373" i="2"/>
  <c r="O2373" i="2" s="1"/>
  <c r="N2373" i="2"/>
  <c r="N2363" i="2"/>
  <c r="M2363" i="2"/>
  <c r="O2363" i="2" s="1"/>
  <c r="N2362" i="2"/>
  <c r="M2362" i="2"/>
  <c r="AQ59" i="6" s="1"/>
  <c r="AS59" i="6" s="1"/>
  <c r="N2360" i="2"/>
  <c r="M2360" i="2"/>
  <c r="AQ57" i="6" s="1"/>
  <c r="AS57" i="6" s="1"/>
  <c r="N2359" i="2"/>
  <c r="M2359" i="2"/>
  <c r="AQ56" i="6" s="1"/>
  <c r="AS56" i="6" s="1"/>
  <c r="N2358" i="2"/>
  <c r="M2358" i="2"/>
  <c r="AQ55" i="6" s="1"/>
  <c r="N2357" i="2"/>
  <c r="M2357" i="2"/>
  <c r="AQ54" i="6" s="1"/>
  <c r="N2356" i="2"/>
  <c r="M2356" i="2"/>
  <c r="O2356" i="2" s="1"/>
  <c r="N2355" i="2"/>
  <c r="M2355" i="2"/>
  <c r="O2355" i="2" s="1"/>
  <c r="N2354" i="2"/>
  <c r="M2354" i="2"/>
  <c r="O2354" i="2" s="1"/>
  <c r="N2353" i="2"/>
  <c r="M2353" i="2"/>
  <c r="O2353" i="2" s="1"/>
  <c r="AM58" i="6"/>
  <c r="AO58" i="6" s="1"/>
  <c r="L2349" i="2"/>
  <c r="K2349" i="2"/>
  <c r="J2349" i="2"/>
  <c r="I2349" i="2"/>
  <c r="H2349" i="2"/>
  <c r="G2349" i="2"/>
  <c r="F2349" i="2"/>
  <c r="E2349" i="2"/>
  <c r="D2349" i="2"/>
  <c r="C2349" i="2"/>
  <c r="P2345" i="2"/>
  <c r="M2345" i="2"/>
  <c r="O2345" i="2" s="1"/>
  <c r="N2345" i="2"/>
  <c r="N2348" i="2"/>
  <c r="P2348" i="2" s="1"/>
  <c r="M2348" i="2"/>
  <c r="O2348" i="2" s="1"/>
  <c r="M2347" i="2"/>
  <c r="O2347" i="2" s="1"/>
  <c r="N2347" i="2"/>
  <c r="P2347" i="2" s="1"/>
  <c r="N2346" i="2"/>
  <c r="P2346" i="2" s="1"/>
  <c r="M2346" i="2"/>
  <c r="O2346" i="2" s="1"/>
  <c r="N2344" i="2"/>
  <c r="P2344" i="2" s="1"/>
  <c r="M2344" i="2"/>
  <c r="O2344" i="2" s="1"/>
  <c r="N2343" i="2"/>
  <c r="P2343" i="2" s="1"/>
  <c r="M2343" i="2"/>
  <c r="O2343" i="2" s="1"/>
  <c r="N2342" i="2"/>
  <c r="M2342" i="2"/>
  <c r="N2341" i="2"/>
  <c r="M2341" i="2"/>
  <c r="N2340" i="2"/>
  <c r="M2340" i="2"/>
  <c r="N2339" i="2"/>
  <c r="P2339" i="2" s="1"/>
  <c r="M2339" i="2"/>
  <c r="N2338" i="2"/>
  <c r="P2338" i="2" s="1"/>
  <c r="M2338" i="2"/>
  <c r="N2337" i="2"/>
  <c r="P2337" i="2" s="1"/>
  <c r="M2337" i="2"/>
  <c r="AI58" i="6"/>
  <c r="AK58" i="6" s="1"/>
  <c r="L2314" i="2"/>
  <c r="K2314" i="2"/>
  <c r="J2314" i="2"/>
  <c r="I2314" i="2"/>
  <c r="H2314" i="2"/>
  <c r="G2314" i="2"/>
  <c r="F2314" i="2"/>
  <c r="E2314" i="2"/>
  <c r="D2314" i="2"/>
  <c r="C2314" i="2"/>
  <c r="P2310" i="2"/>
  <c r="M2310" i="2"/>
  <c r="O2310" i="2" s="1"/>
  <c r="N2310" i="2"/>
  <c r="N2300" i="2"/>
  <c r="P2300" i="2" s="1"/>
  <c r="M2300" i="2"/>
  <c r="O2300" i="2" s="1"/>
  <c r="N2299" i="2"/>
  <c r="P2299" i="2" s="1"/>
  <c r="M2299" i="2"/>
  <c r="O2299" i="2" s="1"/>
  <c r="N2297" i="2"/>
  <c r="P2297" i="2" s="1"/>
  <c r="M2297" i="2"/>
  <c r="O2297" i="2" s="1"/>
  <c r="N2296" i="2"/>
  <c r="P2296" i="2" s="1"/>
  <c r="M2296" i="2"/>
  <c r="AI56" i="6" s="1"/>
  <c r="AK56" i="6" s="1"/>
  <c r="N2295" i="2"/>
  <c r="P2295" i="2" s="1"/>
  <c r="M2295" i="2"/>
  <c r="O2295" i="2" s="1"/>
  <c r="N2294" i="2"/>
  <c r="P2294" i="2" s="1"/>
  <c r="M2294" i="2"/>
  <c r="O2294" i="2" s="1"/>
  <c r="N2293" i="2"/>
  <c r="P2293" i="2" s="1"/>
  <c r="M2293" i="2"/>
  <c r="O2293" i="2" s="1"/>
  <c r="N2292" i="2"/>
  <c r="P2292" i="2" s="1"/>
  <c r="M2292" i="2"/>
  <c r="AH64" i="6" s="1"/>
  <c r="N2291" i="2"/>
  <c r="P2291" i="2" s="1"/>
  <c r="M2291" i="2"/>
  <c r="AH63" i="6" s="1"/>
  <c r="N2290" i="2"/>
  <c r="P2290" i="2" s="1"/>
  <c r="M2290" i="2"/>
  <c r="AH62" i="6" s="1"/>
  <c r="AE58" i="6"/>
  <c r="AG58" i="6" s="1"/>
  <c r="L2286" i="2"/>
  <c r="K2286" i="2"/>
  <c r="J2286" i="2"/>
  <c r="I2286" i="2"/>
  <c r="H2286" i="2"/>
  <c r="G2286" i="2"/>
  <c r="F2286" i="2"/>
  <c r="E2286" i="2"/>
  <c r="D2286" i="2"/>
  <c r="C2286" i="2"/>
  <c r="M2282" i="2"/>
  <c r="O2282" i="2" s="1"/>
  <c r="N2282" i="2"/>
  <c r="P2282" i="2" s="1"/>
  <c r="N2272" i="2"/>
  <c r="P2272" i="2" s="1"/>
  <c r="M2272" i="2"/>
  <c r="O2272" i="2" s="1"/>
  <c r="N2271" i="2"/>
  <c r="P2271" i="2" s="1"/>
  <c r="M2271" i="2"/>
  <c r="O2271" i="2" s="1"/>
  <c r="N2269" i="2"/>
  <c r="P2269" i="2" s="1"/>
  <c r="M2269" i="2"/>
  <c r="O2269" i="2" s="1"/>
  <c r="N2268" i="2"/>
  <c r="P2268" i="2" s="1"/>
  <c r="M2268" i="2"/>
  <c r="O2268" i="2" s="1"/>
  <c r="N2267" i="2"/>
  <c r="P2267" i="2" s="1"/>
  <c r="M2267" i="2"/>
  <c r="O2267" i="2" s="1"/>
  <c r="N2266" i="2"/>
  <c r="P2266" i="2" s="1"/>
  <c r="M2266" i="2"/>
  <c r="AE54" i="6" s="1"/>
  <c r="N2265" i="2"/>
  <c r="P2265" i="2" s="1"/>
  <c r="M2265" i="2"/>
  <c r="O2265" i="2" s="1"/>
  <c r="N2264" i="2"/>
  <c r="P2264" i="2" s="1"/>
  <c r="M2264" i="2"/>
  <c r="O2264" i="2" s="1"/>
  <c r="N2263" i="2"/>
  <c r="P2263" i="2" s="1"/>
  <c r="M2263" i="2"/>
  <c r="O2263" i="2" s="1"/>
  <c r="N2262" i="2"/>
  <c r="P2262" i="2" s="1"/>
  <c r="M2262" i="2"/>
  <c r="AD62" i="6" s="1"/>
  <c r="P2253" i="2"/>
  <c r="M2253" i="2"/>
  <c r="O2253" i="2" s="1"/>
  <c r="N2253" i="2"/>
  <c r="M2243" i="2"/>
  <c r="N2243" i="2"/>
  <c r="P2243" i="2" s="1"/>
  <c r="N2242" i="2"/>
  <c r="P2242" i="2" s="1"/>
  <c r="M2242" i="2"/>
  <c r="AA59" i="6" s="1"/>
  <c r="AC59" i="6" s="1"/>
  <c r="N2240" i="2"/>
  <c r="P2240" i="2" s="1"/>
  <c r="M2240" i="2"/>
  <c r="N2239" i="2"/>
  <c r="P2239" i="2" s="1"/>
  <c r="M2239" i="2"/>
  <c r="AA56" i="6" s="1"/>
  <c r="AC56" i="6" s="1"/>
  <c r="N2238" i="2"/>
  <c r="P2238" i="2" s="1"/>
  <c r="M2238" i="2"/>
  <c r="AA55" i="6" s="1"/>
  <c r="N2237" i="2"/>
  <c r="P2237" i="2" s="1"/>
  <c r="M2237" i="2"/>
  <c r="N2236" i="2"/>
  <c r="P2236" i="2" s="1"/>
  <c r="M2236" i="2"/>
  <c r="AA53" i="6" s="1"/>
  <c r="N2235" i="2"/>
  <c r="P2235" i="2" s="1"/>
  <c r="M2235" i="2"/>
  <c r="Z64" i="6" s="1"/>
  <c r="N2234" i="2"/>
  <c r="P2234" i="2" s="1"/>
  <c r="M2234" i="2"/>
  <c r="Z63" i="6" s="1"/>
  <c r="N2233" i="2"/>
  <c r="P2233" i="2" s="1"/>
  <c r="M2233" i="2"/>
  <c r="Z62" i="6" s="1"/>
  <c r="O2211" i="2"/>
  <c r="M2211" i="2"/>
  <c r="N2211" i="2"/>
  <c r="P2211" i="2" s="1"/>
  <c r="M2201" i="2"/>
  <c r="N2201" i="2"/>
  <c r="P2201" i="2" s="1"/>
  <c r="N2200" i="2"/>
  <c r="P2200" i="2" s="1"/>
  <c r="M2200" i="2"/>
  <c r="N2198" i="2"/>
  <c r="P2198" i="2" s="1"/>
  <c r="M2198" i="2"/>
  <c r="N2197" i="2"/>
  <c r="P2197" i="2" s="1"/>
  <c r="M2197" i="2"/>
  <c r="N2196" i="2"/>
  <c r="P2196" i="2" s="1"/>
  <c r="M2196" i="2"/>
  <c r="N2195" i="2"/>
  <c r="P2195" i="2" s="1"/>
  <c r="M2195" i="2"/>
  <c r="N2194" i="2"/>
  <c r="P2194" i="2" s="1"/>
  <c r="M2194" i="2"/>
  <c r="N2193" i="2"/>
  <c r="P2193" i="2" s="1"/>
  <c r="M2193" i="2"/>
  <c r="N2192" i="2"/>
  <c r="P2192" i="2" s="1"/>
  <c r="M2192" i="2"/>
  <c r="N2191" i="2"/>
  <c r="P2191" i="2" s="1"/>
  <c r="M2191" i="2"/>
  <c r="S58" i="6"/>
  <c r="U58" i="6" s="1"/>
  <c r="P2158" i="2"/>
  <c r="M2158" i="2"/>
  <c r="O2158" i="2" s="1"/>
  <c r="N2158" i="2"/>
  <c r="M2148" i="2"/>
  <c r="O2148" i="2" s="1"/>
  <c r="N2148" i="2"/>
  <c r="P2148" i="2" s="1"/>
  <c r="N2147" i="2"/>
  <c r="P2147" i="2" s="1"/>
  <c r="M2147" i="2"/>
  <c r="O2147" i="2" s="1"/>
  <c r="N2145" i="2"/>
  <c r="P2145" i="2" s="1"/>
  <c r="M2145" i="2"/>
  <c r="O2145" i="2" s="1"/>
  <c r="N2144" i="2"/>
  <c r="P2144" i="2" s="1"/>
  <c r="M2144" i="2"/>
  <c r="S56" i="6" s="1"/>
  <c r="U56" i="6" s="1"/>
  <c r="N2143" i="2"/>
  <c r="P2143" i="2" s="1"/>
  <c r="M2143" i="2"/>
  <c r="O2143" i="2" s="1"/>
  <c r="N2142" i="2"/>
  <c r="P2142" i="2" s="1"/>
  <c r="M2142" i="2"/>
  <c r="O2142" i="2" s="1"/>
  <c r="N2141" i="2"/>
  <c r="P2141" i="2" s="1"/>
  <c r="M2141" i="2"/>
  <c r="O2141" i="2" s="1"/>
  <c r="N2140" i="2"/>
  <c r="P2140" i="2" s="1"/>
  <c r="M2140" i="2"/>
  <c r="R64" i="6" s="1"/>
  <c r="N2139" i="2"/>
  <c r="P2139" i="2" s="1"/>
  <c r="M2139" i="2"/>
  <c r="O2139" i="2" s="1"/>
  <c r="N2138" i="2"/>
  <c r="P2138" i="2" s="1"/>
  <c r="M2138" i="2"/>
  <c r="O2138" i="2" s="1"/>
  <c r="M2118" i="2"/>
  <c r="O2118" i="2" s="1"/>
  <c r="N2118" i="2"/>
  <c r="P2118" i="2" s="1"/>
  <c r="M2119" i="2"/>
  <c r="O2119" i="2" s="1"/>
  <c r="N2119" i="2"/>
  <c r="P2119" i="2" s="1"/>
  <c r="M2108" i="2"/>
  <c r="O2108" i="2" s="1"/>
  <c r="N2108" i="2"/>
  <c r="P2108" i="2" s="1"/>
  <c r="N2107" i="2"/>
  <c r="P2107" i="2" s="1"/>
  <c r="M2107" i="2"/>
  <c r="O2107" i="2" s="1"/>
  <c r="N2105" i="2"/>
  <c r="P2105" i="2" s="1"/>
  <c r="M2105" i="2"/>
  <c r="O2105" i="2" s="1"/>
  <c r="N2104" i="2"/>
  <c r="P2104" i="2" s="1"/>
  <c r="M2104" i="2"/>
  <c r="O2104" i="2" s="1"/>
  <c r="N2103" i="2"/>
  <c r="P2103" i="2" s="1"/>
  <c r="M2103" i="2"/>
  <c r="O2103" i="2" s="1"/>
  <c r="N2102" i="2"/>
  <c r="P2102" i="2" s="1"/>
  <c r="M2102" i="2"/>
  <c r="O2102" i="2" s="1"/>
  <c r="N2101" i="2"/>
  <c r="P2101" i="2" s="1"/>
  <c r="M2101" i="2"/>
  <c r="O2101" i="2" s="1"/>
  <c r="N2100" i="2"/>
  <c r="P2100" i="2" s="1"/>
  <c r="M2100" i="2"/>
  <c r="O2100" i="2" s="1"/>
  <c r="N2099" i="2"/>
  <c r="P2099" i="2" s="1"/>
  <c r="M2099" i="2"/>
  <c r="O2099" i="2" s="1"/>
  <c r="N2098" i="2"/>
  <c r="P2098" i="2" s="1"/>
  <c r="M2098" i="2"/>
  <c r="O2098" i="2" s="1"/>
  <c r="K58" i="6"/>
  <c r="M58" i="6" s="1"/>
  <c r="M2078" i="2"/>
  <c r="O2078" i="2" s="1"/>
  <c r="N2078" i="2"/>
  <c r="P2078" i="2" s="1"/>
  <c r="M2068" i="2"/>
  <c r="O2068" i="2" s="1"/>
  <c r="N2068" i="2"/>
  <c r="P2068" i="2" s="1"/>
  <c r="N2067" i="2"/>
  <c r="P2067" i="2" s="1"/>
  <c r="M2067" i="2"/>
  <c r="O2067" i="2" s="1"/>
  <c r="N2065" i="2"/>
  <c r="P2065" i="2" s="1"/>
  <c r="M2065" i="2"/>
  <c r="K57" i="6" s="1"/>
  <c r="M57" i="6" s="1"/>
  <c r="N2064" i="2"/>
  <c r="P2064" i="2" s="1"/>
  <c r="M2064" i="2"/>
  <c r="K56" i="6" s="1"/>
  <c r="M56" i="6" s="1"/>
  <c r="N2063" i="2"/>
  <c r="P2063" i="2" s="1"/>
  <c r="M2063" i="2"/>
  <c r="K55" i="6" s="1"/>
  <c r="N2062" i="2"/>
  <c r="P2062" i="2" s="1"/>
  <c r="M2062" i="2"/>
  <c r="K54" i="6" s="1"/>
  <c r="N2061" i="2"/>
  <c r="P2061" i="2" s="1"/>
  <c r="M2061" i="2"/>
  <c r="K53" i="6" s="1"/>
  <c r="N2060" i="2"/>
  <c r="P2060" i="2" s="1"/>
  <c r="M2060" i="2"/>
  <c r="J64" i="6" s="1"/>
  <c r="N2059" i="2"/>
  <c r="P2059" i="2" s="1"/>
  <c r="M2059" i="2"/>
  <c r="J63" i="6" s="1"/>
  <c r="N2058" i="2"/>
  <c r="P2058" i="2" s="1"/>
  <c r="M2058" i="2"/>
  <c r="J62" i="6" s="1"/>
  <c r="G58" i="6"/>
  <c r="I58" i="6" s="1"/>
  <c r="M2038" i="2"/>
  <c r="O2038" i="2" s="1"/>
  <c r="N2038" i="2"/>
  <c r="P2038" i="2" s="1"/>
  <c r="M2028" i="2"/>
  <c r="O2028" i="2" s="1"/>
  <c r="N2028" i="2"/>
  <c r="P2028" i="2" s="1"/>
  <c r="N2027" i="2"/>
  <c r="P2027" i="2" s="1"/>
  <c r="M2027" i="2"/>
  <c r="O2027" i="2" s="1"/>
  <c r="N2025" i="2"/>
  <c r="P2025" i="2" s="1"/>
  <c r="M2025" i="2"/>
  <c r="G57" i="6" s="1"/>
  <c r="I57" i="6" s="1"/>
  <c r="N2024" i="2"/>
  <c r="P2024" i="2" s="1"/>
  <c r="M2024" i="2"/>
  <c r="G56" i="6" s="1"/>
  <c r="I56" i="6" s="1"/>
  <c r="N2023" i="2"/>
  <c r="P2023" i="2" s="1"/>
  <c r="M2023" i="2"/>
  <c r="O2023" i="2" s="1"/>
  <c r="N2022" i="2"/>
  <c r="P2022" i="2" s="1"/>
  <c r="M2022" i="2"/>
  <c r="G54" i="6" s="1"/>
  <c r="N2021" i="2"/>
  <c r="P2021" i="2" s="1"/>
  <c r="M2021" i="2"/>
  <c r="G53" i="6" s="1"/>
  <c r="N2020" i="2"/>
  <c r="P2020" i="2" s="1"/>
  <c r="M2020" i="2"/>
  <c r="F64" i="6" s="1"/>
  <c r="N2019" i="2"/>
  <c r="P2019" i="2" s="1"/>
  <c r="M2019" i="2"/>
  <c r="F63" i="6" s="1"/>
  <c r="N2018" i="2"/>
  <c r="P2018" i="2" s="1"/>
  <c r="M2018" i="2"/>
  <c r="F62" i="6" s="1"/>
  <c r="M1998" i="2"/>
  <c r="O1998" i="2" s="1"/>
  <c r="N1998" i="2"/>
  <c r="P1998" i="2" s="1"/>
  <c r="M1988" i="2"/>
  <c r="N1988" i="2"/>
  <c r="P1988" i="2" s="1"/>
  <c r="N1987" i="2"/>
  <c r="P1987" i="2" s="1"/>
  <c r="M1987" i="2"/>
  <c r="N1985" i="2"/>
  <c r="P1985" i="2" s="1"/>
  <c r="M1985" i="2"/>
  <c r="C57" i="6" s="1"/>
  <c r="E57" i="6" s="1"/>
  <c r="N1984" i="2"/>
  <c r="P1984" i="2" s="1"/>
  <c r="M1984" i="2"/>
  <c r="C56" i="6" s="1"/>
  <c r="E56" i="6" s="1"/>
  <c r="N1983" i="2"/>
  <c r="P1983" i="2" s="1"/>
  <c r="M1983" i="2"/>
  <c r="C55" i="6" s="1"/>
  <c r="N1982" i="2"/>
  <c r="P1982" i="2" s="1"/>
  <c r="M1982" i="2"/>
  <c r="C54" i="6" s="1"/>
  <c r="N1981" i="2"/>
  <c r="P1981" i="2" s="1"/>
  <c r="M1981" i="2"/>
  <c r="C53" i="6" s="1"/>
  <c r="N1980" i="2"/>
  <c r="P1980" i="2" s="1"/>
  <c r="M1980" i="2"/>
  <c r="B64" i="6" s="1"/>
  <c r="N1979" i="2"/>
  <c r="P1979" i="2" s="1"/>
  <c r="M1979" i="2"/>
  <c r="B63" i="6" s="1"/>
  <c r="N1978" i="2"/>
  <c r="P1978" i="2" s="1"/>
  <c r="M1978" i="2"/>
  <c r="B62" i="6" s="1"/>
  <c r="BJ42" i="6"/>
  <c r="BL42" i="6" s="1"/>
  <c r="M1946" i="2"/>
  <c r="O1946" i="2" s="1"/>
  <c r="N1946" i="2"/>
  <c r="P1946" i="2" s="1"/>
  <c r="M1936" i="2"/>
  <c r="O1936" i="2" s="1"/>
  <c r="N1936" i="2"/>
  <c r="P1936" i="2" s="1"/>
  <c r="N1935" i="2"/>
  <c r="P1935" i="2" s="1"/>
  <c r="M1935" i="2"/>
  <c r="O1935" i="2" s="1"/>
  <c r="N1933" i="2"/>
  <c r="P1933" i="2" s="1"/>
  <c r="M1933" i="2"/>
  <c r="BJ41" i="6" s="1"/>
  <c r="BL41" i="6" s="1"/>
  <c r="N1932" i="2"/>
  <c r="P1932" i="2" s="1"/>
  <c r="M1932" i="2"/>
  <c r="BJ40" i="6" s="1"/>
  <c r="BL40" i="6" s="1"/>
  <c r="N1931" i="2"/>
  <c r="P1931" i="2" s="1"/>
  <c r="M1931" i="2"/>
  <c r="BJ39" i="6" s="1"/>
  <c r="N1930" i="2"/>
  <c r="P1930" i="2" s="1"/>
  <c r="M1930" i="2"/>
  <c r="BJ38" i="6" s="1"/>
  <c r="N1929" i="2"/>
  <c r="P1929" i="2" s="1"/>
  <c r="M1929" i="2"/>
  <c r="BJ37" i="6" s="1"/>
  <c r="N1928" i="2"/>
  <c r="P1928" i="2" s="1"/>
  <c r="M1928" i="2"/>
  <c r="BI48" i="6" s="1"/>
  <c r="N1927" i="2"/>
  <c r="P1927" i="2" s="1"/>
  <c r="M1927" i="2"/>
  <c r="BI47" i="6" s="1"/>
  <c r="N1926" i="2"/>
  <c r="P1926" i="2" s="1"/>
  <c r="M1926" i="2"/>
  <c r="BI46" i="6" s="1"/>
  <c r="M1906" i="2"/>
  <c r="O1906" i="2" s="1"/>
  <c r="N1906" i="2"/>
  <c r="P1906" i="2" s="1"/>
  <c r="BF42" i="6"/>
  <c r="BH42" i="6" s="1"/>
  <c r="M1896" i="2"/>
  <c r="O1896" i="2" s="1"/>
  <c r="N1896" i="2"/>
  <c r="P1896" i="2" s="1"/>
  <c r="N1895" i="2"/>
  <c r="P1895" i="2" s="1"/>
  <c r="M1895" i="2"/>
  <c r="O1895" i="2" s="1"/>
  <c r="N1893" i="2"/>
  <c r="P1893" i="2" s="1"/>
  <c r="M1893" i="2"/>
  <c r="O1893" i="2" s="1"/>
  <c r="N1892" i="2"/>
  <c r="P1892" i="2" s="1"/>
  <c r="M1892" i="2"/>
  <c r="BF40" i="6" s="1"/>
  <c r="BH40" i="6" s="1"/>
  <c r="N1891" i="2"/>
  <c r="P1891" i="2" s="1"/>
  <c r="M1891" i="2"/>
  <c r="O1891" i="2" s="1"/>
  <c r="N1890" i="2"/>
  <c r="P1890" i="2" s="1"/>
  <c r="M1890" i="2"/>
  <c r="O1890" i="2" s="1"/>
  <c r="N1889" i="2"/>
  <c r="P1889" i="2" s="1"/>
  <c r="M1889" i="2"/>
  <c r="O1889" i="2" s="1"/>
  <c r="N1888" i="2"/>
  <c r="P1888" i="2" s="1"/>
  <c r="M1888" i="2"/>
  <c r="BE48" i="6" s="1"/>
  <c r="N1887" i="2"/>
  <c r="P1887" i="2" s="1"/>
  <c r="M1887" i="2"/>
  <c r="O1887" i="2" s="1"/>
  <c r="N1886" i="2"/>
  <c r="P1886" i="2" s="1"/>
  <c r="M1886" i="2"/>
  <c r="O1886" i="2" s="1"/>
  <c r="BB42" i="6"/>
  <c r="BD42" i="6" s="1"/>
  <c r="P1866" i="2"/>
  <c r="M1866" i="2"/>
  <c r="O1866" i="2" s="1"/>
  <c r="N1866" i="2"/>
  <c r="M1856" i="2"/>
  <c r="O1856" i="2" s="1"/>
  <c r="N1856" i="2"/>
  <c r="P1856" i="2" s="1"/>
  <c r="N1855" i="2"/>
  <c r="P1855" i="2" s="1"/>
  <c r="M1855" i="2"/>
  <c r="BB43" i="6" s="1"/>
  <c r="BD43" i="6" s="1"/>
  <c r="N1853" i="2"/>
  <c r="P1853" i="2" s="1"/>
  <c r="M1853" i="2"/>
  <c r="BB41" i="6" s="1"/>
  <c r="BD41" i="6" s="1"/>
  <c r="N1852" i="2"/>
  <c r="P1852" i="2" s="1"/>
  <c r="M1852" i="2"/>
  <c r="BB40" i="6" s="1"/>
  <c r="BD40" i="6" s="1"/>
  <c r="N1851" i="2"/>
  <c r="P1851" i="2" s="1"/>
  <c r="M1851" i="2"/>
  <c r="O1851" i="2" s="1"/>
  <c r="N1850" i="2"/>
  <c r="P1850" i="2" s="1"/>
  <c r="M1850" i="2"/>
  <c r="O1850" i="2" s="1"/>
  <c r="N1849" i="2"/>
  <c r="P1849" i="2" s="1"/>
  <c r="M1849" i="2"/>
  <c r="O1849" i="2" s="1"/>
  <c r="N1848" i="2"/>
  <c r="P1848" i="2" s="1"/>
  <c r="M1848" i="2"/>
  <c r="BA48" i="6" s="1"/>
  <c r="N1847" i="2"/>
  <c r="P1847" i="2" s="1"/>
  <c r="M1847" i="2"/>
  <c r="O1847" i="2" s="1"/>
  <c r="N1846" i="2"/>
  <c r="P1846" i="2" s="1"/>
  <c r="M1846" i="2"/>
  <c r="O1846" i="2" s="1"/>
  <c r="AW42" i="6"/>
  <c r="AY42" i="6" s="1"/>
  <c r="O1826" i="2"/>
  <c r="M1826" i="2"/>
  <c r="N1826" i="2"/>
  <c r="P1826" i="2" s="1"/>
  <c r="N1816" i="2"/>
  <c r="P1816" i="2" s="1"/>
  <c r="M1816" i="2"/>
  <c r="O1816" i="2" s="1"/>
  <c r="N1815" i="2"/>
  <c r="P1815" i="2" s="1"/>
  <c r="M1815" i="2"/>
  <c r="O1815" i="2" s="1"/>
  <c r="N1813" i="2"/>
  <c r="P1813" i="2" s="1"/>
  <c r="M1813" i="2"/>
  <c r="AW41" i="6" s="1"/>
  <c r="AY41" i="6" s="1"/>
  <c r="N1812" i="2"/>
  <c r="P1812" i="2" s="1"/>
  <c r="M1812" i="2"/>
  <c r="AW40" i="6" s="1"/>
  <c r="AY40" i="6" s="1"/>
  <c r="N1811" i="2"/>
  <c r="P1811" i="2" s="1"/>
  <c r="M1811" i="2"/>
  <c r="O1811" i="2" s="1"/>
  <c r="N1810" i="2"/>
  <c r="P1810" i="2" s="1"/>
  <c r="M1810" i="2"/>
  <c r="AW38" i="6" s="1"/>
  <c r="N1809" i="2"/>
  <c r="P1809" i="2" s="1"/>
  <c r="M1809" i="2"/>
  <c r="AW37" i="6" s="1"/>
  <c r="N1808" i="2"/>
  <c r="P1808" i="2" s="1"/>
  <c r="M1808" i="2"/>
  <c r="AV48" i="6" s="1"/>
  <c r="N1807" i="2"/>
  <c r="P1807" i="2" s="1"/>
  <c r="M1807" i="2"/>
  <c r="O1807" i="2" s="1"/>
  <c r="N1806" i="2"/>
  <c r="P1806" i="2" s="1"/>
  <c r="M1806" i="2"/>
  <c r="AV46" i="6" s="1"/>
  <c r="AR42" i="6"/>
  <c r="AT42" i="6" s="1"/>
  <c r="AR43" i="6"/>
  <c r="AT43" i="6" s="1"/>
  <c r="M1786" i="2"/>
  <c r="O1786" i="2" s="1"/>
  <c r="N1786" i="2"/>
  <c r="P1786" i="2" s="1"/>
  <c r="M1776" i="2"/>
  <c r="O1776" i="2" s="1"/>
  <c r="N1776" i="2"/>
  <c r="N1775" i="2"/>
  <c r="M1775" i="2"/>
  <c r="O1775" i="2" s="1"/>
  <c r="N1773" i="2"/>
  <c r="M1773" i="2"/>
  <c r="O1773" i="2" s="1"/>
  <c r="N1772" i="2"/>
  <c r="M1772" i="2"/>
  <c r="AR40" i="6" s="1"/>
  <c r="AT40" i="6" s="1"/>
  <c r="N1771" i="2"/>
  <c r="M1771" i="2"/>
  <c r="O1771" i="2" s="1"/>
  <c r="N1770" i="2"/>
  <c r="M1770" i="2"/>
  <c r="O1770" i="2" s="1"/>
  <c r="N1769" i="2"/>
  <c r="P1769" i="2" s="1"/>
  <c r="M1769" i="2"/>
  <c r="AR37" i="6" s="1"/>
  <c r="N1768" i="2"/>
  <c r="P1768" i="2" s="1"/>
  <c r="M1768" i="2"/>
  <c r="AQ48" i="6" s="1"/>
  <c r="N1767" i="2"/>
  <c r="P1767" i="2" s="1"/>
  <c r="M1767" i="2"/>
  <c r="O1767" i="2" s="1"/>
  <c r="N1766" i="2"/>
  <c r="P1766" i="2" s="1"/>
  <c r="M1766" i="2"/>
  <c r="O1766" i="2" s="1"/>
  <c r="AM42" i="6"/>
  <c r="AO42" i="6" s="1"/>
  <c r="M1734" i="2"/>
  <c r="O1734" i="2" s="1"/>
  <c r="N1734" i="2"/>
  <c r="P1734" i="2" s="1"/>
  <c r="M1724" i="2"/>
  <c r="O1724" i="2" s="1"/>
  <c r="N1724" i="2"/>
  <c r="P1724" i="2" s="1"/>
  <c r="N1723" i="2"/>
  <c r="P1723" i="2" s="1"/>
  <c r="M1723" i="2"/>
  <c r="O1723" i="2" s="1"/>
  <c r="N1721" i="2"/>
  <c r="P1721" i="2" s="1"/>
  <c r="M1721" i="2"/>
  <c r="AM41" i="6" s="1"/>
  <c r="AO41" i="6" s="1"/>
  <c r="N1720" i="2"/>
  <c r="P1720" i="2" s="1"/>
  <c r="M1720" i="2"/>
  <c r="AM40" i="6" s="1"/>
  <c r="AO40" i="6" s="1"/>
  <c r="N1719" i="2"/>
  <c r="P1719" i="2" s="1"/>
  <c r="M1719" i="2"/>
  <c r="O1719" i="2" s="1"/>
  <c r="N1718" i="2"/>
  <c r="P1718" i="2" s="1"/>
  <c r="M1718" i="2"/>
  <c r="O1718" i="2" s="1"/>
  <c r="N1717" i="2"/>
  <c r="P1717" i="2" s="1"/>
  <c r="M1717" i="2"/>
  <c r="AM37" i="6" s="1"/>
  <c r="N1716" i="2"/>
  <c r="P1716" i="2" s="1"/>
  <c r="M1716" i="2"/>
  <c r="AL48" i="6" s="1"/>
  <c r="N1715" i="2"/>
  <c r="P1715" i="2" s="1"/>
  <c r="M1715" i="2"/>
  <c r="AL47" i="6" s="1"/>
  <c r="N1714" i="2"/>
  <c r="P1714" i="2" s="1"/>
  <c r="M1714" i="2"/>
  <c r="AL46" i="6" s="1"/>
  <c r="P1682" i="2"/>
  <c r="M1682" i="2"/>
  <c r="O1682" i="2" s="1"/>
  <c r="N1682" i="2"/>
  <c r="M1672" i="2"/>
  <c r="O1672" i="2" s="1"/>
  <c r="O1671" i="2"/>
  <c r="N1671" i="2"/>
  <c r="P1671" i="2" s="1"/>
  <c r="M1671" i="2"/>
  <c r="N1669" i="2"/>
  <c r="P1669" i="2" s="1"/>
  <c r="M1669" i="2"/>
  <c r="O1669" i="2" s="1"/>
  <c r="N1668" i="2"/>
  <c r="P1668" i="2" s="1"/>
  <c r="M1668" i="2"/>
  <c r="O1668" i="2" s="1"/>
  <c r="N1667" i="2"/>
  <c r="P1667" i="2" s="1"/>
  <c r="M1667" i="2"/>
  <c r="O1667" i="2" s="1"/>
  <c r="N1666" i="2"/>
  <c r="P1666" i="2" s="1"/>
  <c r="M1666" i="2"/>
  <c r="O1666" i="2" s="1"/>
  <c r="N1665" i="2"/>
  <c r="P1665" i="2" s="1"/>
  <c r="M1665" i="2"/>
  <c r="O1665" i="2" s="1"/>
  <c r="N1664" i="2"/>
  <c r="P1664" i="2" s="1"/>
  <c r="M1664" i="2"/>
  <c r="O1664" i="2" s="1"/>
  <c r="N1663" i="2"/>
  <c r="P1663" i="2" s="1"/>
  <c r="M1663" i="2"/>
  <c r="O1663" i="2" s="1"/>
  <c r="N1662" i="2"/>
  <c r="P1662" i="2" s="1"/>
  <c r="M1662" i="2"/>
  <c r="O1662" i="2" s="1"/>
  <c r="AC42" i="6"/>
  <c r="AE42" i="6" s="1"/>
  <c r="M1630" i="2"/>
  <c r="O1630" i="2" s="1"/>
  <c r="N1630" i="2"/>
  <c r="P1630" i="2" s="1"/>
  <c r="N1620" i="2"/>
  <c r="P1620" i="2" s="1"/>
  <c r="M1620" i="2"/>
  <c r="O1620" i="2" s="1"/>
  <c r="N1619" i="2"/>
  <c r="P1619" i="2" s="1"/>
  <c r="M1619" i="2"/>
  <c r="O1619" i="2" s="1"/>
  <c r="N1617" i="2"/>
  <c r="P1617" i="2" s="1"/>
  <c r="M1617" i="2"/>
  <c r="AC41" i="6" s="1"/>
  <c r="AE41" i="6" s="1"/>
  <c r="N1616" i="2"/>
  <c r="P1616" i="2" s="1"/>
  <c r="M1616" i="2"/>
  <c r="AC40" i="6" s="1"/>
  <c r="AE40" i="6" s="1"/>
  <c r="N1615" i="2"/>
  <c r="P1615" i="2" s="1"/>
  <c r="M1615" i="2"/>
  <c r="O1615" i="2" s="1"/>
  <c r="N1614" i="2"/>
  <c r="P1614" i="2" s="1"/>
  <c r="M1614" i="2"/>
  <c r="AC38" i="6" s="1"/>
  <c r="N1613" i="2"/>
  <c r="P1613" i="2" s="1"/>
  <c r="M1613" i="2"/>
  <c r="AC37" i="6" s="1"/>
  <c r="N1612" i="2"/>
  <c r="P1612" i="2" s="1"/>
  <c r="M1612" i="2"/>
  <c r="AB48" i="6" s="1"/>
  <c r="N1611" i="2"/>
  <c r="P1611" i="2" s="1"/>
  <c r="M1611" i="2"/>
  <c r="O1611" i="2" s="1"/>
  <c r="N1610" i="2"/>
  <c r="P1610" i="2" s="1"/>
  <c r="M1610" i="2"/>
  <c r="AB46" i="6" s="1"/>
  <c r="X42" i="6"/>
  <c r="Z42" i="6" s="1"/>
  <c r="M1563" i="2"/>
  <c r="O1563" i="2" s="1"/>
  <c r="N1563" i="2"/>
  <c r="P1563" i="2" s="1"/>
  <c r="M1553" i="2"/>
  <c r="O1553" i="2" s="1"/>
  <c r="N1553" i="2"/>
  <c r="P1553" i="2" s="1"/>
  <c r="N1552" i="2"/>
  <c r="P1552" i="2" s="1"/>
  <c r="M1552" i="2"/>
  <c r="O1552" i="2" s="1"/>
  <c r="N1550" i="2"/>
  <c r="P1550" i="2" s="1"/>
  <c r="M1550" i="2"/>
  <c r="O1550" i="2" s="1"/>
  <c r="N1549" i="2"/>
  <c r="P1549" i="2" s="1"/>
  <c r="M1549" i="2"/>
  <c r="X40" i="6" s="1"/>
  <c r="Z40" i="6" s="1"/>
  <c r="N1548" i="2"/>
  <c r="P1548" i="2" s="1"/>
  <c r="M1548" i="2"/>
  <c r="O1548" i="2" s="1"/>
  <c r="N1547" i="2"/>
  <c r="P1547" i="2" s="1"/>
  <c r="M1547" i="2"/>
  <c r="O1547" i="2" s="1"/>
  <c r="N1546" i="2"/>
  <c r="P1546" i="2" s="1"/>
  <c r="M1546" i="2"/>
  <c r="O1546" i="2" s="1"/>
  <c r="N1545" i="2"/>
  <c r="P1545" i="2" s="1"/>
  <c r="M1545" i="2"/>
  <c r="W48" i="6" s="1"/>
  <c r="N1544" i="2"/>
  <c r="P1544" i="2" s="1"/>
  <c r="M1544" i="2"/>
  <c r="W47" i="6" s="1"/>
  <c r="N1543" i="2"/>
  <c r="P1543" i="2" s="1"/>
  <c r="M1543" i="2"/>
  <c r="O1543" i="2" s="1"/>
  <c r="S42" i="6"/>
  <c r="U42" i="6" s="1"/>
  <c r="P1511" i="2"/>
  <c r="M1511" i="2"/>
  <c r="O1511" i="2" s="1"/>
  <c r="N1511" i="2"/>
  <c r="M1501" i="2"/>
  <c r="O1501" i="2" s="1"/>
  <c r="N1501" i="2"/>
  <c r="P1501" i="2" s="1"/>
  <c r="N1500" i="2"/>
  <c r="P1500" i="2" s="1"/>
  <c r="M1500" i="2"/>
  <c r="O1500" i="2" s="1"/>
  <c r="N1498" i="2"/>
  <c r="P1498" i="2" s="1"/>
  <c r="M1498" i="2"/>
  <c r="O1498" i="2" s="1"/>
  <c r="N1497" i="2"/>
  <c r="P1497" i="2" s="1"/>
  <c r="M1497" i="2"/>
  <c r="S40" i="6" s="1"/>
  <c r="U40" i="6" s="1"/>
  <c r="N1496" i="2"/>
  <c r="P1496" i="2" s="1"/>
  <c r="M1496" i="2"/>
  <c r="O1496" i="2" s="1"/>
  <c r="N1495" i="2"/>
  <c r="P1495" i="2" s="1"/>
  <c r="M1495" i="2"/>
  <c r="O1495" i="2" s="1"/>
  <c r="N1494" i="2"/>
  <c r="P1494" i="2" s="1"/>
  <c r="M1494" i="2"/>
  <c r="O1494" i="2" s="1"/>
  <c r="N1493" i="2"/>
  <c r="P1493" i="2" s="1"/>
  <c r="M1493" i="2"/>
  <c r="R48" i="6" s="1"/>
  <c r="N1492" i="2"/>
  <c r="P1492" i="2" s="1"/>
  <c r="M1492" i="2"/>
  <c r="O1492" i="2" s="1"/>
  <c r="N1491" i="2"/>
  <c r="P1491" i="2" s="1"/>
  <c r="M1491" i="2"/>
  <c r="O1491" i="2" s="1"/>
  <c r="N42" i="6"/>
  <c r="P42" i="6" s="1"/>
  <c r="P1459" i="2"/>
  <c r="M1459" i="2"/>
  <c r="O1459" i="2" s="1"/>
  <c r="N1459" i="2"/>
  <c r="M1449" i="2"/>
  <c r="O1449" i="2" s="1"/>
  <c r="N1449" i="2"/>
  <c r="P1449" i="2" s="1"/>
  <c r="N1448" i="2"/>
  <c r="P1448" i="2" s="1"/>
  <c r="M1448" i="2"/>
  <c r="O1448" i="2" s="1"/>
  <c r="N1446" i="2"/>
  <c r="P1446" i="2" s="1"/>
  <c r="M1446" i="2"/>
  <c r="N41" i="6" s="1"/>
  <c r="P41" i="6" s="1"/>
  <c r="N1445" i="2"/>
  <c r="P1445" i="2" s="1"/>
  <c r="M1445" i="2"/>
  <c r="N40" i="6" s="1"/>
  <c r="P40" i="6" s="1"/>
  <c r="N1444" i="2"/>
  <c r="P1444" i="2" s="1"/>
  <c r="M1444" i="2"/>
  <c r="O1444" i="2" s="1"/>
  <c r="N1443" i="2"/>
  <c r="P1443" i="2" s="1"/>
  <c r="M1443" i="2"/>
  <c r="O1443" i="2" s="1"/>
  <c r="N1442" i="2"/>
  <c r="P1442" i="2" s="1"/>
  <c r="M1442" i="2"/>
  <c r="N37" i="6" s="1"/>
  <c r="N1441" i="2"/>
  <c r="P1441" i="2" s="1"/>
  <c r="M1441" i="2"/>
  <c r="M48" i="6" s="1"/>
  <c r="N1440" i="2"/>
  <c r="P1440" i="2" s="1"/>
  <c r="M1440" i="2"/>
  <c r="O1440" i="2" s="1"/>
  <c r="N1439" i="2"/>
  <c r="P1439" i="2" s="1"/>
  <c r="M1439" i="2"/>
  <c r="O1439" i="2" s="1"/>
  <c r="M1407" i="2"/>
  <c r="O1407" i="2" s="1"/>
  <c r="N1407" i="2"/>
  <c r="P1407" i="2" s="1"/>
  <c r="M1397" i="2"/>
  <c r="O1397" i="2" s="1"/>
  <c r="N1397" i="2"/>
  <c r="P1397" i="2" s="1"/>
  <c r="N1396" i="2"/>
  <c r="P1396" i="2" s="1"/>
  <c r="M1396" i="2"/>
  <c r="O1396" i="2" s="1"/>
  <c r="N1394" i="2"/>
  <c r="P1394" i="2" s="1"/>
  <c r="M1394" i="2"/>
  <c r="O1394" i="2" s="1"/>
  <c r="N1393" i="2"/>
  <c r="P1393" i="2" s="1"/>
  <c r="M1393" i="2"/>
  <c r="O1393" i="2" s="1"/>
  <c r="N1392" i="2"/>
  <c r="P1392" i="2" s="1"/>
  <c r="M1392" i="2"/>
  <c r="O1392" i="2" s="1"/>
  <c r="N1391" i="2"/>
  <c r="P1391" i="2" s="1"/>
  <c r="M1391" i="2"/>
  <c r="O1391" i="2" s="1"/>
  <c r="N1390" i="2"/>
  <c r="P1390" i="2" s="1"/>
  <c r="M1390" i="2"/>
  <c r="O1390" i="2" s="1"/>
  <c r="N1389" i="2"/>
  <c r="P1389" i="2" s="1"/>
  <c r="M1389" i="2"/>
  <c r="O1389" i="2" s="1"/>
  <c r="N1388" i="2"/>
  <c r="P1388" i="2" s="1"/>
  <c r="M1388" i="2"/>
  <c r="O1388" i="2" s="1"/>
  <c r="N1387" i="2"/>
  <c r="P1387" i="2" s="1"/>
  <c r="M1387" i="2"/>
  <c r="O1387" i="2" s="1"/>
  <c r="D42" i="6"/>
  <c r="F42" i="6" s="1"/>
  <c r="M1355" i="2"/>
  <c r="O1355" i="2" s="1"/>
  <c r="N1355" i="2"/>
  <c r="P1355" i="2" s="1"/>
  <c r="N1345" i="2"/>
  <c r="P1345" i="2" s="1"/>
  <c r="M1345" i="2"/>
  <c r="O1345" i="2" s="1"/>
  <c r="N1344" i="2"/>
  <c r="P1344" i="2" s="1"/>
  <c r="M1344" i="2"/>
  <c r="O1344" i="2" s="1"/>
  <c r="N1342" i="2"/>
  <c r="P1342" i="2" s="1"/>
  <c r="M1342" i="2"/>
  <c r="D41" i="6" s="1"/>
  <c r="F41" i="6" s="1"/>
  <c r="N1341" i="2"/>
  <c r="P1341" i="2" s="1"/>
  <c r="M1341" i="2"/>
  <c r="D40" i="6" s="1"/>
  <c r="F40" i="6" s="1"/>
  <c r="N1340" i="2"/>
  <c r="P1340" i="2" s="1"/>
  <c r="M1340" i="2"/>
  <c r="O1340" i="2" s="1"/>
  <c r="N1339" i="2"/>
  <c r="P1339" i="2" s="1"/>
  <c r="M1339" i="2"/>
  <c r="D38" i="6" s="1"/>
  <c r="N1338" i="2"/>
  <c r="P1338" i="2" s="1"/>
  <c r="M1338" i="2"/>
  <c r="D37" i="6" s="1"/>
  <c r="N1337" i="2"/>
  <c r="P1337" i="2" s="1"/>
  <c r="M1337" i="2"/>
  <c r="C48" i="6" s="1"/>
  <c r="N1336" i="2"/>
  <c r="P1336" i="2" s="1"/>
  <c r="M1336" i="2"/>
  <c r="O1336" i="2" s="1"/>
  <c r="N1335" i="2"/>
  <c r="P1335" i="2" s="1"/>
  <c r="M1335" i="2"/>
  <c r="C46" i="6" s="1"/>
  <c r="BB26" i="6"/>
  <c r="BD26" i="6" s="1"/>
  <c r="M1303" i="2"/>
  <c r="O1303" i="2" s="1"/>
  <c r="N1303" i="2"/>
  <c r="P1303" i="2" s="1"/>
  <c r="M1293" i="2"/>
  <c r="O1293" i="2" s="1"/>
  <c r="N1293" i="2"/>
  <c r="P1293" i="2" s="1"/>
  <c r="N1292" i="2"/>
  <c r="P1292" i="2" s="1"/>
  <c r="M1292" i="2"/>
  <c r="BB27" i="6" s="1"/>
  <c r="BD27" i="6" s="1"/>
  <c r="N1290" i="2"/>
  <c r="P1290" i="2" s="1"/>
  <c r="M1290" i="2"/>
  <c r="O1290" i="2" s="1"/>
  <c r="N1289" i="2"/>
  <c r="P1289" i="2" s="1"/>
  <c r="M1289" i="2"/>
  <c r="BB24" i="6" s="1"/>
  <c r="BD24" i="6" s="1"/>
  <c r="N1288" i="2"/>
  <c r="P1288" i="2" s="1"/>
  <c r="M1288" i="2"/>
  <c r="BB23" i="6" s="1"/>
  <c r="N1287" i="2"/>
  <c r="P1287" i="2" s="1"/>
  <c r="M1287" i="2"/>
  <c r="BB22" i="6" s="1"/>
  <c r="N1286" i="2"/>
  <c r="P1286" i="2" s="1"/>
  <c r="M1286" i="2"/>
  <c r="O1286" i="2" s="1"/>
  <c r="N1285" i="2"/>
  <c r="P1285" i="2" s="1"/>
  <c r="M1285" i="2"/>
  <c r="BA32" i="6" s="1"/>
  <c r="N1284" i="2"/>
  <c r="P1284" i="2" s="1"/>
  <c r="M1284" i="2"/>
  <c r="BA31" i="6" s="1"/>
  <c r="N1283" i="2"/>
  <c r="P1283" i="2" s="1"/>
  <c r="M1283" i="2"/>
  <c r="BA30" i="6" s="1"/>
  <c r="AW26" i="6"/>
  <c r="AY26" i="6" s="1"/>
  <c r="M1236" i="2"/>
  <c r="O1236" i="2" s="1"/>
  <c r="N1236" i="2"/>
  <c r="P1236" i="2" s="1"/>
  <c r="M1226" i="2"/>
  <c r="O1226" i="2" s="1"/>
  <c r="N1226" i="2"/>
  <c r="P1226" i="2" s="1"/>
  <c r="N1225" i="2"/>
  <c r="P1225" i="2" s="1"/>
  <c r="M1225" i="2"/>
  <c r="O1225" i="2" s="1"/>
  <c r="N1223" i="2"/>
  <c r="P1223" i="2" s="1"/>
  <c r="M1223" i="2"/>
  <c r="AW25" i="6" s="1"/>
  <c r="AY25" i="6" s="1"/>
  <c r="N1222" i="2"/>
  <c r="P1222" i="2" s="1"/>
  <c r="M1222" i="2"/>
  <c r="AW24" i="6" s="1"/>
  <c r="AY24" i="6" s="1"/>
  <c r="N1221" i="2"/>
  <c r="P1221" i="2" s="1"/>
  <c r="M1221" i="2"/>
  <c r="O1221" i="2" s="1"/>
  <c r="N1220" i="2"/>
  <c r="P1220" i="2" s="1"/>
  <c r="M1220" i="2"/>
  <c r="O1220" i="2" s="1"/>
  <c r="N1219" i="2"/>
  <c r="P1219" i="2" s="1"/>
  <c r="M1219" i="2"/>
  <c r="AW21" i="6" s="1"/>
  <c r="N1218" i="2"/>
  <c r="P1218" i="2" s="1"/>
  <c r="M1218" i="2"/>
  <c r="AV32" i="6" s="1"/>
  <c r="N1217" i="2"/>
  <c r="P1217" i="2" s="1"/>
  <c r="M1217" i="2"/>
  <c r="O1217" i="2" s="1"/>
  <c r="N1216" i="2"/>
  <c r="P1216" i="2" s="1"/>
  <c r="M1216" i="2"/>
  <c r="O1216" i="2" s="1"/>
  <c r="AR26" i="6"/>
  <c r="AT26" i="6" s="1"/>
  <c r="P1184" i="2"/>
  <c r="M1184" i="2"/>
  <c r="O1184" i="2" s="1"/>
  <c r="N1184" i="2"/>
  <c r="M1174" i="2"/>
  <c r="O1174" i="2" s="1"/>
  <c r="N1174" i="2"/>
  <c r="P1174" i="2" s="1"/>
  <c r="N1173" i="2"/>
  <c r="P1173" i="2" s="1"/>
  <c r="M1173" i="2"/>
  <c r="O1173" i="2" s="1"/>
  <c r="N1171" i="2"/>
  <c r="P1171" i="2" s="1"/>
  <c r="M1171" i="2"/>
  <c r="AR25" i="6" s="1"/>
  <c r="AT25" i="6" s="1"/>
  <c r="N1170" i="2"/>
  <c r="P1170" i="2" s="1"/>
  <c r="M1170" i="2"/>
  <c r="AR24" i="6" s="1"/>
  <c r="AT24" i="6" s="1"/>
  <c r="N1169" i="2"/>
  <c r="P1169" i="2" s="1"/>
  <c r="M1169" i="2"/>
  <c r="AR23" i="6" s="1"/>
  <c r="N1168" i="2"/>
  <c r="P1168" i="2" s="1"/>
  <c r="M1168" i="2"/>
  <c r="AR22" i="6" s="1"/>
  <c r="N1167" i="2"/>
  <c r="P1167" i="2" s="1"/>
  <c r="M1167" i="2"/>
  <c r="AR21" i="6" s="1"/>
  <c r="N1166" i="2"/>
  <c r="P1166" i="2" s="1"/>
  <c r="M1166" i="2"/>
  <c r="AQ32" i="6" s="1"/>
  <c r="N1165" i="2"/>
  <c r="P1165" i="2" s="1"/>
  <c r="M1165" i="2"/>
  <c r="O1165" i="2" s="1"/>
  <c r="N1164" i="2"/>
  <c r="P1164" i="2" s="1"/>
  <c r="M1164" i="2"/>
  <c r="AQ30" i="6" s="1"/>
  <c r="AM26" i="6"/>
  <c r="AO26" i="6" s="1"/>
  <c r="P1132" i="2"/>
  <c r="M1132" i="2"/>
  <c r="O1132" i="2" s="1"/>
  <c r="N1132" i="2"/>
  <c r="N1122" i="2"/>
  <c r="P1122" i="2" s="1"/>
  <c r="M1122" i="2"/>
  <c r="O1122" i="2" s="1"/>
  <c r="N1121" i="2"/>
  <c r="P1121" i="2" s="1"/>
  <c r="M1121" i="2"/>
  <c r="O1121" i="2" s="1"/>
  <c r="N1119" i="2"/>
  <c r="P1119" i="2" s="1"/>
  <c r="M1119" i="2"/>
  <c r="O1119" i="2" s="1"/>
  <c r="N1118" i="2"/>
  <c r="P1118" i="2" s="1"/>
  <c r="M1118" i="2"/>
  <c r="AM24" i="6" s="1"/>
  <c r="AO24" i="6" s="1"/>
  <c r="N1117" i="2"/>
  <c r="P1117" i="2" s="1"/>
  <c r="M1117" i="2"/>
  <c r="O1117" i="2" s="1"/>
  <c r="N1116" i="2"/>
  <c r="P1116" i="2" s="1"/>
  <c r="M1116" i="2"/>
  <c r="O1116" i="2" s="1"/>
  <c r="N1115" i="2"/>
  <c r="P1115" i="2" s="1"/>
  <c r="M1115" i="2"/>
  <c r="O1115" i="2" s="1"/>
  <c r="N1114" i="2"/>
  <c r="P1114" i="2" s="1"/>
  <c r="M1114" i="2"/>
  <c r="O1114" i="2" s="1"/>
  <c r="N1113" i="2"/>
  <c r="P1113" i="2" s="1"/>
  <c r="M1113" i="2"/>
  <c r="AL31" i="6" s="1"/>
  <c r="N1112" i="2"/>
  <c r="P1112" i="2" s="1"/>
  <c r="M1112" i="2"/>
  <c r="O1112" i="2" s="1"/>
  <c r="AH26" i="6"/>
  <c r="AJ26" i="6" s="1"/>
  <c r="M1080" i="2"/>
  <c r="O1080" i="2" s="1"/>
  <c r="N1080" i="2"/>
  <c r="P1080" i="2" s="1"/>
  <c r="M1070" i="2"/>
  <c r="O1070" i="2" s="1"/>
  <c r="N1070" i="2"/>
  <c r="P1070" i="2" s="1"/>
  <c r="N1069" i="2"/>
  <c r="P1069" i="2" s="1"/>
  <c r="M1069" i="2"/>
  <c r="O1069" i="2" s="1"/>
  <c r="N1067" i="2"/>
  <c r="P1067" i="2" s="1"/>
  <c r="M1067" i="2"/>
  <c r="AH25" i="6" s="1"/>
  <c r="AJ25" i="6" s="1"/>
  <c r="N1066" i="2"/>
  <c r="P1066" i="2" s="1"/>
  <c r="M1066" i="2"/>
  <c r="AH24" i="6" s="1"/>
  <c r="AJ24" i="6" s="1"/>
  <c r="N1065" i="2"/>
  <c r="P1065" i="2" s="1"/>
  <c r="M1065" i="2"/>
  <c r="AH23" i="6" s="1"/>
  <c r="N1064" i="2"/>
  <c r="P1064" i="2" s="1"/>
  <c r="M1064" i="2"/>
  <c r="O1064" i="2" s="1"/>
  <c r="N1063" i="2"/>
  <c r="P1063" i="2" s="1"/>
  <c r="M1063" i="2"/>
  <c r="AH21" i="6" s="1"/>
  <c r="N1062" i="2"/>
  <c r="P1062" i="2" s="1"/>
  <c r="M1062" i="2"/>
  <c r="AG32" i="6" s="1"/>
  <c r="N1061" i="2"/>
  <c r="P1061" i="2" s="1"/>
  <c r="M1061" i="2"/>
  <c r="AG31" i="6" s="1"/>
  <c r="N1060" i="2"/>
  <c r="P1060" i="2" s="1"/>
  <c r="M1060" i="2"/>
  <c r="O1060" i="2" s="1"/>
  <c r="AC26" i="6"/>
  <c r="AE26" i="6" s="1"/>
  <c r="M1028" i="2"/>
  <c r="O1028" i="2" s="1"/>
  <c r="N1028" i="2"/>
  <c r="P1028" i="2" s="1"/>
  <c r="M1018" i="2"/>
  <c r="O1018" i="2" s="1"/>
  <c r="N1018" i="2"/>
  <c r="P1018" i="2" s="1"/>
  <c r="N1017" i="2"/>
  <c r="P1017" i="2" s="1"/>
  <c r="M1017" i="2"/>
  <c r="O1017" i="2" s="1"/>
  <c r="N1015" i="2"/>
  <c r="P1015" i="2" s="1"/>
  <c r="M1015" i="2"/>
  <c r="AC25" i="6" s="1"/>
  <c r="AE25" i="6" s="1"/>
  <c r="N1014" i="2"/>
  <c r="P1014" i="2" s="1"/>
  <c r="M1014" i="2"/>
  <c r="AC24" i="6" s="1"/>
  <c r="AE24" i="6" s="1"/>
  <c r="N1013" i="2"/>
  <c r="P1013" i="2" s="1"/>
  <c r="M1013" i="2"/>
  <c r="O1013" i="2" s="1"/>
  <c r="N1012" i="2"/>
  <c r="P1012" i="2" s="1"/>
  <c r="M1012" i="2"/>
  <c r="AC22" i="6" s="1"/>
  <c r="N1011" i="2"/>
  <c r="P1011" i="2" s="1"/>
  <c r="M1011" i="2"/>
  <c r="AC21" i="6" s="1"/>
  <c r="N1010" i="2"/>
  <c r="P1010" i="2" s="1"/>
  <c r="M1010" i="2"/>
  <c r="AB32" i="6" s="1"/>
  <c r="N1009" i="2"/>
  <c r="P1009" i="2" s="1"/>
  <c r="M1009" i="2"/>
  <c r="O1009" i="2" s="1"/>
  <c r="N1008" i="2"/>
  <c r="P1008" i="2" s="1"/>
  <c r="M1008" i="2"/>
  <c r="AB30" i="6" s="1"/>
  <c r="M976" i="2"/>
  <c r="O976" i="2" s="1"/>
  <c r="N976" i="2"/>
  <c r="P976" i="2" s="1"/>
  <c r="M966" i="2"/>
  <c r="N966" i="2"/>
  <c r="N965" i="2"/>
  <c r="M965" i="2"/>
  <c r="N963" i="2"/>
  <c r="M963" i="2"/>
  <c r="N962" i="2"/>
  <c r="M962" i="2"/>
  <c r="N961" i="2"/>
  <c r="M961" i="2"/>
  <c r="N960" i="2"/>
  <c r="M960" i="2"/>
  <c r="N959" i="2"/>
  <c r="P959" i="2" s="1"/>
  <c r="M959" i="2"/>
  <c r="N958" i="2"/>
  <c r="M958" i="2"/>
  <c r="N957" i="2"/>
  <c r="M957" i="2"/>
  <c r="N956" i="2"/>
  <c r="M956" i="2"/>
  <c r="S26" i="6"/>
  <c r="U26" i="6" s="1"/>
  <c r="O917" i="2"/>
  <c r="N917" i="2"/>
  <c r="P917" i="2" s="1"/>
  <c r="M917" i="2"/>
  <c r="M907" i="2"/>
  <c r="O907" i="2" s="1"/>
  <c r="N907" i="2"/>
  <c r="P907" i="2" s="1"/>
  <c r="N906" i="2"/>
  <c r="P906" i="2" s="1"/>
  <c r="M906" i="2"/>
  <c r="S27" i="6" s="1"/>
  <c r="U27" i="6" s="1"/>
  <c r="N904" i="2"/>
  <c r="P904" i="2" s="1"/>
  <c r="M904" i="2"/>
  <c r="O904" i="2" s="1"/>
  <c r="N903" i="2"/>
  <c r="P903" i="2" s="1"/>
  <c r="M903" i="2"/>
  <c r="S24" i="6" s="1"/>
  <c r="U24" i="6" s="1"/>
  <c r="N902" i="2"/>
  <c r="P902" i="2" s="1"/>
  <c r="M902" i="2"/>
  <c r="S23" i="6" s="1"/>
  <c r="N901" i="2"/>
  <c r="P901" i="2" s="1"/>
  <c r="M901" i="2"/>
  <c r="O901" i="2" s="1"/>
  <c r="N900" i="2"/>
  <c r="P900" i="2" s="1"/>
  <c r="M900" i="2"/>
  <c r="O900" i="2" s="1"/>
  <c r="N899" i="2"/>
  <c r="P899" i="2" s="1"/>
  <c r="M899" i="2"/>
  <c r="R32" i="6" s="1"/>
  <c r="N898" i="2"/>
  <c r="P898" i="2" s="1"/>
  <c r="M898" i="2"/>
  <c r="R31" i="6" s="1"/>
  <c r="N897" i="2"/>
  <c r="P897" i="2" s="1"/>
  <c r="M897" i="2"/>
  <c r="O897" i="2" s="1"/>
  <c r="N26" i="6"/>
  <c r="P26" i="6" s="1"/>
  <c r="N855" i="2"/>
  <c r="P855" i="2" s="1"/>
  <c r="M865" i="2"/>
  <c r="O865" i="2" s="1"/>
  <c r="N865" i="2"/>
  <c r="P865" i="2" s="1"/>
  <c r="M855" i="2"/>
  <c r="O855" i="2" s="1"/>
  <c r="N854" i="2"/>
  <c r="P854" i="2" s="1"/>
  <c r="M854" i="2"/>
  <c r="O854" i="2" s="1"/>
  <c r="N852" i="2"/>
  <c r="P852" i="2" s="1"/>
  <c r="M852" i="2"/>
  <c r="N25" i="6" s="1"/>
  <c r="P25" i="6" s="1"/>
  <c r="N851" i="2"/>
  <c r="P851" i="2" s="1"/>
  <c r="M851" i="2"/>
  <c r="N24" i="6" s="1"/>
  <c r="P24" i="6" s="1"/>
  <c r="N850" i="2"/>
  <c r="P850" i="2" s="1"/>
  <c r="M850" i="2"/>
  <c r="O850" i="2" s="1"/>
  <c r="N849" i="2"/>
  <c r="P849" i="2" s="1"/>
  <c r="M849" i="2"/>
  <c r="O849" i="2" s="1"/>
  <c r="N848" i="2"/>
  <c r="P848" i="2" s="1"/>
  <c r="M848" i="2"/>
  <c r="N21" i="6" s="1"/>
  <c r="N847" i="2"/>
  <c r="P847" i="2" s="1"/>
  <c r="M847" i="2"/>
  <c r="M32" i="6" s="1"/>
  <c r="N846" i="2"/>
  <c r="P846" i="2" s="1"/>
  <c r="M846" i="2"/>
  <c r="M31" i="6" s="1"/>
  <c r="N845" i="2"/>
  <c r="P845" i="2" s="1"/>
  <c r="M845" i="2"/>
  <c r="O845" i="2" s="1"/>
  <c r="M813" i="2"/>
  <c r="O813" i="2" s="1"/>
  <c r="N813" i="2"/>
  <c r="P813" i="2" s="1"/>
  <c r="M803" i="2"/>
  <c r="N803" i="2"/>
  <c r="N802" i="2"/>
  <c r="M802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D26" i="6"/>
  <c r="F26" i="6" s="1"/>
  <c r="P761" i="2"/>
  <c r="M761" i="2"/>
  <c r="O761" i="2" s="1"/>
  <c r="N761" i="2"/>
  <c r="M751" i="2"/>
  <c r="O751" i="2" s="1"/>
  <c r="N751" i="2"/>
  <c r="P751" i="2" s="1"/>
  <c r="N750" i="2"/>
  <c r="P750" i="2" s="1"/>
  <c r="M750" i="2"/>
  <c r="O750" i="2" s="1"/>
  <c r="N748" i="2"/>
  <c r="P748" i="2" s="1"/>
  <c r="M748" i="2"/>
  <c r="D25" i="6" s="1"/>
  <c r="F25" i="6" s="1"/>
  <c r="N747" i="2"/>
  <c r="P747" i="2" s="1"/>
  <c r="M747" i="2"/>
  <c r="D24" i="6" s="1"/>
  <c r="F24" i="6" s="1"/>
  <c r="N746" i="2"/>
  <c r="P746" i="2" s="1"/>
  <c r="M746" i="2"/>
  <c r="D23" i="6" s="1"/>
  <c r="N745" i="2"/>
  <c r="P745" i="2" s="1"/>
  <c r="M745" i="2"/>
  <c r="D22" i="6" s="1"/>
  <c r="N744" i="2"/>
  <c r="P744" i="2" s="1"/>
  <c r="M744" i="2"/>
  <c r="D21" i="6" s="1"/>
  <c r="N743" i="2"/>
  <c r="P743" i="2" s="1"/>
  <c r="M743" i="2"/>
  <c r="O743" i="2" s="1"/>
  <c r="N742" i="2"/>
  <c r="P742" i="2" s="1"/>
  <c r="M742" i="2"/>
  <c r="C31" i="6" s="1"/>
  <c r="N741" i="2"/>
  <c r="P741" i="2" s="1"/>
  <c r="M741" i="2"/>
  <c r="O741" i="2" s="1"/>
  <c r="BL10" i="6"/>
  <c r="BN10" i="6" s="1"/>
  <c r="P338" i="2"/>
  <c r="O338" i="2"/>
  <c r="P450" i="2"/>
  <c r="O450" i="2"/>
  <c r="P541" i="2"/>
  <c r="O541" i="2"/>
  <c r="M626" i="2"/>
  <c r="N626" i="2"/>
  <c r="M627" i="2"/>
  <c r="O627" i="2" s="1"/>
  <c r="N627" i="2"/>
  <c r="P627" i="2" s="1"/>
  <c r="M628" i="2"/>
  <c r="O628" i="2" s="1"/>
  <c r="N628" i="2"/>
  <c r="P628" i="2" s="1"/>
  <c r="M629" i="2"/>
  <c r="O629" i="2" s="1"/>
  <c r="N629" i="2"/>
  <c r="P629" i="2" s="1"/>
  <c r="M630" i="2"/>
  <c r="O630" i="2" s="1"/>
  <c r="N630" i="2"/>
  <c r="P630" i="2" s="1"/>
  <c r="M631" i="2"/>
  <c r="O631" i="2" s="1"/>
  <c r="N631" i="2"/>
  <c r="P631" i="2" s="1"/>
  <c r="M709" i="2"/>
  <c r="O709" i="2" s="1"/>
  <c r="N709" i="2"/>
  <c r="P709" i="2" s="1"/>
  <c r="M699" i="2"/>
  <c r="O699" i="2" s="1"/>
  <c r="N699" i="2"/>
  <c r="P699" i="2" s="1"/>
  <c r="N698" i="2"/>
  <c r="P698" i="2" s="1"/>
  <c r="M698" i="2"/>
  <c r="BL11" i="6" s="1"/>
  <c r="BN11" i="6" s="1"/>
  <c r="N696" i="2"/>
  <c r="P696" i="2" s="1"/>
  <c r="M696" i="2"/>
  <c r="O696" i="2" s="1"/>
  <c r="N695" i="2"/>
  <c r="P695" i="2" s="1"/>
  <c r="M695" i="2"/>
  <c r="O695" i="2" s="1"/>
  <c r="N694" i="2"/>
  <c r="P694" i="2" s="1"/>
  <c r="M694" i="2"/>
  <c r="BL7" i="6" s="1"/>
  <c r="N693" i="2"/>
  <c r="P693" i="2" s="1"/>
  <c r="M693" i="2"/>
  <c r="O693" i="2" s="1"/>
  <c r="N692" i="2"/>
  <c r="P692" i="2" s="1"/>
  <c r="M692" i="2"/>
  <c r="O692" i="2" s="1"/>
  <c r="N691" i="2"/>
  <c r="P691" i="2" s="1"/>
  <c r="M691" i="2"/>
  <c r="O691" i="2" s="1"/>
  <c r="N690" i="2"/>
  <c r="P690" i="2" s="1"/>
  <c r="M690" i="2"/>
  <c r="BK15" i="6" s="1"/>
  <c r="N689" i="2"/>
  <c r="P689" i="2" s="1"/>
  <c r="M689" i="2"/>
  <c r="O689" i="2" s="1"/>
  <c r="BE10" i="6"/>
  <c r="BG10" i="6" s="1"/>
  <c r="N618" i="2"/>
  <c r="P618" i="2" s="1"/>
  <c r="M618" i="2"/>
  <c r="BE11" i="6" s="1"/>
  <c r="BG11" i="6" s="1"/>
  <c r="N616" i="2"/>
  <c r="P616" i="2" s="1"/>
  <c r="M616" i="2"/>
  <c r="BE9" i="6" s="1"/>
  <c r="BG9" i="6" s="1"/>
  <c r="N615" i="2"/>
  <c r="P615" i="2" s="1"/>
  <c r="M615" i="2"/>
  <c r="BE8" i="6" s="1"/>
  <c r="BG8" i="6" s="1"/>
  <c r="N614" i="2"/>
  <c r="P614" i="2" s="1"/>
  <c r="M614" i="2"/>
  <c r="BE7" i="6" s="1"/>
  <c r="N613" i="2"/>
  <c r="P613" i="2" s="1"/>
  <c r="M613" i="2"/>
  <c r="O613" i="2" s="1"/>
  <c r="N612" i="2"/>
  <c r="P612" i="2" s="1"/>
  <c r="M612" i="2"/>
  <c r="BE5" i="6" s="1"/>
  <c r="N611" i="2"/>
  <c r="P611" i="2" s="1"/>
  <c r="M611" i="2"/>
  <c r="N610" i="2"/>
  <c r="P610" i="2" s="1"/>
  <c r="M610" i="2"/>
  <c r="O610" i="2" s="1"/>
  <c r="N609" i="2"/>
  <c r="P609" i="2" s="1"/>
  <c r="M609" i="2"/>
  <c r="O609" i="2" s="1"/>
  <c r="AC10" i="6"/>
  <c r="AM10" i="6"/>
  <c r="AO10" i="6" s="1"/>
  <c r="AV10" i="6"/>
  <c r="AX10" i="6" s="1"/>
  <c r="M2634" i="2" l="1"/>
  <c r="N2634" i="2"/>
  <c r="O2627" i="2"/>
  <c r="L71" i="6"/>
  <c r="P2627" i="2"/>
  <c r="L154" i="6"/>
  <c r="P2426" i="2"/>
  <c r="AZ138" i="6"/>
  <c r="M2433" i="2"/>
  <c r="N2433" i="2"/>
  <c r="O2426" i="2"/>
  <c r="AZ55" i="6"/>
  <c r="O2398" i="2"/>
  <c r="AV55" i="6"/>
  <c r="P2398" i="2"/>
  <c r="AV138" i="6"/>
  <c r="O2342" i="2"/>
  <c r="AN55" i="6"/>
  <c r="P2342" i="2"/>
  <c r="AN138" i="6"/>
  <c r="P626" i="2"/>
  <c r="BF90" i="6"/>
  <c r="O626" i="2"/>
  <c r="BF7" i="6"/>
  <c r="BG7" i="6" s="1"/>
  <c r="P2626" i="2"/>
  <c r="P2634" i="2" s="1"/>
  <c r="L153" i="6"/>
  <c r="O2626" i="2"/>
  <c r="O2634" i="2" s="1"/>
  <c r="L70" i="6"/>
  <c r="O2425" i="2"/>
  <c r="AZ54" i="6"/>
  <c r="P2425" i="2"/>
  <c r="P2433" i="2" s="1"/>
  <c r="AZ137" i="6"/>
  <c r="P2397" i="2"/>
  <c r="AV137" i="6"/>
  <c r="O2397" i="2"/>
  <c r="AV54" i="6"/>
  <c r="O2341" i="2"/>
  <c r="AN54" i="6"/>
  <c r="P2341" i="2"/>
  <c r="AN137" i="6"/>
  <c r="O2625" i="2"/>
  <c r="L69" i="6"/>
  <c r="P2625" i="2"/>
  <c r="L152" i="6"/>
  <c r="P2424" i="2"/>
  <c r="AZ136" i="6"/>
  <c r="O2424" i="2"/>
  <c r="AZ53" i="6"/>
  <c r="O2396" i="2"/>
  <c r="AV53" i="6"/>
  <c r="P2396" i="2"/>
  <c r="AV136" i="6"/>
  <c r="O2340" i="2"/>
  <c r="AN53" i="6"/>
  <c r="AN65" i="6" s="1"/>
  <c r="P2340" i="2"/>
  <c r="AN136" i="6"/>
  <c r="O2423" i="2"/>
  <c r="AY64" i="6"/>
  <c r="BA64" i="6" s="1"/>
  <c r="O2339" i="2"/>
  <c r="AM64" i="6"/>
  <c r="AO64" i="6" s="1"/>
  <c r="O2422" i="2"/>
  <c r="AY63" i="6"/>
  <c r="BA63" i="6" s="1"/>
  <c r="O2338" i="2"/>
  <c r="AM63" i="6"/>
  <c r="AO63" i="6" s="1"/>
  <c r="O2421" i="2"/>
  <c r="AY62" i="6"/>
  <c r="BA62" i="6" s="1"/>
  <c r="O2337" i="2"/>
  <c r="AM62" i="6"/>
  <c r="AO62" i="6" s="1"/>
  <c r="K80" i="6"/>
  <c r="M80" i="6" s="1"/>
  <c r="K79" i="6"/>
  <c r="M79" i="6" s="1"/>
  <c r="P2624" i="2"/>
  <c r="K163" i="6"/>
  <c r="M163" i="6" s="1"/>
  <c r="P2623" i="2"/>
  <c r="O2584" i="2"/>
  <c r="P2587" i="2"/>
  <c r="H155" i="6"/>
  <c r="J155" i="6" s="1"/>
  <c r="O2588" i="2"/>
  <c r="P2591" i="2"/>
  <c r="H159" i="6"/>
  <c r="J159" i="6" s="1"/>
  <c r="H70" i="6"/>
  <c r="P2586" i="2"/>
  <c r="H154" i="6"/>
  <c r="O2587" i="2"/>
  <c r="P2585" i="2"/>
  <c r="H153" i="6"/>
  <c r="P2590" i="2"/>
  <c r="H158" i="6"/>
  <c r="J158" i="6" s="1"/>
  <c r="H76" i="6"/>
  <c r="J76" i="6" s="1"/>
  <c r="P2584" i="2"/>
  <c r="H152" i="6"/>
  <c r="P2588" i="2"/>
  <c r="H156" i="6"/>
  <c r="J156" i="6" s="1"/>
  <c r="O2590" i="2"/>
  <c r="P2556" i="2"/>
  <c r="E153" i="6"/>
  <c r="P2558" i="2"/>
  <c r="E155" i="6"/>
  <c r="G155" i="6" s="1"/>
  <c r="O2558" i="2"/>
  <c r="P2561" i="2"/>
  <c r="E158" i="6"/>
  <c r="G158" i="6" s="1"/>
  <c r="P2559" i="2"/>
  <c r="E156" i="6"/>
  <c r="G156" i="6" s="1"/>
  <c r="P2555" i="2"/>
  <c r="E152" i="6"/>
  <c r="P2557" i="2"/>
  <c r="E154" i="6"/>
  <c r="P2562" i="2"/>
  <c r="E159" i="6"/>
  <c r="G159" i="6" s="1"/>
  <c r="O2529" i="2"/>
  <c r="P2527" i="2"/>
  <c r="B152" i="6"/>
  <c r="P2533" i="2"/>
  <c r="B158" i="6"/>
  <c r="D158" i="6" s="1"/>
  <c r="P2534" i="2"/>
  <c r="B159" i="6"/>
  <c r="D159" i="6" s="1"/>
  <c r="P2529" i="2"/>
  <c r="B154" i="6"/>
  <c r="P2528" i="2"/>
  <c r="B153" i="6"/>
  <c r="P2531" i="2"/>
  <c r="P2530" i="2"/>
  <c r="B155" i="6"/>
  <c r="D155" i="6" s="1"/>
  <c r="O2497" i="2"/>
  <c r="BK136" i="6"/>
  <c r="BK138" i="6"/>
  <c r="BK143" i="6"/>
  <c r="BM143" i="6" s="1"/>
  <c r="BK139" i="6"/>
  <c r="BM139" i="6" s="1"/>
  <c r="BJ62" i="6"/>
  <c r="BK142" i="6"/>
  <c r="BM142" i="6" s="1"/>
  <c r="BJ145" i="6"/>
  <c r="BK137" i="6"/>
  <c r="BJ146" i="6"/>
  <c r="BJ147" i="6"/>
  <c r="BG136" i="6"/>
  <c r="BG138" i="6"/>
  <c r="O2465" i="2"/>
  <c r="BG142" i="6"/>
  <c r="BI142" i="6" s="1"/>
  <c r="BF145" i="6"/>
  <c r="BG137" i="6"/>
  <c r="BG140" i="6"/>
  <c r="BI140" i="6" s="1"/>
  <c r="BF147" i="6"/>
  <c r="BG143" i="6"/>
  <c r="BI143" i="6" s="1"/>
  <c r="BG139" i="6"/>
  <c r="BI139" i="6" s="1"/>
  <c r="BF146" i="6"/>
  <c r="O2437" i="2"/>
  <c r="BC137" i="6"/>
  <c r="BC140" i="6"/>
  <c r="BE140" i="6" s="1"/>
  <c r="BB147" i="6"/>
  <c r="BC143" i="6"/>
  <c r="BE143" i="6" s="1"/>
  <c r="BC139" i="6"/>
  <c r="BE139" i="6" s="1"/>
  <c r="BB146" i="6"/>
  <c r="BC136" i="6"/>
  <c r="BC142" i="6"/>
  <c r="BE142" i="6" s="1"/>
  <c r="BC138" i="6"/>
  <c r="BB145" i="6"/>
  <c r="AY147" i="6"/>
  <c r="BA147" i="6" s="1"/>
  <c r="AY146" i="6"/>
  <c r="BA146" i="6" s="1"/>
  <c r="O2395" i="2"/>
  <c r="AU64" i="6"/>
  <c r="AW64" i="6" s="1"/>
  <c r="AU147" i="6"/>
  <c r="AW147" i="6" s="1"/>
  <c r="O2394" i="2"/>
  <c r="AU63" i="6"/>
  <c r="AW63" i="6" s="1"/>
  <c r="AU146" i="6"/>
  <c r="AW146" i="6" s="1"/>
  <c r="P2356" i="2"/>
  <c r="AQ136" i="6"/>
  <c r="P2363" i="2"/>
  <c r="AQ143" i="6"/>
  <c r="AS143" i="6" s="1"/>
  <c r="P2354" i="2"/>
  <c r="AP146" i="6"/>
  <c r="P2358" i="2"/>
  <c r="AQ138" i="6"/>
  <c r="P2360" i="2"/>
  <c r="AQ140" i="6"/>
  <c r="AS140" i="6" s="1"/>
  <c r="P2353" i="2"/>
  <c r="AP145" i="6"/>
  <c r="P2355" i="2"/>
  <c r="AP147" i="6"/>
  <c r="P2357" i="2"/>
  <c r="AQ137" i="6"/>
  <c r="P2359" i="2"/>
  <c r="AQ139" i="6"/>
  <c r="AS139" i="6" s="1"/>
  <c r="P2362" i="2"/>
  <c r="AQ142" i="6"/>
  <c r="AS142" i="6" s="1"/>
  <c r="AM147" i="6"/>
  <c r="AO147" i="6" s="1"/>
  <c r="AM146" i="6"/>
  <c r="AO146" i="6" s="1"/>
  <c r="O2290" i="2"/>
  <c r="AI137" i="6"/>
  <c r="AI140" i="6"/>
  <c r="AK140" i="6" s="1"/>
  <c r="AH147" i="6"/>
  <c r="AI143" i="6"/>
  <c r="AK143" i="6" s="1"/>
  <c r="AI139" i="6"/>
  <c r="AK139" i="6" s="1"/>
  <c r="AH146" i="6"/>
  <c r="AI136" i="6"/>
  <c r="AI142" i="6"/>
  <c r="AK142" i="6" s="1"/>
  <c r="AI138" i="6"/>
  <c r="AH145" i="6"/>
  <c r="AD147" i="6"/>
  <c r="AE143" i="6"/>
  <c r="AG143" i="6" s="1"/>
  <c r="AE139" i="6"/>
  <c r="AG139" i="6" s="1"/>
  <c r="AD146" i="6"/>
  <c r="AE140" i="6"/>
  <c r="AG140" i="6" s="1"/>
  <c r="O2262" i="2"/>
  <c r="AE136" i="6"/>
  <c r="AE142" i="6"/>
  <c r="AG142" i="6" s="1"/>
  <c r="AE138" i="6"/>
  <c r="AD145" i="6"/>
  <c r="AE137" i="6"/>
  <c r="AA137" i="6"/>
  <c r="Z145" i="6"/>
  <c r="AA142" i="6"/>
  <c r="AC142" i="6" s="1"/>
  <c r="O2243" i="2"/>
  <c r="AA60" i="6"/>
  <c r="AC60" i="6" s="1"/>
  <c r="Z146" i="6"/>
  <c r="AA136" i="6"/>
  <c r="AA138" i="6"/>
  <c r="O2237" i="2"/>
  <c r="AA54" i="6"/>
  <c r="AA140" i="6"/>
  <c r="AC140" i="6" s="1"/>
  <c r="O2240" i="2"/>
  <c r="AA57" i="6"/>
  <c r="AC57" i="6" s="1"/>
  <c r="Z147" i="6"/>
  <c r="AA143" i="6"/>
  <c r="AC143" i="6" s="1"/>
  <c r="AA139" i="6"/>
  <c r="AC139" i="6" s="1"/>
  <c r="W139" i="6"/>
  <c r="Y139" i="6" s="1"/>
  <c r="V147" i="6"/>
  <c r="W137" i="6"/>
  <c r="W142" i="6"/>
  <c r="Y142" i="6" s="1"/>
  <c r="O2194" i="2"/>
  <c r="W53" i="6"/>
  <c r="O2198" i="2"/>
  <c r="W57" i="6"/>
  <c r="Y57" i="6" s="1"/>
  <c r="W143" i="6"/>
  <c r="Y143" i="6" s="1"/>
  <c r="O2201" i="2"/>
  <c r="W60" i="6"/>
  <c r="Y60" i="6" s="1"/>
  <c r="W136" i="6"/>
  <c r="W138" i="6"/>
  <c r="O2191" i="2"/>
  <c r="V62" i="6"/>
  <c r="O2193" i="2"/>
  <c r="V64" i="6"/>
  <c r="O2195" i="2"/>
  <c r="W54" i="6"/>
  <c r="O2197" i="2"/>
  <c r="W56" i="6"/>
  <c r="Y56" i="6" s="1"/>
  <c r="O2200" i="2"/>
  <c r="W59" i="6"/>
  <c r="Y59" i="6" s="1"/>
  <c r="V146" i="6"/>
  <c r="O2192" i="2"/>
  <c r="V63" i="6"/>
  <c r="O2196" i="2"/>
  <c r="W55" i="6"/>
  <c r="V145" i="6"/>
  <c r="W140" i="6"/>
  <c r="Y140" i="6" s="1"/>
  <c r="R146" i="6"/>
  <c r="S140" i="6"/>
  <c r="U140" i="6" s="1"/>
  <c r="R145" i="6"/>
  <c r="S143" i="6"/>
  <c r="U143" i="6" s="1"/>
  <c r="S139" i="6"/>
  <c r="U139" i="6" s="1"/>
  <c r="S136" i="6"/>
  <c r="S142" i="6"/>
  <c r="U142" i="6" s="1"/>
  <c r="S138" i="6"/>
  <c r="R147" i="6"/>
  <c r="S137" i="6"/>
  <c r="O142" i="6"/>
  <c r="Q142" i="6" s="1"/>
  <c r="N147" i="6"/>
  <c r="O139" i="6"/>
  <c r="Q139" i="6" s="1"/>
  <c r="N145" i="6"/>
  <c r="O137" i="6"/>
  <c r="O143" i="6"/>
  <c r="Q143" i="6" s="1"/>
  <c r="O136" i="6"/>
  <c r="O138" i="6"/>
  <c r="N146" i="6"/>
  <c r="O140" i="6"/>
  <c r="Q140" i="6" s="1"/>
  <c r="K138" i="6"/>
  <c r="K136" i="6"/>
  <c r="K142" i="6"/>
  <c r="M142" i="6" s="1"/>
  <c r="J147" i="6"/>
  <c r="K137" i="6"/>
  <c r="J146" i="6"/>
  <c r="K140" i="6"/>
  <c r="M140" i="6" s="1"/>
  <c r="J145" i="6"/>
  <c r="K143" i="6"/>
  <c r="M143" i="6" s="1"/>
  <c r="K139" i="6"/>
  <c r="M139" i="6" s="1"/>
  <c r="F147" i="6"/>
  <c r="G137" i="6"/>
  <c r="F146" i="6"/>
  <c r="G140" i="6"/>
  <c r="I140" i="6" s="1"/>
  <c r="G139" i="6"/>
  <c r="I139" i="6" s="1"/>
  <c r="F145" i="6"/>
  <c r="G136" i="6"/>
  <c r="G142" i="6"/>
  <c r="I142" i="6" s="1"/>
  <c r="G138" i="6"/>
  <c r="B146" i="6"/>
  <c r="C140" i="6"/>
  <c r="E140" i="6" s="1"/>
  <c r="O1987" i="2"/>
  <c r="C59" i="6"/>
  <c r="E59" i="6" s="1"/>
  <c r="B145" i="6"/>
  <c r="C143" i="6"/>
  <c r="E143" i="6" s="1"/>
  <c r="C139" i="6"/>
  <c r="E139" i="6" s="1"/>
  <c r="C136" i="6"/>
  <c r="C142" i="6"/>
  <c r="E142" i="6" s="1"/>
  <c r="C138" i="6"/>
  <c r="O1988" i="2"/>
  <c r="C60" i="6"/>
  <c r="E60" i="6" s="1"/>
  <c r="B147" i="6"/>
  <c r="C137" i="6"/>
  <c r="BJ120" i="6"/>
  <c r="BJ122" i="6"/>
  <c r="BJ127" i="6"/>
  <c r="BL127" i="6" s="1"/>
  <c r="BI131" i="6"/>
  <c r="BJ121" i="6"/>
  <c r="BJ126" i="6"/>
  <c r="BL126" i="6" s="1"/>
  <c r="BI130" i="6"/>
  <c r="BJ124" i="6"/>
  <c r="BL124" i="6" s="1"/>
  <c r="BF120" i="6"/>
  <c r="BF122" i="6"/>
  <c r="BF126" i="6"/>
  <c r="BH126" i="6" s="1"/>
  <c r="BE131" i="6"/>
  <c r="BF121" i="6"/>
  <c r="BE130" i="6"/>
  <c r="BF124" i="6"/>
  <c r="BH124" i="6" s="1"/>
  <c r="BE129" i="6"/>
  <c r="BF127" i="6"/>
  <c r="BH127" i="6" s="1"/>
  <c r="BF123" i="6"/>
  <c r="BH123" i="6" s="1"/>
  <c r="BB120" i="6"/>
  <c r="BB126" i="6"/>
  <c r="BD126" i="6" s="1"/>
  <c r="BB122" i="6"/>
  <c r="BA131" i="6"/>
  <c r="BB121" i="6"/>
  <c r="BA130" i="6"/>
  <c r="BB124" i="6"/>
  <c r="BD124" i="6" s="1"/>
  <c r="BA129" i="6"/>
  <c r="BB127" i="6"/>
  <c r="BD127" i="6" s="1"/>
  <c r="BB123" i="6"/>
  <c r="BD123" i="6" s="1"/>
  <c r="AV131" i="6"/>
  <c r="AW123" i="6"/>
  <c r="AY123" i="6" s="1"/>
  <c r="AW124" i="6"/>
  <c r="AY124" i="6" s="1"/>
  <c r="AV130" i="6"/>
  <c r="AW127" i="6"/>
  <c r="AY127" i="6" s="1"/>
  <c r="AV129" i="6"/>
  <c r="AW126" i="6"/>
  <c r="AY126" i="6" s="1"/>
  <c r="AW122" i="6"/>
  <c r="P1770" i="2"/>
  <c r="AR121" i="6"/>
  <c r="P1775" i="2"/>
  <c r="AR126" i="6"/>
  <c r="AT126" i="6" s="1"/>
  <c r="AQ130" i="6"/>
  <c r="AQ131" i="6"/>
  <c r="P1771" i="2"/>
  <c r="AR122" i="6"/>
  <c r="P1773" i="2"/>
  <c r="AR124" i="6"/>
  <c r="AT124" i="6" s="1"/>
  <c r="P1776" i="2"/>
  <c r="AR127" i="6"/>
  <c r="AT127" i="6" s="1"/>
  <c r="AQ129" i="6"/>
  <c r="P1772" i="2"/>
  <c r="AR123" i="6"/>
  <c r="AT123" i="6" s="1"/>
  <c r="AR120" i="6"/>
  <c r="AL130" i="6"/>
  <c r="AM124" i="6"/>
  <c r="AO124" i="6" s="1"/>
  <c r="AL129" i="6"/>
  <c r="AM127" i="6"/>
  <c r="AO127" i="6" s="1"/>
  <c r="AM123" i="6"/>
  <c r="AO123" i="6" s="1"/>
  <c r="AM120" i="6"/>
  <c r="AM126" i="6"/>
  <c r="AO126" i="6" s="1"/>
  <c r="AM122" i="6"/>
  <c r="AL131" i="6"/>
  <c r="AM121" i="6"/>
  <c r="AH122" i="6"/>
  <c r="AH126" i="6"/>
  <c r="AJ126" i="6" s="1"/>
  <c r="AG131" i="6"/>
  <c r="AH123" i="6"/>
  <c r="AJ123" i="6" s="1"/>
  <c r="AG130" i="6"/>
  <c r="AH121" i="6"/>
  <c r="AG129" i="6"/>
  <c r="AH124" i="6"/>
  <c r="AJ124" i="6" s="1"/>
  <c r="AC122" i="6"/>
  <c r="AC120" i="6"/>
  <c r="AB131" i="6"/>
  <c r="AC121" i="6"/>
  <c r="AC126" i="6"/>
  <c r="AE126" i="6" s="1"/>
  <c r="AB130" i="6"/>
  <c r="AC124" i="6"/>
  <c r="AE124" i="6" s="1"/>
  <c r="AB129" i="6"/>
  <c r="AC127" i="6"/>
  <c r="AE127" i="6" s="1"/>
  <c r="AC123" i="6"/>
  <c r="AE123" i="6" s="1"/>
  <c r="X120" i="6"/>
  <c r="W131" i="6"/>
  <c r="W130" i="6"/>
  <c r="X124" i="6"/>
  <c r="Z124" i="6" s="1"/>
  <c r="X126" i="6"/>
  <c r="Z126" i="6" s="1"/>
  <c r="X121" i="6"/>
  <c r="W129" i="6"/>
  <c r="X127" i="6"/>
  <c r="Z127" i="6" s="1"/>
  <c r="X123" i="6"/>
  <c r="Z123" i="6" s="1"/>
  <c r="R130" i="6"/>
  <c r="S124" i="6"/>
  <c r="U124" i="6" s="1"/>
  <c r="R129" i="6"/>
  <c r="S127" i="6"/>
  <c r="U127" i="6" s="1"/>
  <c r="S123" i="6"/>
  <c r="U123" i="6" s="1"/>
  <c r="S120" i="6"/>
  <c r="S126" i="6"/>
  <c r="U126" i="6" s="1"/>
  <c r="S122" i="6"/>
  <c r="R131" i="6"/>
  <c r="S121" i="6"/>
  <c r="M129" i="6"/>
  <c r="N123" i="6"/>
  <c r="P123" i="6" s="1"/>
  <c r="N127" i="6"/>
  <c r="P127" i="6" s="1"/>
  <c r="N120" i="6"/>
  <c r="N122" i="6"/>
  <c r="M131" i="6"/>
  <c r="N121" i="6"/>
  <c r="M130" i="6"/>
  <c r="N124" i="6"/>
  <c r="P124" i="6" s="1"/>
  <c r="I121" i="6"/>
  <c r="H131" i="6"/>
  <c r="I126" i="6"/>
  <c r="K126" i="6" s="1"/>
  <c r="I120" i="6"/>
  <c r="I122" i="6"/>
  <c r="H130" i="6"/>
  <c r="I124" i="6"/>
  <c r="K124" i="6" s="1"/>
  <c r="H129" i="6"/>
  <c r="I127" i="6"/>
  <c r="K127" i="6" s="1"/>
  <c r="I123" i="6"/>
  <c r="K123" i="6" s="1"/>
  <c r="C130" i="6"/>
  <c r="D124" i="6"/>
  <c r="F124" i="6" s="1"/>
  <c r="C129" i="6"/>
  <c r="D127" i="6"/>
  <c r="F127" i="6" s="1"/>
  <c r="D123" i="6"/>
  <c r="F123" i="6" s="1"/>
  <c r="D120" i="6"/>
  <c r="D126" i="6"/>
  <c r="F126" i="6" s="1"/>
  <c r="D122" i="6"/>
  <c r="BB111" i="6"/>
  <c r="BD111" i="6" s="1"/>
  <c r="BB108" i="6"/>
  <c r="BD108" i="6" s="1"/>
  <c r="BA113" i="6"/>
  <c r="BB104" i="6"/>
  <c r="BB110" i="6"/>
  <c r="BD110" i="6" s="1"/>
  <c r="BB106" i="6"/>
  <c r="BB107" i="6"/>
  <c r="BD107" i="6" s="1"/>
  <c r="BA115" i="6"/>
  <c r="BB105" i="6"/>
  <c r="AW107" i="6"/>
  <c r="AY107" i="6" s="1"/>
  <c r="AV113" i="6"/>
  <c r="AW104" i="6"/>
  <c r="AW110" i="6"/>
  <c r="AY110" i="6" s="1"/>
  <c r="AW106" i="6"/>
  <c r="AV115" i="6"/>
  <c r="AW105" i="6"/>
  <c r="AV114" i="6"/>
  <c r="AW108" i="6"/>
  <c r="AY108" i="6" s="1"/>
  <c r="AR106" i="6"/>
  <c r="AR104" i="6"/>
  <c r="AR110" i="6"/>
  <c r="AT110" i="6" s="1"/>
  <c r="AQ115" i="6"/>
  <c r="AR105" i="6"/>
  <c r="AQ114" i="6"/>
  <c r="AR108" i="6"/>
  <c r="AT108" i="6" s="1"/>
  <c r="AQ113" i="6"/>
  <c r="AR111" i="6"/>
  <c r="AT111" i="6" s="1"/>
  <c r="AR107" i="6"/>
  <c r="AT107" i="6" s="1"/>
  <c r="AL114" i="6"/>
  <c r="AL115" i="6"/>
  <c r="AM105" i="6"/>
  <c r="AL113" i="6"/>
  <c r="AM111" i="6"/>
  <c r="AO111" i="6" s="1"/>
  <c r="AM107" i="6"/>
  <c r="AO107" i="6" s="1"/>
  <c r="AM104" i="6"/>
  <c r="AM110" i="6"/>
  <c r="AO110" i="6" s="1"/>
  <c r="AM106" i="6"/>
  <c r="AG114" i="6"/>
  <c r="AH108" i="6"/>
  <c r="AJ108" i="6" s="1"/>
  <c r="AG113" i="6"/>
  <c r="AH111" i="6"/>
  <c r="AJ111" i="6" s="1"/>
  <c r="AH107" i="6"/>
  <c r="AJ107" i="6" s="1"/>
  <c r="AH104" i="6"/>
  <c r="AH110" i="6"/>
  <c r="AJ110" i="6" s="1"/>
  <c r="AH106" i="6"/>
  <c r="AG115" i="6"/>
  <c r="AH105" i="6"/>
  <c r="AC107" i="6"/>
  <c r="AE107" i="6" s="1"/>
  <c r="AC111" i="6"/>
  <c r="AE111" i="6" s="1"/>
  <c r="AC104" i="6"/>
  <c r="AC110" i="6"/>
  <c r="AE110" i="6" s="1"/>
  <c r="AC106" i="6"/>
  <c r="AB115" i="6"/>
  <c r="AC105" i="6"/>
  <c r="AB114" i="6"/>
  <c r="AC108" i="6"/>
  <c r="AE108" i="6" s="1"/>
  <c r="P957" i="2"/>
  <c r="W114" i="6"/>
  <c r="P961" i="2"/>
  <c r="X106" i="6"/>
  <c r="P963" i="2"/>
  <c r="X108" i="6"/>
  <c r="Z108" i="6" s="1"/>
  <c r="O966" i="2"/>
  <c r="O956" i="2"/>
  <c r="W30" i="6"/>
  <c r="O958" i="2"/>
  <c r="W32" i="6"/>
  <c r="O960" i="2"/>
  <c r="X22" i="6"/>
  <c r="O962" i="2"/>
  <c r="X24" i="6"/>
  <c r="Z24" i="6" s="1"/>
  <c r="O965" i="2"/>
  <c r="X104" i="6"/>
  <c r="P956" i="2"/>
  <c r="W113" i="6"/>
  <c r="P958" i="2"/>
  <c r="W115" i="6"/>
  <c r="P960" i="2"/>
  <c r="X105" i="6"/>
  <c r="P962" i="2"/>
  <c r="X107" i="6"/>
  <c r="Z107" i="6" s="1"/>
  <c r="P965" i="2"/>
  <c r="X110" i="6"/>
  <c r="Z110" i="6" s="1"/>
  <c r="O957" i="2"/>
  <c r="W31" i="6"/>
  <c r="O959" i="2"/>
  <c r="X21" i="6"/>
  <c r="O961" i="2"/>
  <c r="X23" i="6"/>
  <c r="O963" i="2"/>
  <c r="X25" i="6"/>
  <c r="Z25" i="6" s="1"/>
  <c r="P966" i="2"/>
  <c r="X111" i="6"/>
  <c r="Z111" i="6" s="1"/>
  <c r="S105" i="6"/>
  <c r="R115" i="6"/>
  <c r="S108" i="6"/>
  <c r="U108" i="6" s="1"/>
  <c r="S111" i="6"/>
  <c r="U111" i="6" s="1"/>
  <c r="S107" i="6"/>
  <c r="U107" i="6" s="1"/>
  <c r="R114" i="6"/>
  <c r="S104" i="6"/>
  <c r="S106" i="6"/>
  <c r="N111" i="6"/>
  <c r="P111" i="6" s="1"/>
  <c r="N107" i="6"/>
  <c r="P107" i="6" s="1"/>
  <c r="M114" i="6"/>
  <c r="N104" i="6"/>
  <c r="N110" i="6"/>
  <c r="P110" i="6" s="1"/>
  <c r="N106" i="6"/>
  <c r="M113" i="6"/>
  <c r="N105" i="6"/>
  <c r="N108" i="6"/>
  <c r="P108" i="6" s="1"/>
  <c r="M115" i="6"/>
  <c r="O794" i="2"/>
  <c r="H31" i="6"/>
  <c r="O796" i="2"/>
  <c r="I21" i="6"/>
  <c r="O798" i="2"/>
  <c r="I23" i="6"/>
  <c r="O800" i="2"/>
  <c r="I25" i="6"/>
  <c r="K25" i="6" s="1"/>
  <c r="P803" i="2"/>
  <c r="I111" i="6"/>
  <c r="K111" i="6" s="1"/>
  <c r="P793" i="2"/>
  <c r="H113" i="6"/>
  <c r="P797" i="2"/>
  <c r="I105" i="6"/>
  <c r="P794" i="2"/>
  <c r="H114" i="6"/>
  <c r="P796" i="2"/>
  <c r="I104" i="6"/>
  <c r="P798" i="2"/>
  <c r="I106" i="6"/>
  <c r="P800" i="2"/>
  <c r="I108" i="6"/>
  <c r="K108" i="6" s="1"/>
  <c r="O803" i="2"/>
  <c r="I28" i="6"/>
  <c r="K28" i="6" s="1"/>
  <c r="P795" i="2"/>
  <c r="H115" i="6"/>
  <c r="P799" i="2"/>
  <c r="I107" i="6"/>
  <c r="K107" i="6" s="1"/>
  <c r="P802" i="2"/>
  <c r="I110" i="6"/>
  <c r="K110" i="6" s="1"/>
  <c r="O793" i="2"/>
  <c r="H30" i="6"/>
  <c r="O795" i="2"/>
  <c r="H32" i="6"/>
  <c r="O797" i="2"/>
  <c r="I22" i="6"/>
  <c r="O799" i="2"/>
  <c r="I24" i="6"/>
  <c r="K24" i="6" s="1"/>
  <c r="O802" i="2"/>
  <c r="I27" i="6"/>
  <c r="K27" i="6" s="1"/>
  <c r="D105" i="6"/>
  <c r="D111" i="6"/>
  <c r="F111" i="6" s="1"/>
  <c r="D107" i="6"/>
  <c r="F107" i="6" s="1"/>
  <c r="C114" i="6"/>
  <c r="D108" i="6"/>
  <c r="F108" i="6" s="1"/>
  <c r="D104" i="6"/>
  <c r="D110" i="6"/>
  <c r="F110" i="6" s="1"/>
  <c r="D106" i="6"/>
  <c r="C113" i="6"/>
  <c r="BK98" i="6"/>
  <c r="BK97" i="6"/>
  <c r="BK99" i="6"/>
  <c r="BE88" i="6"/>
  <c r="BE94" i="6"/>
  <c r="BG94" i="6" s="1"/>
  <c r="BE90" i="6"/>
  <c r="BG90" i="6" s="1"/>
  <c r="BD97" i="6"/>
  <c r="BE89" i="6"/>
  <c r="BE92" i="6"/>
  <c r="BG92" i="6" s="1"/>
  <c r="BD99" i="6"/>
  <c r="BE91" i="6"/>
  <c r="BG91" i="6" s="1"/>
  <c r="BD98" i="6"/>
  <c r="P2622" i="2"/>
  <c r="K161" i="6"/>
  <c r="M161" i="6" s="1"/>
  <c r="K78" i="6"/>
  <c r="M78" i="6" s="1"/>
  <c r="BG144" i="6"/>
  <c r="BI144" i="6" s="1"/>
  <c r="AY145" i="6"/>
  <c r="BA145" i="6" s="1"/>
  <c r="AU145" i="6"/>
  <c r="AW145" i="6" s="1"/>
  <c r="O2393" i="2"/>
  <c r="AU62" i="6"/>
  <c r="AW62" i="6" s="1"/>
  <c r="AM145" i="6"/>
  <c r="AO145" i="6" s="1"/>
  <c r="N2592" i="2"/>
  <c r="P2592" i="2" s="1"/>
  <c r="N2535" i="2"/>
  <c r="N2563" i="2"/>
  <c r="M2592" i="2"/>
  <c r="E70" i="6"/>
  <c r="O2533" i="2"/>
  <c r="O2557" i="2"/>
  <c r="E73" i="6"/>
  <c r="G73" i="6" s="1"/>
  <c r="E69" i="6"/>
  <c r="M2563" i="2"/>
  <c r="O2502" i="2"/>
  <c r="O2561" i="2"/>
  <c r="I2576" i="2"/>
  <c r="E76" i="6"/>
  <c r="G76" i="6" s="1"/>
  <c r="O2528" i="2"/>
  <c r="O2527" i="2"/>
  <c r="B73" i="6"/>
  <c r="D73" i="6" s="1"/>
  <c r="M2507" i="2"/>
  <c r="O2507" i="2" s="1"/>
  <c r="BK55" i="6"/>
  <c r="O2530" i="2"/>
  <c r="B76" i="6"/>
  <c r="D76" i="6" s="1"/>
  <c r="M2535" i="2"/>
  <c r="B77" i="6" s="1"/>
  <c r="D77" i="6" s="1"/>
  <c r="BK59" i="6"/>
  <c r="BM59" i="6" s="1"/>
  <c r="O2441" i="2"/>
  <c r="BK54" i="6"/>
  <c r="O2440" i="2"/>
  <c r="O2467" i="2"/>
  <c r="O2468" i="2"/>
  <c r="O2469" i="2"/>
  <c r="O2470" i="2"/>
  <c r="O2471" i="2"/>
  <c r="O2472" i="2"/>
  <c r="O2474" i="2"/>
  <c r="N2507" i="2"/>
  <c r="BK57" i="6"/>
  <c r="BM57" i="6" s="1"/>
  <c r="BK53" i="6"/>
  <c r="BK60" i="6"/>
  <c r="BM60" i="6" s="1"/>
  <c r="O2446" i="2"/>
  <c r="BC55" i="6"/>
  <c r="M2476" i="2"/>
  <c r="BG60" i="6"/>
  <c r="BI60" i="6" s="1"/>
  <c r="D2489" i="2"/>
  <c r="O2444" i="2"/>
  <c r="N2448" i="2"/>
  <c r="BF63" i="6"/>
  <c r="E2489" i="2"/>
  <c r="BB63" i="6"/>
  <c r="O2359" i="2"/>
  <c r="O2439" i="2"/>
  <c r="O2443" i="2"/>
  <c r="O2358" i="2"/>
  <c r="BC60" i="6"/>
  <c r="BE60" i="6" s="1"/>
  <c r="M2448" i="2"/>
  <c r="BC61" i="6" s="1"/>
  <c r="BE61" i="6" s="1"/>
  <c r="O2357" i="2"/>
  <c r="O2362" i="2"/>
  <c r="O2360" i="2"/>
  <c r="AP63" i="6"/>
  <c r="N2069" i="2"/>
  <c r="AQ53" i="6"/>
  <c r="AQ60" i="6"/>
  <c r="AS60" i="6" s="1"/>
  <c r="AP64" i="6"/>
  <c r="M2364" i="2"/>
  <c r="AQ61" i="6" s="1"/>
  <c r="AS61" i="6" s="1"/>
  <c r="N2364" i="2"/>
  <c r="AQ144" i="6" s="1"/>
  <c r="AS144" i="6" s="1"/>
  <c r="O2233" i="2"/>
  <c r="AE53" i="6"/>
  <c r="AI55" i="6"/>
  <c r="AI59" i="6"/>
  <c r="AK59" i="6" s="1"/>
  <c r="AI54" i="6"/>
  <c r="O2242" i="2"/>
  <c r="AI57" i="6"/>
  <c r="AK57" i="6" s="1"/>
  <c r="AI53" i="6"/>
  <c r="O2236" i="2"/>
  <c r="AE57" i="6"/>
  <c r="AG57" i="6" s="1"/>
  <c r="O2291" i="2"/>
  <c r="O2292" i="2"/>
  <c r="O2296" i="2"/>
  <c r="AI60" i="6"/>
  <c r="AK60" i="6" s="1"/>
  <c r="N2301" i="2"/>
  <c r="AI144" i="6" s="1"/>
  <c r="AK144" i="6" s="1"/>
  <c r="M2301" i="2"/>
  <c r="M2273" i="2"/>
  <c r="AE60" i="6"/>
  <c r="AG60" i="6" s="1"/>
  <c r="AE56" i="6"/>
  <c r="AG56" i="6" s="1"/>
  <c r="AD64" i="6"/>
  <c r="N2202" i="2"/>
  <c r="AE59" i="6"/>
  <c r="AG59" i="6" s="1"/>
  <c r="AE55" i="6"/>
  <c r="AD63" i="6"/>
  <c r="M2069" i="2"/>
  <c r="O2069" i="2" s="1"/>
  <c r="O2266" i="2"/>
  <c r="N2273" i="2"/>
  <c r="O2235" i="2"/>
  <c r="O2239" i="2"/>
  <c r="M2244" i="2"/>
  <c r="AA61" i="6" s="1"/>
  <c r="AC61" i="6" s="1"/>
  <c r="R63" i="6"/>
  <c r="O2234" i="2"/>
  <c r="O2238" i="2"/>
  <c r="N2244" i="2"/>
  <c r="O2058" i="2"/>
  <c r="O2140" i="2"/>
  <c r="S55" i="6"/>
  <c r="O2144" i="2"/>
  <c r="M2202" i="2"/>
  <c r="K59" i="6"/>
  <c r="M59" i="6" s="1"/>
  <c r="R62" i="6"/>
  <c r="S54" i="6"/>
  <c r="S59" i="6"/>
  <c r="U59" i="6" s="1"/>
  <c r="N1989" i="2"/>
  <c r="S53" i="6"/>
  <c r="S57" i="6"/>
  <c r="U57" i="6" s="1"/>
  <c r="S60" i="6"/>
  <c r="U60" i="6" s="1"/>
  <c r="N2149" i="2"/>
  <c r="M2149" i="2"/>
  <c r="O2063" i="2"/>
  <c r="N1937" i="2"/>
  <c r="O2062" i="2"/>
  <c r="O2059" i="2"/>
  <c r="N2109" i="2"/>
  <c r="M2109" i="2"/>
  <c r="O2109" i="2" s="1"/>
  <c r="O1983" i="2"/>
  <c r="M1989" i="2"/>
  <c r="O2020" i="2"/>
  <c r="G55" i="6"/>
  <c r="O2061" i="2"/>
  <c r="O2065" i="2"/>
  <c r="N1777" i="2"/>
  <c r="O2019" i="2"/>
  <c r="M2029" i="2"/>
  <c r="O2029" i="2" s="1"/>
  <c r="O2060" i="2"/>
  <c r="O2064" i="2"/>
  <c r="G59" i="6"/>
  <c r="I59" i="6" s="1"/>
  <c r="K60" i="6"/>
  <c r="M60" i="6" s="1"/>
  <c r="O1931" i="2"/>
  <c r="O2018" i="2"/>
  <c r="O2022" i="2"/>
  <c r="O2024" i="2"/>
  <c r="O2025" i="2"/>
  <c r="O1979" i="2"/>
  <c r="O2021" i="2"/>
  <c r="BE47" i="6"/>
  <c r="G60" i="6"/>
  <c r="I60" i="6" s="1"/>
  <c r="N2029" i="2"/>
  <c r="O1978" i="2"/>
  <c r="O1982" i="2"/>
  <c r="O1927" i="2"/>
  <c r="O1981" i="2"/>
  <c r="O1985" i="2"/>
  <c r="BJ43" i="6"/>
  <c r="BL43" i="6" s="1"/>
  <c r="O1892" i="2"/>
  <c r="O1980" i="2"/>
  <c r="O1984" i="2"/>
  <c r="O1926" i="2"/>
  <c r="O1930" i="2"/>
  <c r="M1777" i="2"/>
  <c r="AR45" i="6" s="1"/>
  <c r="AT45" i="6" s="1"/>
  <c r="O1888" i="2"/>
  <c r="BF39" i="6"/>
  <c r="O1929" i="2"/>
  <c r="O1933" i="2"/>
  <c r="O1928" i="2"/>
  <c r="O1932" i="2"/>
  <c r="M1937" i="2"/>
  <c r="BJ44" i="6"/>
  <c r="BL44" i="6" s="1"/>
  <c r="BF43" i="6"/>
  <c r="BH43" i="6" s="1"/>
  <c r="O1720" i="2"/>
  <c r="BA47" i="6"/>
  <c r="BE46" i="6"/>
  <c r="BF38" i="6"/>
  <c r="N1673" i="2"/>
  <c r="O1848" i="2"/>
  <c r="O1853" i="2"/>
  <c r="N1897" i="2"/>
  <c r="BF37" i="6"/>
  <c r="BF41" i="6"/>
  <c r="BH41" i="6" s="1"/>
  <c r="O1852" i="2"/>
  <c r="BB39" i="6"/>
  <c r="BF44" i="6"/>
  <c r="BH44" i="6" s="1"/>
  <c r="M1897" i="2"/>
  <c r="AW43" i="6"/>
  <c r="AY43" i="6" s="1"/>
  <c r="BA46" i="6"/>
  <c r="BB38" i="6"/>
  <c r="O1769" i="2"/>
  <c r="O1855" i="2"/>
  <c r="BB37" i="6"/>
  <c r="AV47" i="6"/>
  <c r="AQ46" i="6"/>
  <c r="AW39" i="6"/>
  <c r="BB44" i="6"/>
  <c r="BD44" i="6" s="1"/>
  <c r="M1857" i="2"/>
  <c r="N1857" i="2"/>
  <c r="AR41" i="6"/>
  <c r="AT41" i="6" s="1"/>
  <c r="AR39" i="6"/>
  <c r="O1806" i="2"/>
  <c r="O1808" i="2"/>
  <c r="O1809" i="2"/>
  <c r="O1810" i="2"/>
  <c r="O1812" i="2"/>
  <c r="O1813" i="2"/>
  <c r="M1621" i="2"/>
  <c r="O1621" i="2" s="1"/>
  <c r="AR38" i="6"/>
  <c r="O1716" i="2"/>
  <c r="O1721" i="2"/>
  <c r="AQ47" i="6"/>
  <c r="AW44" i="6"/>
  <c r="AY44" i="6" s="1"/>
  <c r="N1817" i="2"/>
  <c r="M1817" i="2"/>
  <c r="AM39" i="6"/>
  <c r="O1768" i="2"/>
  <c r="O1772" i="2"/>
  <c r="O1545" i="2"/>
  <c r="O1610" i="2"/>
  <c r="M1725" i="2"/>
  <c r="O1725" i="2" s="1"/>
  <c r="AR44" i="6"/>
  <c r="AT44" i="6" s="1"/>
  <c r="AM43" i="6"/>
  <c r="AO43" i="6" s="1"/>
  <c r="O1617" i="2"/>
  <c r="O1715" i="2"/>
  <c r="AM38" i="6"/>
  <c r="O1614" i="2"/>
  <c r="O1714" i="2"/>
  <c r="O1613" i="2"/>
  <c r="O1717" i="2"/>
  <c r="AM44" i="6"/>
  <c r="AO44" i="6" s="1"/>
  <c r="N1725" i="2"/>
  <c r="AC39" i="6"/>
  <c r="O1612" i="2"/>
  <c r="O1616" i="2"/>
  <c r="AB47" i="6"/>
  <c r="N1672" i="2"/>
  <c r="AC43" i="6"/>
  <c r="AE43" i="6" s="1"/>
  <c r="M1673" i="2"/>
  <c r="O1673" i="2" s="1"/>
  <c r="O1544" i="2"/>
  <c r="X39" i="6"/>
  <c r="N1398" i="2"/>
  <c r="O1497" i="2"/>
  <c r="O1549" i="2"/>
  <c r="R47" i="6"/>
  <c r="AC44" i="6"/>
  <c r="AE44" i="6" s="1"/>
  <c r="N1621" i="2"/>
  <c r="W46" i="6"/>
  <c r="X38" i="6"/>
  <c r="X43" i="6"/>
  <c r="Z43" i="6" s="1"/>
  <c r="O1441" i="2"/>
  <c r="X37" i="6"/>
  <c r="X41" i="6"/>
  <c r="Z41" i="6" s="1"/>
  <c r="O1493" i="2"/>
  <c r="S39" i="6"/>
  <c r="X44" i="6"/>
  <c r="Z44" i="6" s="1"/>
  <c r="N1554" i="2"/>
  <c r="M1554" i="2"/>
  <c r="N1502" i="2"/>
  <c r="S43" i="6"/>
  <c r="U43" i="6" s="1"/>
  <c r="O1446" i="2"/>
  <c r="M47" i="6"/>
  <c r="M1502" i="2"/>
  <c r="R46" i="6"/>
  <c r="S38" i="6"/>
  <c r="D43" i="6"/>
  <c r="F43" i="6" s="1"/>
  <c r="O1445" i="2"/>
  <c r="S37" i="6"/>
  <c r="S41" i="6"/>
  <c r="U41" i="6" s="1"/>
  <c r="O1442" i="2"/>
  <c r="N39" i="6"/>
  <c r="S44" i="6"/>
  <c r="U44" i="6" s="1"/>
  <c r="M46" i="6"/>
  <c r="N38" i="6"/>
  <c r="N43" i="6"/>
  <c r="P43" i="6" s="1"/>
  <c r="M1175" i="2"/>
  <c r="O1175" i="2" s="1"/>
  <c r="O1288" i="2"/>
  <c r="N1294" i="2"/>
  <c r="M1123" i="2"/>
  <c r="O1123" i="2" s="1"/>
  <c r="N44" i="6"/>
  <c r="P44" i="6" s="1"/>
  <c r="M1450" i="2"/>
  <c r="N1450" i="2"/>
  <c r="N1123" i="2"/>
  <c r="O1285" i="2"/>
  <c r="D39" i="6"/>
  <c r="M1398" i="2"/>
  <c r="O1398" i="2" s="1"/>
  <c r="C47" i="6"/>
  <c r="O1335" i="2"/>
  <c r="O1337" i="2"/>
  <c r="O1338" i="2"/>
  <c r="O1339" i="2"/>
  <c r="O1341" i="2"/>
  <c r="O1342" i="2"/>
  <c r="O1219" i="2"/>
  <c r="O1284" i="2"/>
  <c r="AQ31" i="6"/>
  <c r="O1218" i="2"/>
  <c r="O1289" i="2"/>
  <c r="D44" i="6"/>
  <c r="F44" i="6" s="1"/>
  <c r="N1346" i="2"/>
  <c r="M1346" i="2"/>
  <c r="AV31" i="6"/>
  <c r="O1169" i="2"/>
  <c r="O1223" i="2"/>
  <c r="O1283" i="2"/>
  <c r="O1287" i="2"/>
  <c r="O1292" i="2"/>
  <c r="BB21" i="6"/>
  <c r="BB25" i="6"/>
  <c r="BD25" i="6" s="1"/>
  <c r="O1166" i="2"/>
  <c r="O1222" i="2"/>
  <c r="AW23" i="6"/>
  <c r="BB28" i="6"/>
  <c r="BD28" i="6" s="1"/>
  <c r="M1294" i="2"/>
  <c r="AR27" i="6"/>
  <c r="AT27" i="6" s="1"/>
  <c r="M1227" i="2"/>
  <c r="AV30" i="6"/>
  <c r="AW22" i="6"/>
  <c r="AW27" i="6"/>
  <c r="AY27" i="6" s="1"/>
  <c r="O1170" i="2"/>
  <c r="AM27" i="6"/>
  <c r="AO27" i="6" s="1"/>
  <c r="AW28" i="6"/>
  <c r="AY28" i="6" s="1"/>
  <c r="N1227" i="2"/>
  <c r="AH22" i="6"/>
  <c r="O1164" i="2"/>
  <c r="O1168" i="2"/>
  <c r="M1071" i="2"/>
  <c r="O1071" i="2" s="1"/>
  <c r="AM23" i="6"/>
  <c r="O1167" i="2"/>
  <c r="O1171" i="2"/>
  <c r="N1175" i="2"/>
  <c r="AL30" i="6"/>
  <c r="AR28" i="6"/>
  <c r="AT28" i="6" s="1"/>
  <c r="AG30" i="6"/>
  <c r="O1012" i="2"/>
  <c r="O1061" i="2"/>
  <c r="AH27" i="6"/>
  <c r="AJ27" i="6" s="1"/>
  <c r="AL32" i="6"/>
  <c r="AM22" i="6"/>
  <c r="O1011" i="2"/>
  <c r="AC27" i="6"/>
  <c r="AE27" i="6" s="1"/>
  <c r="AM21" i="6"/>
  <c r="AM25" i="6"/>
  <c r="AO25" i="6" s="1"/>
  <c r="O1065" i="2"/>
  <c r="O1113" i="2"/>
  <c r="O1118" i="2"/>
  <c r="AM28" i="6"/>
  <c r="AO28" i="6" s="1"/>
  <c r="O1008" i="2"/>
  <c r="O1063" i="2"/>
  <c r="O1067" i="2"/>
  <c r="M752" i="2"/>
  <c r="O752" i="2" s="1"/>
  <c r="O1062" i="2"/>
  <c r="O1066" i="2"/>
  <c r="AH28" i="6"/>
  <c r="AJ28" i="6" s="1"/>
  <c r="N1071" i="2"/>
  <c r="AC23" i="6"/>
  <c r="AB31" i="6"/>
  <c r="M856" i="2"/>
  <c r="O856" i="2" s="1"/>
  <c r="O902" i="2"/>
  <c r="O1010" i="2"/>
  <c r="O1014" i="2"/>
  <c r="O1015" i="2"/>
  <c r="N856" i="2"/>
  <c r="O899" i="2"/>
  <c r="N1019" i="2"/>
  <c r="AC28" i="6"/>
  <c r="AE28" i="6" s="1"/>
  <c r="M1019" i="2"/>
  <c r="S22" i="6"/>
  <c r="O898" i="2"/>
  <c r="R30" i="6"/>
  <c r="O746" i="2"/>
  <c r="O903" i="2"/>
  <c r="N967" i="2"/>
  <c r="X112" i="6" s="1"/>
  <c r="Z112" i="6" s="1"/>
  <c r="M967" i="2"/>
  <c r="O906" i="2"/>
  <c r="N908" i="2"/>
  <c r="S25" i="6"/>
  <c r="U25" i="6" s="1"/>
  <c r="S21" i="6"/>
  <c r="S28" i="6"/>
  <c r="U28" i="6" s="1"/>
  <c r="M908" i="2"/>
  <c r="N27" i="6"/>
  <c r="P27" i="6" s="1"/>
  <c r="N23" i="6"/>
  <c r="N22" i="6"/>
  <c r="M30" i="6"/>
  <c r="O846" i="2"/>
  <c r="O847" i="2"/>
  <c r="O848" i="2"/>
  <c r="O851" i="2"/>
  <c r="O852" i="2"/>
  <c r="N28" i="6"/>
  <c r="P28" i="6" s="1"/>
  <c r="O690" i="2"/>
  <c r="C30" i="6"/>
  <c r="O694" i="2"/>
  <c r="O742" i="2"/>
  <c r="D27" i="6"/>
  <c r="F27" i="6" s="1"/>
  <c r="M804" i="2"/>
  <c r="N804" i="2"/>
  <c r="BL6" i="6"/>
  <c r="O745" i="2"/>
  <c r="BE6" i="6"/>
  <c r="BK14" i="6"/>
  <c r="O744" i="2"/>
  <c r="O748" i="2"/>
  <c r="C32" i="6"/>
  <c r="O747" i="2"/>
  <c r="D28" i="6"/>
  <c r="F28" i="6" s="1"/>
  <c r="N752" i="2"/>
  <c r="O698" i="2"/>
  <c r="BL9" i="6"/>
  <c r="BN9" i="6" s="1"/>
  <c r="BL5" i="6"/>
  <c r="BL12" i="6"/>
  <c r="BN12" i="6" s="1"/>
  <c r="BL8" i="6"/>
  <c r="BN8" i="6" s="1"/>
  <c r="BK16" i="6"/>
  <c r="N700" i="2"/>
  <c r="M700" i="2"/>
  <c r="O611" i="2"/>
  <c r="O612" i="2"/>
  <c r="O614" i="2"/>
  <c r="O615" i="2"/>
  <c r="O616" i="2"/>
  <c r="O618" i="2"/>
  <c r="M620" i="2"/>
  <c r="N620" i="2"/>
  <c r="N619" i="2"/>
  <c r="M619" i="2"/>
  <c r="AN148" i="6" l="1"/>
  <c r="O2433" i="2"/>
  <c r="L164" i="6"/>
  <c r="AV148" i="6"/>
  <c r="L81" i="6"/>
  <c r="AZ148" i="6"/>
  <c r="BA53" i="6"/>
  <c r="AZ65" i="6"/>
  <c r="AW53" i="6"/>
  <c r="AV65" i="6"/>
  <c r="P1672" i="2"/>
  <c r="AH127" i="6"/>
  <c r="AJ127" i="6" s="1"/>
  <c r="P619" i="2"/>
  <c r="BE95" i="6"/>
  <c r="BG95" i="6" s="1"/>
  <c r="P2563" i="2"/>
  <c r="E160" i="6"/>
  <c r="G160" i="6" s="1"/>
  <c r="P2535" i="2"/>
  <c r="B160" i="6"/>
  <c r="D160" i="6" s="1"/>
  <c r="O2202" i="2"/>
  <c r="W61" i="6"/>
  <c r="Y61" i="6" s="1"/>
  <c r="O967" i="2"/>
  <c r="O804" i="2"/>
  <c r="I29" i="6"/>
  <c r="K29" i="6" s="1"/>
  <c r="P804" i="2"/>
  <c r="I112" i="6"/>
  <c r="K112" i="6" s="1"/>
  <c r="P1989" i="2"/>
  <c r="C144" i="6"/>
  <c r="E144" i="6" s="1"/>
  <c r="O1989" i="2"/>
  <c r="C61" i="6"/>
  <c r="E61" i="6" s="1"/>
  <c r="O1777" i="2"/>
  <c r="P1777" i="2"/>
  <c r="AR128" i="6"/>
  <c r="AT128" i="6" s="1"/>
  <c r="P2507" i="2"/>
  <c r="BK144" i="6"/>
  <c r="BM144" i="6" s="1"/>
  <c r="P2448" i="2"/>
  <c r="BC144" i="6"/>
  <c r="BE144" i="6" s="1"/>
  <c r="H160" i="6"/>
  <c r="J160" i="6" s="1"/>
  <c r="P1725" i="2"/>
  <c r="AM128" i="6"/>
  <c r="AO128" i="6" s="1"/>
  <c r="P2273" i="2"/>
  <c r="AE144" i="6"/>
  <c r="AG144" i="6" s="1"/>
  <c r="P2244" i="2"/>
  <c r="AA144" i="6"/>
  <c r="AC144" i="6" s="1"/>
  <c r="P2202" i="2"/>
  <c r="W144" i="6"/>
  <c r="Y144" i="6" s="1"/>
  <c r="P2109" i="2"/>
  <c r="O144" i="6"/>
  <c r="Q144" i="6" s="1"/>
  <c r="P1897" i="2"/>
  <c r="BF128" i="6"/>
  <c r="BH128" i="6" s="1"/>
  <c r="P1817" i="2"/>
  <c r="AW128" i="6"/>
  <c r="AY128" i="6" s="1"/>
  <c r="P1673" i="2"/>
  <c r="AH128" i="6"/>
  <c r="AJ128" i="6" s="1"/>
  <c r="P1554" i="2"/>
  <c r="X128" i="6"/>
  <c r="Z128" i="6" s="1"/>
  <c r="P1123" i="2"/>
  <c r="AM112" i="6"/>
  <c r="AO112" i="6" s="1"/>
  <c r="P1398" i="2"/>
  <c r="I128" i="6"/>
  <c r="K128" i="6" s="1"/>
  <c r="P1019" i="2"/>
  <c r="AC112" i="6"/>
  <c r="AE112" i="6" s="1"/>
  <c r="P1071" i="2"/>
  <c r="AH112" i="6"/>
  <c r="AJ112" i="6" s="1"/>
  <c r="P908" i="2"/>
  <c r="S112" i="6"/>
  <c r="U112" i="6" s="1"/>
  <c r="P856" i="2"/>
  <c r="N112" i="6"/>
  <c r="P112" i="6" s="1"/>
  <c r="P2029" i="2"/>
  <c r="G144" i="6"/>
  <c r="I144" i="6" s="1"/>
  <c r="P1502" i="2"/>
  <c r="S128" i="6"/>
  <c r="U128" i="6" s="1"/>
  <c r="P2149" i="2"/>
  <c r="S144" i="6"/>
  <c r="U144" i="6" s="1"/>
  <c r="P1937" i="2"/>
  <c r="BJ128" i="6"/>
  <c r="BL128" i="6" s="1"/>
  <c r="P1621" i="2"/>
  <c r="AC128" i="6"/>
  <c r="AE128" i="6" s="1"/>
  <c r="P1175" i="2"/>
  <c r="AR112" i="6"/>
  <c r="AT112" i="6" s="1"/>
  <c r="P1450" i="2"/>
  <c r="N128" i="6"/>
  <c r="P128" i="6" s="1"/>
  <c r="P1294" i="2"/>
  <c r="BB112" i="6"/>
  <c r="BD112" i="6" s="1"/>
  <c r="P1227" i="2"/>
  <c r="AW112" i="6"/>
  <c r="AY112" i="6" s="1"/>
  <c r="P752" i="2"/>
  <c r="D112" i="6"/>
  <c r="F112" i="6" s="1"/>
  <c r="P1346" i="2"/>
  <c r="D128" i="6"/>
  <c r="F128" i="6" s="1"/>
  <c r="P2069" i="2"/>
  <c r="K144" i="6"/>
  <c r="M144" i="6" s="1"/>
  <c r="P967" i="2"/>
  <c r="P1857" i="2"/>
  <c r="BB128" i="6"/>
  <c r="BD128" i="6" s="1"/>
  <c r="AR29" i="6"/>
  <c r="AT29" i="6" s="1"/>
  <c r="P700" i="2"/>
  <c r="P620" i="2"/>
  <c r="BE96" i="6"/>
  <c r="BG96" i="6" s="1"/>
  <c r="O2592" i="2"/>
  <c r="H77" i="6"/>
  <c r="J77" i="6" s="1"/>
  <c r="O2563" i="2"/>
  <c r="E77" i="6"/>
  <c r="G77" i="6" s="1"/>
  <c r="BK61" i="6"/>
  <c r="BM61" i="6" s="1"/>
  <c r="O2535" i="2"/>
  <c r="O2476" i="2"/>
  <c r="BG61" i="6"/>
  <c r="BI61" i="6" s="1"/>
  <c r="O2448" i="2"/>
  <c r="P2364" i="2"/>
  <c r="O2364" i="2"/>
  <c r="O2301" i="2"/>
  <c r="AI61" i="6"/>
  <c r="AK61" i="6" s="1"/>
  <c r="P2301" i="2"/>
  <c r="K61" i="6"/>
  <c r="M61" i="6" s="1"/>
  <c r="O2273" i="2"/>
  <c r="AE61" i="6"/>
  <c r="AG61" i="6" s="1"/>
  <c r="G61" i="6"/>
  <c r="I61" i="6" s="1"/>
  <c r="O2244" i="2"/>
  <c r="O2149" i="2"/>
  <c r="S61" i="6"/>
  <c r="U61" i="6" s="1"/>
  <c r="O1937" i="2"/>
  <c r="BJ45" i="6"/>
  <c r="BL45" i="6" s="1"/>
  <c r="AC45" i="6"/>
  <c r="AE45" i="6" s="1"/>
  <c r="O1897" i="2"/>
  <c r="BF45" i="6"/>
  <c r="BH45" i="6" s="1"/>
  <c r="O1857" i="2"/>
  <c r="BB45" i="6"/>
  <c r="BD45" i="6" s="1"/>
  <c r="O1817" i="2"/>
  <c r="AW45" i="6"/>
  <c r="AY45" i="6" s="1"/>
  <c r="AM45" i="6"/>
  <c r="AO45" i="6" s="1"/>
  <c r="O1554" i="2"/>
  <c r="X45" i="6"/>
  <c r="Z45" i="6" s="1"/>
  <c r="AM29" i="6"/>
  <c r="AO29" i="6" s="1"/>
  <c r="O1502" i="2"/>
  <c r="S45" i="6"/>
  <c r="U45" i="6" s="1"/>
  <c r="O1450" i="2"/>
  <c r="N45" i="6"/>
  <c r="P45" i="6" s="1"/>
  <c r="O1346" i="2"/>
  <c r="D45" i="6"/>
  <c r="F45" i="6" s="1"/>
  <c r="O1294" i="2"/>
  <c r="BB29" i="6"/>
  <c r="BD29" i="6" s="1"/>
  <c r="O1227" i="2"/>
  <c r="AW29" i="6"/>
  <c r="AY29" i="6" s="1"/>
  <c r="AH29" i="6"/>
  <c r="AJ29" i="6" s="1"/>
  <c r="D29" i="6"/>
  <c r="F29" i="6" s="1"/>
  <c r="N29" i="6"/>
  <c r="P29" i="6" s="1"/>
  <c r="O1019" i="2"/>
  <c r="AC29" i="6"/>
  <c r="AE29" i="6" s="1"/>
  <c r="O908" i="2"/>
  <c r="S29" i="6"/>
  <c r="U29" i="6" s="1"/>
  <c r="O700" i="2"/>
  <c r="BL13" i="6"/>
  <c r="BN13" i="6" s="1"/>
  <c r="O620" i="2"/>
  <c r="BE13" i="6"/>
  <c r="BG13" i="6" s="1"/>
  <c r="O619" i="2"/>
  <c r="BE12" i="6"/>
  <c r="BG12" i="6" s="1"/>
  <c r="N532" i="2" l="1"/>
  <c r="M532" i="2"/>
  <c r="N531" i="2"/>
  <c r="M531" i="2"/>
  <c r="N530" i="2"/>
  <c r="M530" i="2"/>
  <c r="AV11" i="6" s="1"/>
  <c r="AX11" i="6" s="1"/>
  <c r="N528" i="2"/>
  <c r="M528" i="2"/>
  <c r="AV9" i="6" s="1"/>
  <c r="AX9" i="6" s="1"/>
  <c r="N527" i="2"/>
  <c r="M527" i="2"/>
  <c r="AV8" i="6" s="1"/>
  <c r="AX8" i="6" s="1"/>
  <c r="N526" i="2"/>
  <c r="M526" i="2"/>
  <c r="AV7" i="6" s="1"/>
  <c r="N525" i="2"/>
  <c r="M525" i="2"/>
  <c r="AV6" i="6" s="1"/>
  <c r="N524" i="2"/>
  <c r="M524" i="2"/>
  <c r="AV5" i="6" s="1"/>
  <c r="N523" i="2"/>
  <c r="M523" i="2"/>
  <c r="AU16" i="6" s="1"/>
  <c r="N522" i="2"/>
  <c r="M522" i="2"/>
  <c r="AU15" i="6" s="1"/>
  <c r="N521" i="2"/>
  <c r="M521" i="2"/>
  <c r="AU14" i="6" s="1"/>
  <c r="N439" i="2"/>
  <c r="M439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327" i="2"/>
  <c r="M327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M114" i="2"/>
  <c r="O114" i="2" s="1"/>
  <c r="N114" i="2"/>
  <c r="P114" i="2" s="1"/>
  <c r="N113" i="2"/>
  <c r="P113" i="2" s="1"/>
  <c r="M113" i="2"/>
  <c r="O113" i="2" s="1"/>
  <c r="N112" i="2"/>
  <c r="P112" i="2" s="1"/>
  <c r="M112" i="2"/>
  <c r="O112" i="2" s="1"/>
  <c r="N111" i="2"/>
  <c r="P111" i="2" s="1"/>
  <c r="M111" i="2"/>
  <c r="O111" i="2" s="1"/>
  <c r="N110" i="2"/>
  <c r="P110" i="2" s="1"/>
  <c r="M110" i="2"/>
  <c r="O110" i="2" s="1"/>
  <c r="N109" i="2"/>
  <c r="P109" i="2" s="1"/>
  <c r="M109" i="2"/>
  <c r="O109" i="2" s="1"/>
  <c r="N108" i="2"/>
  <c r="M108" i="2"/>
  <c r="N107" i="2"/>
  <c r="N115" i="2" s="1"/>
  <c r="M107" i="2"/>
  <c r="N106" i="2"/>
  <c r="M106" i="2"/>
  <c r="N105" i="2"/>
  <c r="M105" i="2"/>
  <c r="N104" i="2"/>
  <c r="M104" i="2"/>
  <c r="N103" i="2"/>
  <c r="M103" i="2"/>
  <c r="M226" i="2"/>
  <c r="O226" i="2" s="1"/>
  <c r="N226" i="2"/>
  <c r="P226" i="2" s="1"/>
  <c r="N225" i="2"/>
  <c r="P225" i="2" s="1"/>
  <c r="M225" i="2"/>
  <c r="O225" i="2" s="1"/>
  <c r="N224" i="2"/>
  <c r="P224" i="2" s="1"/>
  <c r="M224" i="2"/>
  <c r="O224" i="2" s="1"/>
  <c r="N223" i="2"/>
  <c r="P223" i="2" s="1"/>
  <c r="M223" i="2"/>
  <c r="O223" i="2" s="1"/>
  <c r="N222" i="2"/>
  <c r="P222" i="2" s="1"/>
  <c r="M222" i="2"/>
  <c r="O222" i="2" s="1"/>
  <c r="N221" i="2"/>
  <c r="P221" i="2" s="1"/>
  <c r="M221" i="2"/>
  <c r="O221" i="2" s="1"/>
  <c r="N220" i="2"/>
  <c r="M220" i="2"/>
  <c r="N219" i="2"/>
  <c r="N227" i="2" s="1"/>
  <c r="M219" i="2"/>
  <c r="N218" i="2"/>
  <c r="M218" i="2"/>
  <c r="N217" i="2"/>
  <c r="M217" i="2"/>
  <c r="N216" i="2"/>
  <c r="M216" i="2"/>
  <c r="N215" i="2"/>
  <c r="M215" i="2"/>
  <c r="M227" i="2" l="1"/>
  <c r="O220" i="2"/>
  <c r="T7" i="6"/>
  <c r="P220" i="2"/>
  <c r="T90" i="6"/>
  <c r="O108" i="2"/>
  <c r="J7" i="6"/>
  <c r="P108" i="2"/>
  <c r="J90" i="6"/>
  <c r="M115" i="2"/>
  <c r="P219" i="2"/>
  <c r="T89" i="6"/>
  <c r="O219" i="2"/>
  <c r="O227" i="2" s="1"/>
  <c r="T6" i="6"/>
  <c r="O107" i="2"/>
  <c r="O115" i="2" s="1"/>
  <c r="J6" i="6"/>
  <c r="P107" i="2"/>
  <c r="J89" i="6"/>
  <c r="O218" i="2"/>
  <c r="T5" i="6"/>
  <c r="P218" i="2"/>
  <c r="T88" i="6"/>
  <c r="P106" i="2"/>
  <c r="J88" i="6"/>
  <c r="O106" i="2"/>
  <c r="J5" i="6"/>
  <c r="P522" i="2"/>
  <c r="AU98" i="6"/>
  <c r="P524" i="2"/>
  <c r="AV88" i="6"/>
  <c r="P526" i="2"/>
  <c r="AV90" i="6"/>
  <c r="P528" i="2"/>
  <c r="AV92" i="6"/>
  <c r="AX92" i="6" s="1"/>
  <c r="P521" i="2"/>
  <c r="AU97" i="6"/>
  <c r="P523" i="2"/>
  <c r="AU99" i="6"/>
  <c r="P525" i="2"/>
  <c r="AV89" i="6"/>
  <c r="P527" i="2"/>
  <c r="AV91" i="6"/>
  <c r="AX91" i="6" s="1"/>
  <c r="P530" i="2"/>
  <c r="AV94" i="6"/>
  <c r="AX94" i="6" s="1"/>
  <c r="P430" i="2"/>
  <c r="AL97" i="6"/>
  <c r="P432" i="2"/>
  <c r="AL99" i="6"/>
  <c r="P434" i="2"/>
  <c r="AM89" i="6"/>
  <c r="P436" i="2"/>
  <c r="AM91" i="6"/>
  <c r="AO91" i="6" s="1"/>
  <c r="P439" i="2"/>
  <c r="AM94" i="6"/>
  <c r="AO94" i="6" s="1"/>
  <c r="P431" i="2"/>
  <c r="AL98" i="6"/>
  <c r="P433" i="2"/>
  <c r="AM88" i="6"/>
  <c r="P435" i="2"/>
  <c r="AM90" i="6"/>
  <c r="P437" i="2"/>
  <c r="AM92" i="6"/>
  <c r="AO92" i="6" s="1"/>
  <c r="P318" i="2"/>
  <c r="AB97" i="6"/>
  <c r="P320" i="2"/>
  <c r="AB99" i="6"/>
  <c r="P322" i="2"/>
  <c r="AC89" i="6"/>
  <c r="P327" i="2"/>
  <c r="AC94" i="6"/>
  <c r="AE94" i="6" s="1"/>
  <c r="P319" i="2"/>
  <c r="AB98" i="6"/>
  <c r="P321" i="2"/>
  <c r="AC88" i="6"/>
  <c r="P323" i="2"/>
  <c r="AC90" i="6"/>
  <c r="P325" i="2"/>
  <c r="AC92" i="6"/>
  <c r="AE92" i="6" s="1"/>
  <c r="P324" i="2"/>
  <c r="AC91" i="6"/>
  <c r="AE91" i="6" s="1"/>
  <c r="P216" i="2"/>
  <c r="S98" i="6"/>
  <c r="U98" i="6" s="1"/>
  <c r="P217" i="2"/>
  <c r="S99" i="6"/>
  <c r="U99" i="6" s="1"/>
  <c r="P104" i="2"/>
  <c r="I98" i="6"/>
  <c r="K98" i="6" s="1"/>
  <c r="P105" i="2"/>
  <c r="I99" i="6"/>
  <c r="K99" i="6" s="1"/>
  <c r="P215" i="2"/>
  <c r="S97" i="6"/>
  <c r="U97" i="6" s="1"/>
  <c r="P103" i="2"/>
  <c r="I97" i="6"/>
  <c r="K97" i="6" s="1"/>
  <c r="P531" i="2"/>
  <c r="AV95" i="6"/>
  <c r="AX95" i="6" s="1"/>
  <c r="P532" i="2"/>
  <c r="AV96" i="6"/>
  <c r="AX96" i="6" s="1"/>
  <c r="O215" i="2"/>
  <c r="S14" i="6"/>
  <c r="U14" i="6" s="1"/>
  <c r="O216" i="2"/>
  <c r="S15" i="6"/>
  <c r="U15" i="6" s="1"/>
  <c r="O104" i="2"/>
  <c r="I15" i="6"/>
  <c r="K15" i="6" s="1"/>
  <c r="O319" i="2"/>
  <c r="AB15" i="6"/>
  <c r="O321" i="2"/>
  <c r="AC5" i="6"/>
  <c r="O323" i="2"/>
  <c r="AC7" i="6"/>
  <c r="O325" i="2"/>
  <c r="AC9" i="6"/>
  <c r="O430" i="2"/>
  <c r="AL14" i="6"/>
  <c r="O432" i="2"/>
  <c r="AL16" i="6"/>
  <c r="O434" i="2"/>
  <c r="AM6" i="6"/>
  <c r="O436" i="2"/>
  <c r="AM8" i="6"/>
  <c r="AO8" i="6" s="1"/>
  <c r="O439" i="2"/>
  <c r="AM11" i="6"/>
  <c r="AO11" i="6" s="1"/>
  <c r="O217" i="2"/>
  <c r="S16" i="6"/>
  <c r="U16" i="6" s="1"/>
  <c r="O103" i="2"/>
  <c r="I14" i="6"/>
  <c r="K14" i="6" s="1"/>
  <c r="O105" i="2"/>
  <c r="I16" i="6"/>
  <c r="K16" i="6" s="1"/>
  <c r="O318" i="2"/>
  <c r="AB14" i="6"/>
  <c r="O320" i="2"/>
  <c r="AB16" i="6"/>
  <c r="O322" i="2"/>
  <c r="AC6" i="6"/>
  <c r="O324" i="2"/>
  <c r="AC8" i="6"/>
  <c r="O327" i="2"/>
  <c r="AC11" i="6"/>
  <c r="O431" i="2"/>
  <c r="AL15" i="6"/>
  <c r="O433" i="2"/>
  <c r="AM5" i="6"/>
  <c r="O435" i="2"/>
  <c r="AM7" i="6"/>
  <c r="O437" i="2"/>
  <c r="AM9" i="6"/>
  <c r="AO9" i="6" s="1"/>
  <c r="O521" i="2"/>
  <c r="O522" i="2"/>
  <c r="O523" i="2"/>
  <c r="O524" i="2"/>
  <c r="O525" i="2"/>
  <c r="O526" i="2"/>
  <c r="O527" i="2"/>
  <c r="O528" i="2"/>
  <c r="O530" i="2"/>
  <c r="O531" i="2"/>
  <c r="AV12" i="6"/>
  <c r="AX12" i="6" s="1"/>
  <c r="O532" i="2"/>
  <c r="AV13" i="6"/>
  <c r="AX13" i="6" s="1"/>
  <c r="N329" i="2"/>
  <c r="N441" i="2"/>
  <c r="AM96" i="6" s="1"/>
  <c r="AO96" i="6" s="1"/>
  <c r="M441" i="2"/>
  <c r="N440" i="2"/>
  <c r="M440" i="2"/>
  <c r="AM12" i="6" s="1"/>
  <c r="AO12" i="6" s="1"/>
  <c r="M328" i="2"/>
  <c r="AC12" i="6" s="1"/>
  <c r="M329" i="2"/>
  <c r="AC13" i="6" s="1"/>
  <c r="N328" i="2"/>
  <c r="P227" i="2" l="1"/>
  <c r="P115" i="2"/>
  <c r="T100" i="6"/>
  <c r="J100" i="6"/>
  <c r="T17" i="6"/>
  <c r="J17" i="6"/>
  <c r="P440" i="2"/>
  <c r="AM95" i="6"/>
  <c r="AO95" i="6" s="1"/>
  <c r="P328" i="2"/>
  <c r="AC95" i="6"/>
  <c r="AE95" i="6" s="1"/>
  <c r="P441" i="2"/>
  <c r="P329" i="2"/>
  <c r="AC96" i="6"/>
  <c r="AE96" i="6" s="1"/>
  <c r="O441" i="2"/>
  <c r="AM13" i="6"/>
  <c r="AO13" i="6" s="1"/>
  <c r="O329" i="2"/>
  <c r="O328" i="2"/>
  <c r="O440" i="2"/>
  <c r="M2618" i="2" l="1"/>
  <c r="K74" i="6" s="1"/>
  <c r="M74" i="6" s="1"/>
  <c r="N2618" i="2"/>
  <c r="K157" i="6" s="1"/>
  <c r="M157" i="6" s="1"/>
  <c r="M2619" i="2"/>
  <c r="N2619" i="2"/>
  <c r="N2621" i="2"/>
  <c r="M2621" i="2"/>
  <c r="O2621" i="2" s="1"/>
  <c r="N2617" i="2"/>
  <c r="M2617" i="2"/>
  <c r="N2616" i="2"/>
  <c r="M2616" i="2"/>
  <c r="N2615" i="2"/>
  <c r="M2615" i="2"/>
  <c r="N2614" i="2"/>
  <c r="M2614" i="2"/>
  <c r="N2613" i="2"/>
  <c r="M2613" i="2"/>
  <c r="N2612" i="2"/>
  <c r="P2612" i="2" s="1"/>
  <c r="M2612" i="2"/>
  <c r="O2612" i="2" s="1"/>
  <c r="N2611" i="2"/>
  <c r="P2611" i="2" s="1"/>
  <c r="M2611" i="2"/>
  <c r="O2611" i="2" s="1"/>
  <c r="N2610" i="2"/>
  <c r="P2610" i="2" s="1"/>
  <c r="M2610" i="2"/>
  <c r="O2615" i="2" l="1"/>
  <c r="K71" i="6"/>
  <c r="M71" i="6" s="1"/>
  <c r="P2613" i="2"/>
  <c r="K152" i="6"/>
  <c r="M152" i="6" s="1"/>
  <c r="P2615" i="2"/>
  <c r="K154" i="6"/>
  <c r="M154" i="6" s="1"/>
  <c r="P2617" i="2"/>
  <c r="K156" i="6"/>
  <c r="M156" i="6" s="1"/>
  <c r="O2619" i="2"/>
  <c r="K75" i="6"/>
  <c r="M75" i="6" s="1"/>
  <c r="O2613" i="2"/>
  <c r="K69" i="6"/>
  <c r="M69" i="6" s="1"/>
  <c r="O2617" i="2"/>
  <c r="K73" i="6"/>
  <c r="M73" i="6" s="1"/>
  <c r="O2616" i="2"/>
  <c r="K72" i="6"/>
  <c r="M72" i="6" s="1"/>
  <c r="P2619" i="2"/>
  <c r="K158" i="6"/>
  <c r="M158" i="6" s="1"/>
  <c r="O2614" i="2"/>
  <c r="K70" i="6"/>
  <c r="M70" i="6" s="1"/>
  <c r="P2614" i="2"/>
  <c r="K153" i="6"/>
  <c r="M153" i="6" s="1"/>
  <c r="P2616" i="2"/>
  <c r="K155" i="6"/>
  <c r="M155" i="6" s="1"/>
  <c r="P2621" i="2"/>
  <c r="K160" i="6"/>
  <c r="M160" i="6" s="1"/>
  <c r="K77" i="6"/>
  <c r="M77" i="6" s="1"/>
  <c r="O2610" i="2"/>
  <c r="M2620" i="2"/>
  <c r="K76" i="6" s="1"/>
  <c r="M76" i="6" s="1"/>
  <c r="N2620" i="2"/>
  <c r="K159" i="6" s="1"/>
  <c r="M159" i="6" s="1"/>
  <c r="P2620" i="2" l="1"/>
  <c r="O2620" i="2"/>
  <c r="D921" i="2" l="1"/>
  <c r="N866" i="2"/>
  <c r="P866" i="2" s="1"/>
  <c r="N2283" i="2"/>
  <c r="P2283" i="2" s="1"/>
  <c r="N2212" i="2"/>
  <c r="P2212" i="2" s="1"/>
  <c r="N1133" i="2"/>
  <c r="P1133" i="2" s="1"/>
  <c r="N1029" i="2"/>
  <c r="P1029" i="2" s="1"/>
  <c r="N2334" i="2"/>
  <c r="D2002" i="2"/>
  <c r="N1947" i="2"/>
  <c r="P1947" i="2" s="1"/>
  <c r="N1867" i="2"/>
  <c r="P1867" i="2" s="1"/>
  <c r="N1827" i="2"/>
  <c r="P1827" i="2" s="1"/>
  <c r="N1787" i="2"/>
  <c r="P1787" i="2" s="1"/>
  <c r="N1683" i="2"/>
  <c r="P1683" i="2" s="1"/>
  <c r="N1564" i="2"/>
  <c r="P1564" i="2" s="1"/>
  <c r="N1460" i="2"/>
  <c r="P1460" i="2" s="1"/>
  <c r="N1356" i="2"/>
  <c r="P1356" i="2" s="1"/>
  <c r="N1237" i="2"/>
  <c r="P1237" i="2" s="1"/>
  <c r="N762" i="2"/>
  <c r="P762" i="2" s="1"/>
  <c r="N2486" i="2"/>
  <c r="P2486" i="2" s="1"/>
  <c r="N2602" i="2"/>
  <c r="P2602" i="2" s="1"/>
  <c r="N2418" i="2"/>
  <c r="N2374" i="2"/>
  <c r="P2374" i="2" s="1"/>
  <c r="N2079" i="2"/>
  <c r="P2079" i="2" s="1"/>
  <c r="M1237" i="2"/>
  <c r="O1237" i="2" s="1"/>
  <c r="M2486" i="2"/>
  <c r="O2486" i="2" s="1"/>
  <c r="C2002" i="2"/>
  <c r="C921" i="2"/>
  <c r="N451" i="2"/>
  <c r="P451" i="2" s="1"/>
  <c r="M2079" i="2"/>
  <c r="O2079" i="2" s="1"/>
  <c r="M2159" i="2"/>
  <c r="O2159" i="2" s="1"/>
  <c r="M1947" i="2"/>
  <c r="O1947" i="2" s="1"/>
  <c r="M1787" i="2"/>
  <c r="O1787" i="2" s="1"/>
  <c r="M1683" i="2"/>
  <c r="O1683" i="2" s="1"/>
  <c r="M1564" i="2"/>
  <c r="O1564" i="2" s="1"/>
  <c r="M1460" i="2"/>
  <c r="O1460" i="2" s="1"/>
  <c r="M1356" i="2"/>
  <c r="O1356" i="2" s="1"/>
  <c r="M1867" i="2"/>
  <c r="O1867" i="2" s="1"/>
  <c r="M2334" i="2"/>
  <c r="M866" i="2"/>
  <c r="O866" i="2" s="1"/>
  <c r="M762" i="2"/>
  <c r="O762" i="2" s="1"/>
  <c r="M2517" i="2"/>
  <c r="O2517" i="2" s="1"/>
  <c r="M2573" i="2"/>
  <c r="O2573" i="2" s="1"/>
  <c r="M2458" i="2"/>
  <c r="O2458" i="2" s="1"/>
  <c r="M2390" i="2"/>
  <c r="M2283" i="2"/>
  <c r="O2283" i="2" s="1"/>
  <c r="M2212" i="2"/>
  <c r="O2212" i="2" s="1"/>
  <c r="M1133" i="2"/>
  <c r="O1133" i="2" s="1"/>
  <c r="M1029" i="2"/>
  <c r="O1029" i="2" s="1"/>
  <c r="M451" i="2"/>
  <c r="O451" i="2" s="1"/>
  <c r="M2545" i="2"/>
  <c r="O2545" i="2" s="1"/>
  <c r="M2602" i="2"/>
  <c r="O2602" i="2" s="1"/>
  <c r="M2418" i="2"/>
  <c r="M2374" i="2"/>
  <c r="O2374" i="2" s="1"/>
  <c r="N2311" i="2"/>
  <c r="P2311" i="2" s="1"/>
  <c r="N2254" i="2"/>
  <c r="P2254" i="2" s="1"/>
  <c r="N2039" i="2"/>
  <c r="P2039" i="2" s="1"/>
  <c r="N1999" i="2"/>
  <c r="P1999" i="2" s="1"/>
  <c r="N1907" i="2"/>
  <c r="P1907" i="2" s="1"/>
  <c r="N1735" i="2"/>
  <c r="P1735" i="2" s="1"/>
  <c r="N1631" i="2"/>
  <c r="P1631" i="2" s="1"/>
  <c r="N1512" i="2"/>
  <c r="P1512" i="2" s="1"/>
  <c r="N1408" i="2"/>
  <c r="P1408" i="2" s="1"/>
  <c r="N1304" i="2"/>
  <c r="P1304" i="2" s="1"/>
  <c r="N1185" i="2"/>
  <c r="P1185" i="2" s="1"/>
  <c r="N1081" i="2"/>
  <c r="P1081" i="2" s="1"/>
  <c r="N977" i="2"/>
  <c r="P977" i="2" s="1"/>
  <c r="N918" i="2"/>
  <c r="P918" i="2" s="1"/>
  <c r="N814" i="2"/>
  <c r="P814" i="2" s="1"/>
  <c r="N710" i="2"/>
  <c r="P710" i="2" s="1"/>
  <c r="N542" i="2"/>
  <c r="P542" i="2" s="1"/>
  <c r="N339" i="2"/>
  <c r="P339" i="2" s="1"/>
  <c r="N2517" i="2"/>
  <c r="P2517" i="2" s="1"/>
  <c r="N2545" i="2"/>
  <c r="P2545" i="2" s="1"/>
  <c r="N2573" i="2"/>
  <c r="P2573" i="2" s="1"/>
  <c r="N2458" i="2"/>
  <c r="P2458" i="2" s="1"/>
  <c r="N2390" i="2"/>
  <c r="M2311" i="2"/>
  <c r="O2311" i="2" s="1"/>
  <c r="M2254" i="2"/>
  <c r="O2254" i="2" s="1"/>
  <c r="N2159" i="2"/>
  <c r="P2159" i="2" s="1"/>
  <c r="M2039" i="2"/>
  <c r="O2039" i="2" s="1"/>
  <c r="M1999" i="2"/>
  <c r="O1999" i="2" s="1"/>
  <c r="M1907" i="2"/>
  <c r="O1907" i="2" s="1"/>
  <c r="M1827" i="2"/>
  <c r="O1827" i="2" s="1"/>
  <c r="M1735" i="2"/>
  <c r="O1735" i="2" s="1"/>
  <c r="M1631" i="2"/>
  <c r="O1631" i="2" s="1"/>
  <c r="M1512" i="2"/>
  <c r="O1512" i="2" s="1"/>
  <c r="M1408" i="2"/>
  <c r="O1408" i="2" s="1"/>
  <c r="M1304" i="2"/>
  <c r="O1304" i="2" s="1"/>
  <c r="M1185" i="2"/>
  <c r="O1185" i="2" s="1"/>
  <c r="M1081" i="2"/>
  <c r="O1081" i="2" s="1"/>
  <c r="M977" i="2"/>
  <c r="O977" i="2" s="1"/>
  <c r="M918" i="2"/>
  <c r="O918" i="2" s="1"/>
  <c r="M814" i="2"/>
  <c r="O814" i="2" s="1"/>
  <c r="M710" i="2"/>
  <c r="O710" i="2" s="1"/>
  <c r="M542" i="2"/>
  <c r="O542" i="2" s="1"/>
  <c r="M339" i="2"/>
  <c r="O339" i="2" s="1"/>
  <c r="P2418" i="2" l="1"/>
  <c r="AY142" i="6"/>
  <c r="BA142" i="6" s="1"/>
  <c r="O2418" i="2"/>
  <c r="AY59" i="6"/>
  <c r="BA59" i="6" s="1"/>
  <c r="P2390" i="2"/>
  <c r="AU142" i="6"/>
  <c r="AW142" i="6" s="1"/>
  <c r="O2390" i="2"/>
  <c r="AU59" i="6"/>
  <c r="AW59" i="6" s="1"/>
  <c r="P2334" i="2"/>
  <c r="AM142" i="6"/>
  <c r="AO142" i="6" s="1"/>
  <c r="O2334" i="2"/>
  <c r="AM59" i="6"/>
  <c r="AO59" i="6" s="1"/>
  <c r="N2604" i="2"/>
  <c r="M2604" i="2"/>
  <c r="N2603" i="2"/>
  <c r="M2603" i="2"/>
  <c r="N2600" i="2"/>
  <c r="P2600" i="2" s="1"/>
  <c r="M2600" i="2"/>
  <c r="O2600" i="2" s="1"/>
  <c r="N2599" i="2"/>
  <c r="P2599" i="2" s="1"/>
  <c r="M2599" i="2"/>
  <c r="O2599" i="2" s="1"/>
  <c r="N2598" i="2"/>
  <c r="M2598" i="2"/>
  <c r="N2597" i="2"/>
  <c r="M2597" i="2"/>
  <c r="N2596" i="2"/>
  <c r="M2596" i="2"/>
  <c r="N2595" i="2"/>
  <c r="M2595" i="2"/>
  <c r="N2594" i="2"/>
  <c r="M2594" i="2"/>
  <c r="N2593" i="2"/>
  <c r="M2593" i="2"/>
  <c r="P2598" i="2" l="1"/>
  <c r="I154" i="6"/>
  <c r="J154" i="6" s="1"/>
  <c r="O2598" i="2"/>
  <c r="I71" i="6"/>
  <c r="J71" i="6" s="1"/>
  <c r="O2597" i="2"/>
  <c r="I70" i="6"/>
  <c r="J70" i="6" s="1"/>
  <c r="P2597" i="2"/>
  <c r="I153" i="6"/>
  <c r="J153" i="6" s="1"/>
  <c r="O2596" i="2"/>
  <c r="I69" i="6"/>
  <c r="P2596" i="2"/>
  <c r="I152" i="6"/>
  <c r="O2595" i="2"/>
  <c r="H80" i="6"/>
  <c r="J80" i="6" s="1"/>
  <c r="P2595" i="2"/>
  <c r="H163" i="6"/>
  <c r="J163" i="6" s="1"/>
  <c r="O2594" i="2"/>
  <c r="H79" i="6"/>
  <c r="J79" i="6" s="1"/>
  <c r="P2594" i="2"/>
  <c r="H162" i="6"/>
  <c r="J162" i="6" s="1"/>
  <c r="P2593" i="2"/>
  <c r="H161" i="6"/>
  <c r="J161" i="6" s="1"/>
  <c r="N2605" i="2"/>
  <c r="O2593" i="2"/>
  <c r="O2605" i="2" s="1"/>
  <c r="H78" i="6"/>
  <c r="J78" i="6" s="1"/>
  <c r="M2605" i="2"/>
  <c r="O2604" i="2"/>
  <c r="P2604" i="2"/>
  <c r="O2603" i="2"/>
  <c r="P2603" i="2"/>
  <c r="I164" i="6" l="1"/>
  <c r="J152" i="6"/>
  <c r="I81" i="6"/>
  <c r="J69" i="6"/>
  <c r="P2605" i="2"/>
  <c r="J2257" i="2"/>
  <c r="F2257" i="2"/>
  <c r="L2257" i="2"/>
  <c r="G2257" i="2" l="1"/>
  <c r="C2257" i="2"/>
  <c r="K2257" i="2"/>
  <c r="E2257" i="2"/>
  <c r="I2257" i="2"/>
  <c r="D2257" i="2"/>
  <c r="H2257" i="2"/>
  <c r="N2570" i="2" l="1"/>
  <c r="P2570" i="2" s="1"/>
  <c r="N2575" i="2"/>
  <c r="P2575" i="2" s="1"/>
  <c r="M2575" i="2"/>
  <c r="N2574" i="2"/>
  <c r="P2574" i="2" s="1"/>
  <c r="M2574" i="2"/>
  <c r="O2574" i="2" s="1"/>
  <c r="N2569" i="2"/>
  <c r="M2569" i="2"/>
  <c r="N2568" i="2"/>
  <c r="M2568" i="2"/>
  <c r="N2567" i="2"/>
  <c r="M2567" i="2"/>
  <c r="F69" i="6" s="1"/>
  <c r="N2566" i="2"/>
  <c r="M2566" i="2"/>
  <c r="N2565" i="2"/>
  <c r="M2565" i="2"/>
  <c r="N2564" i="2"/>
  <c r="E161" i="6" s="1"/>
  <c r="G161" i="6" s="1"/>
  <c r="M2564" i="2"/>
  <c r="O2569" i="2" l="1"/>
  <c r="F71" i="6"/>
  <c r="G71" i="6" s="1"/>
  <c r="P2569" i="2"/>
  <c r="F154" i="6"/>
  <c r="G154" i="6" s="1"/>
  <c r="P2568" i="2"/>
  <c r="F153" i="6"/>
  <c r="G153" i="6" s="1"/>
  <c r="O2568" i="2"/>
  <c r="F70" i="6"/>
  <c r="G70" i="6" s="1"/>
  <c r="P2567" i="2"/>
  <c r="F152" i="6"/>
  <c r="G69" i="6"/>
  <c r="P2566" i="2"/>
  <c r="E163" i="6"/>
  <c r="G163" i="6" s="1"/>
  <c r="O2565" i="2"/>
  <c r="E79" i="6"/>
  <c r="G79" i="6" s="1"/>
  <c r="P2565" i="2"/>
  <c r="E162" i="6"/>
  <c r="G162" i="6" s="1"/>
  <c r="O2566" i="2"/>
  <c r="E80" i="6"/>
  <c r="G80" i="6" s="1"/>
  <c r="O2564" i="2"/>
  <c r="E78" i="6"/>
  <c r="G78" i="6" s="1"/>
  <c r="P2564" i="2"/>
  <c r="O2567" i="2"/>
  <c r="O2575" i="2"/>
  <c r="N2571" i="2"/>
  <c r="N2576" i="2" s="1"/>
  <c r="M2571" i="2"/>
  <c r="M2576" i="2" s="1"/>
  <c r="M2570" i="2"/>
  <c r="F81" i="6" l="1"/>
  <c r="F164" i="6"/>
  <c r="G152" i="6"/>
  <c r="O2570" i="2"/>
  <c r="P2571" i="2"/>
  <c r="P2576" i="2" s="1"/>
  <c r="O2571" i="2"/>
  <c r="O2576" i="2" s="1"/>
  <c r="C1790" i="2" l="1"/>
  <c r="D1790" i="2"/>
  <c r="N2547" i="2" l="1"/>
  <c r="P2547" i="2" s="1"/>
  <c r="M2547" i="2"/>
  <c r="O2547" i="2" s="1"/>
  <c r="N2546" i="2"/>
  <c r="P2546" i="2" s="1"/>
  <c r="M2546" i="2"/>
  <c r="O2546" i="2" s="1"/>
  <c r="N2543" i="2"/>
  <c r="P2543" i="2" s="1"/>
  <c r="M2543" i="2"/>
  <c r="O2543" i="2" s="1"/>
  <c r="N2542" i="2"/>
  <c r="P2542" i="2" s="1"/>
  <c r="M2542" i="2"/>
  <c r="O2542" i="2" s="1"/>
  <c r="N2541" i="2"/>
  <c r="M2541" i="2"/>
  <c r="N2539" i="2"/>
  <c r="M2539" i="2"/>
  <c r="C69" i="6" s="1"/>
  <c r="N2538" i="2"/>
  <c r="M2538" i="2"/>
  <c r="N2537" i="2"/>
  <c r="M2537" i="2"/>
  <c r="N2536" i="2"/>
  <c r="B161" i="6" s="1"/>
  <c r="D161" i="6" s="1"/>
  <c r="M2536" i="2"/>
  <c r="O2541" i="2" l="1"/>
  <c r="C71" i="6"/>
  <c r="D71" i="6" s="1"/>
  <c r="P2541" i="2"/>
  <c r="C154" i="6"/>
  <c r="D154" i="6" s="1"/>
  <c r="D69" i="6"/>
  <c r="P2539" i="2"/>
  <c r="C152" i="6"/>
  <c r="P2537" i="2"/>
  <c r="B162" i="6"/>
  <c r="D162" i="6" s="1"/>
  <c r="O2537" i="2"/>
  <c r="B79" i="6"/>
  <c r="D79" i="6" s="1"/>
  <c r="O2538" i="2"/>
  <c r="B80" i="6"/>
  <c r="D80" i="6" s="1"/>
  <c r="P2538" i="2"/>
  <c r="B163" i="6"/>
  <c r="D163" i="6" s="1"/>
  <c r="O2536" i="2"/>
  <c r="B78" i="6"/>
  <c r="D78" i="6" s="1"/>
  <c r="O2539" i="2"/>
  <c r="P2536" i="2"/>
  <c r="M2540" i="2"/>
  <c r="N2540" i="2"/>
  <c r="N2548" i="2" l="1"/>
  <c r="C153" i="6"/>
  <c r="D153" i="6" s="1"/>
  <c r="M2548" i="2"/>
  <c r="C70" i="6"/>
  <c r="D152" i="6"/>
  <c r="P2540" i="2"/>
  <c r="P2548" i="2" s="1"/>
  <c r="O2540" i="2"/>
  <c r="O2548" i="2" s="1"/>
  <c r="C164" i="6" l="1"/>
  <c r="D70" i="6"/>
  <c r="C81" i="6"/>
  <c r="Z164" i="6"/>
  <c r="W164" i="6"/>
  <c r="T164" i="6"/>
  <c r="Q164" i="6"/>
  <c r="N164" i="6"/>
  <c r="K164" i="6"/>
  <c r="M164" i="6" s="1"/>
  <c r="H164" i="6"/>
  <c r="J164" i="6" s="1"/>
  <c r="E164" i="6"/>
  <c r="G164" i="6" s="1"/>
  <c r="B164" i="6"/>
  <c r="Z81" i="6"/>
  <c r="AB81" i="6" s="1"/>
  <c r="W81" i="6"/>
  <c r="Y81" i="6" s="1"/>
  <c r="T81" i="6"/>
  <c r="V81" i="6" s="1"/>
  <c r="AH160" i="6"/>
  <c r="AH159" i="6"/>
  <c r="AH158" i="6"/>
  <c r="AH157" i="6"/>
  <c r="AH156" i="6"/>
  <c r="AH155" i="6"/>
  <c r="AH154" i="6"/>
  <c r="AH153" i="6"/>
  <c r="AH152" i="6"/>
  <c r="AH77" i="6"/>
  <c r="AH76" i="6"/>
  <c r="AH75" i="6"/>
  <c r="AH74" i="6"/>
  <c r="AH73" i="6"/>
  <c r="AH72" i="6"/>
  <c r="AH71" i="6"/>
  <c r="AH70" i="6"/>
  <c r="AH69" i="6"/>
  <c r="Q81" i="6"/>
  <c r="S81" i="6" s="1"/>
  <c r="N81" i="6"/>
  <c r="P81" i="6" s="1"/>
  <c r="K81" i="6"/>
  <c r="M81" i="6" s="1"/>
  <c r="H81" i="6"/>
  <c r="J81" i="6" s="1"/>
  <c r="E81" i="6"/>
  <c r="G81" i="6" s="1"/>
  <c r="D164" i="6" l="1"/>
  <c r="N2510" i="2"/>
  <c r="M2510" i="2"/>
  <c r="N2519" i="2"/>
  <c r="M2519" i="2"/>
  <c r="N2518" i="2"/>
  <c r="M2518" i="2"/>
  <c r="N2515" i="2"/>
  <c r="M2515" i="2"/>
  <c r="N2514" i="2"/>
  <c r="M2514" i="2"/>
  <c r="N2513" i="2"/>
  <c r="BL138" i="6" s="1"/>
  <c r="BM138" i="6" s="1"/>
  <c r="M2513" i="2"/>
  <c r="BL55" i="6" s="1"/>
  <c r="BM55" i="6" s="1"/>
  <c r="N2512" i="2"/>
  <c r="BL137" i="6" s="1"/>
  <c r="BM137" i="6" s="1"/>
  <c r="M2512" i="2"/>
  <c r="BL54" i="6" s="1"/>
  <c r="BM54" i="6" s="1"/>
  <c r="N2511" i="2"/>
  <c r="BL136" i="6" s="1"/>
  <c r="M2511" i="2"/>
  <c r="BL53" i="6" s="1"/>
  <c r="N2509" i="2"/>
  <c r="M2509" i="2"/>
  <c r="N2508" i="2"/>
  <c r="BK145" i="6" s="1"/>
  <c r="BM145" i="6" s="1"/>
  <c r="M2508" i="2"/>
  <c r="N2488" i="2"/>
  <c r="M2488" i="2"/>
  <c r="N2487" i="2"/>
  <c r="M2487" i="2"/>
  <c r="N2484" i="2"/>
  <c r="M2484" i="2"/>
  <c r="N2483" i="2"/>
  <c r="M2483" i="2"/>
  <c r="N2482" i="2"/>
  <c r="BH138" i="6" s="1"/>
  <c r="BI138" i="6" s="1"/>
  <c r="M2482" i="2"/>
  <c r="BH55" i="6" s="1"/>
  <c r="BI55" i="6" s="1"/>
  <c r="N2481" i="2"/>
  <c r="BH137" i="6" s="1"/>
  <c r="BI137" i="6" s="1"/>
  <c r="M2481" i="2"/>
  <c r="BH54" i="6" s="1"/>
  <c r="BI54" i="6" s="1"/>
  <c r="N2480" i="2"/>
  <c r="BH136" i="6" s="1"/>
  <c r="M2480" i="2"/>
  <c r="BH53" i="6" s="1"/>
  <c r="N2479" i="2"/>
  <c r="N2478" i="2"/>
  <c r="M2478" i="2"/>
  <c r="N2477" i="2"/>
  <c r="BG145" i="6" s="1"/>
  <c r="BI145" i="6" s="1"/>
  <c r="M2477" i="2"/>
  <c r="N2460" i="2"/>
  <c r="M2460" i="2"/>
  <c r="N2459" i="2"/>
  <c r="M2459" i="2"/>
  <c r="N2456" i="2"/>
  <c r="M2456" i="2"/>
  <c r="N2455" i="2"/>
  <c r="M2455" i="2"/>
  <c r="N2454" i="2"/>
  <c r="BD138" i="6" s="1"/>
  <c r="BE138" i="6" s="1"/>
  <c r="M2454" i="2"/>
  <c r="BD55" i="6" s="1"/>
  <c r="BE55" i="6" s="1"/>
  <c r="N2453" i="2"/>
  <c r="BD137" i="6" s="1"/>
  <c r="BE137" i="6" s="1"/>
  <c r="M2453" i="2"/>
  <c r="BD54" i="6" s="1"/>
  <c r="BE54" i="6" s="1"/>
  <c r="N2452" i="2"/>
  <c r="BD136" i="6" s="1"/>
  <c r="M2452" i="2"/>
  <c r="BD53" i="6" s="1"/>
  <c r="N2450" i="2"/>
  <c r="M2450" i="2"/>
  <c r="BC63" i="6" s="1"/>
  <c r="BE63" i="6" s="1"/>
  <c r="N2449" i="2"/>
  <c r="BC145" i="6" s="1"/>
  <c r="BE145" i="6" s="1"/>
  <c r="M2449" i="2"/>
  <c r="N2420" i="2"/>
  <c r="AY144" i="6" s="1"/>
  <c r="BA144" i="6" s="1"/>
  <c r="M2420" i="2"/>
  <c r="AY61" i="6" s="1"/>
  <c r="BA61" i="6" s="1"/>
  <c r="N2419" i="2"/>
  <c r="AY143" i="6" s="1"/>
  <c r="BA143" i="6" s="1"/>
  <c r="M2419" i="2"/>
  <c r="N2416" i="2"/>
  <c r="AY140" i="6" s="1"/>
  <c r="BA140" i="6" s="1"/>
  <c r="M2416" i="2"/>
  <c r="N2415" i="2"/>
  <c r="AY139" i="6" s="1"/>
  <c r="BA139" i="6" s="1"/>
  <c r="M2415" i="2"/>
  <c r="N2414" i="2"/>
  <c r="AY138" i="6" s="1"/>
  <c r="BA138" i="6" s="1"/>
  <c r="M2414" i="2"/>
  <c r="N2413" i="2"/>
  <c r="AY137" i="6" s="1"/>
  <c r="BA137" i="6" s="1"/>
  <c r="M2413" i="2"/>
  <c r="N2412" i="2"/>
  <c r="AY136" i="6" s="1"/>
  <c r="BA136" i="6" s="1"/>
  <c r="M2412" i="2"/>
  <c r="AY53" i="6" s="1"/>
  <c r="N2410" i="2"/>
  <c r="M2410" i="2"/>
  <c r="N2409" i="2"/>
  <c r="M2409" i="2"/>
  <c r="BL65" i="6" l="1"/>
  <c r="BM53" i="6"/>
  <c r="BL148" i="6"/>
  <c r="BM136" i="6"/>
  <c r="BH65" i="6"/>
  <c r="BI53" i="6"/>
  <c r="BH148" i="6"/>
  <c r="BI136" i="6"/>
  <c r="BD148" i="6"/>
  <c r="BE136" i="6"/>
  <c r="BD65" i="6"/>
  <c r="BE53" i="6"/>
  <c r="BK64" i="6"/>
  <c r="BM64" i="6" s="1"/>
  <c r="P2509" i="2"/>
  <c r="BK146" i="6"/>
  <c r="BM146" i="6" s="1"/>
  <c r="BK147" i="6"/>
  <c r="BM147" i="6" s="1"/>
  <c r="P2478" i="2"/>
  <c r="BG146" i="6"/>
  <c r="BI146" i="6" s="1"/>
  <c r="P2479" i="2"/>
  <c r="BG147" i="6"/>
  <c r="BI147" i="6" s="1"/>
  <c r="P2450" i="2"/>
  <c r="BC146" i="6"/>
  <c r="BE146" i="6" s="1"/>
  <c r="O2409" i="2"/>
  <c r="AX62" i="6"/>
  <c r="AX145" i="6"/>
  <c r="P2410" i="2"/>
  <c r="AX146" i="6"/>
  <c r="O2508" i="2"/>
  <c r="BK62" i="6"/>
  <c r="BM62" i="6" s="1"/>
  <c r="O2477" i="2"/>
  <c r="BG62" i="6"/>
  <c r="BI62" i="6" s="1"/>
  <c r="O2449" i="2"/>
  <c r="BC62" i="6"/>
  <c r="BE62" i="6" s="1"/>
  <c r="N2520" i="2"/>
  <c r="O2509" i="2"/>
  <c r="BK63" i="6"/>
  <c r="BM63" i="6" s="1"/>
  <c r="M2520" i="2"/>
  <c r="N2489" i="2"/>
  <c r="O2478" i="2"/>
  <c r="BG63" i="6"/>
  <c r="BI63" i="6" s="1"/>
  <c r="P2449" i="2"/>
  <c r="O2450" i="2"/>
  <c r="O2410" i="2"/>
  <c r="AX63" i="6"/>
  <c r="AY54" i="6"/>
  <c r="BA54" i="6" s="1"/>
  <c r="AY56" i="6"/>
  <c r="BA56" i="6" s="1"/>
  <c r="AY55" i="6"/>
  <c r="BA55" i="6" s="1"/>
  <c r="AY57" i="6"/>
  <c r="BA57" i="6" s="1"/>
  <c r="AY60" i="6"/>
  <c r="BA60" i="6" s="1"/>
  <c r="O2510" i="2"/>
  <c r="P2510" i="2"/>
  <c r="P2477" i="2"/>
  <c r="O2488" i="2"/>
  <c r="O2484" i="2"/>
  <c r="O2454" i="2"/>
  <c r="O2414" i="2"/>
  <c r="P2416" i="2"/>
  <c r="P2483" i="2"/>
  <c r="P2487" i="2"/>
  <c r="P2513" i="2"/>
  <c r="P2515" i="2"/>
  <c r="P2519" i="2"/>
  <c r="P2420" i="2"/>
  <c r="P2409" i="2"/>
  <c r="P2415" i="2"/>
  <c r="O2416" i="2"/>
  <c r="P2419" i="2"/>
  <c r="O2420" i="2"/>
  <c r="P2455" i="2"/>
  <c r="O2456" i="2"/>
  <c r="O2459" i="2"/>
  <c r="O2460" i="2"/>
  <c r="P2482" i="2"/>
  <c r="O2483" i="2"/>
  <c r="O2487" i="2"/>
  <c r="O2514" i="2"/>
  <c r="O2518" i="2"/>
  <c r="P2414" i="2"/>
  <c r="O2415" i="2"/>
  <c r="O2419" i="2"/>
  <c r="P2454" i="2"/>
  <c r="O2455" i="2"/>
  <c r="P2456" i="2"/>
  <c r="P2459" i="2"/>
  <c r="P2460" i="2"/>
  <c r="O2482" i="2"/>
  <c r="P2508" i="2"/>
  <c r="P2514" i="2"/>
  <c r="P2518" i="2"/>
  <c r="P2484" i="2"/>
  <c r="P2488" i="2"/>
  <c r="O2513" i="2"/>
  <c r="O2515" i="2"/>
  <c r="O2519" i="2"/>
  <c r="O2512" i="2"/>
  <c r="P2512" i="2"/>
  <c r="P2481" i="2"/>
  <c r="O2481" i="2"/>
  <c r="P2453" i="2"/>
  <c r="O2453" i="2"/>
  <c r="P2413" i="2"/>
  <c r="O2413" i="2"/>
  <c r="O2511" i="2"/>
  <c r="P2511" i="2"/>
  <c r="O2480" i="2"/>
  <c r="P2480" i="2"/>
  <c r="P2452" i="2"/>
  <c r="O2452" i="2"/>
  <c r="P2412" i="2"/>
  <c r="O2412" i="2"/>
  <c r="N2411" i="2"/>
  <c r="M2479" i="2"/>
  <c r="BG64" i="6" s="1"/>
  <c r="BI64" i="6" s="1"/>
  <c r="M2451" i="2"/>
  <c r="N2451" i="2"/>
  <c r="M2411" i="2"/>
  <c r="BG65" i="6" l="1"/>
  <c r="BI65" i="6" s="1"/>
  <c r="N2461" i="2"/>
  <c r="BC147" i="6"/>
  <c r="BE147" i="6" s="1"/>
  <c r="M2461" i="2"/>
  <c r="BC64" i="6"/>
  <c r="O2520" i="2"/>
  <c r="AY65" i="6"/>
  <c r="BA65" i="6" s="1"/>
  <c r="P2520" i="2"/>
  <c r="P2489" i="2"/>
  <c r="M2489" i="2"/>
  <c r="BK148" i="6"/>
  <c r="BM148" i="6" s="1"/>
  <c r="BK65" i="6"/>
  <c r="BM65" i="6" s="1"/>
  <c r="O2479" i="2"/>
  <c r="O2489" i="2" s="1"/>
  <c r="BG148" i="6"/>
  <c r="BI148" i="6" s="1"/>
  <c r="O2451" i="2"/>
  <c r="O2461" i="2" s="1"/>
  <c r="P2451" i="2"/>
  <c r="P2461" i="2" s="1"/>
  <c r="O2411" i="2"/>
  <c r="AX64" i="6"/>
  <c r="P2411" i="2"/>
  <c r="AX147" i="6"/>
  <c r="AY148" i="6"/>
  <c r="BA148" i="6" s="1"/>
  <c r="BC65" i="6" l="1"/>
  <c r="BE65" i="6" s="1"/>
  <c r="BE64" i="6"/>
  <c r="BC148" i="6"/>
  <c r="BE148" i="6" s="1"/>
  <c r="N2392" i="2"/>
  <c r="AU144" i="6" s="1"/>
  <c r="AW144" i="6" s="1"/>
  <c r="M2392" i="2"/>
  <c r="AU61" i="6" s="1"/>
  <c r="AW61" i="6" s="1"/>
  <c r="N2391" i="2"/>
  <c r="AU143" i="6" s="1"/>
  <c r="AW143" i="6" s="1"/>
  <c r="M2391" i="2"/>
  <c r="AU60" i="6" s="1"/>
  <c r="AW60" i="6" s="1"/>
  <c r="N2388" i="2"/>
  <c r="AU140" i="6" s="1"/>
  <c r="AW140" i="6" s="1"/>
  <c r="M2388" i="2"/>
  <c r="AU57" i="6" s="1"/>
  <c r="AW57" i="6" s="1"/>
  <c r="N2387" i="2"/>
  <c r="AU139" i="6" s="1"/>
  <c r="AW139" i="6" s="1"/>
  <c r="M2387" i="2"/>
  <c r="AU56" i="6" s="1"/>
  <c r="AW56" i="6" s="1"/>
  <c r="N2386" i="2"/>
  <c r="AU138" i="6" s="1"/>
  <c r="AW138" i="6" s="1"/>
  <c r="M2386" i="2"/>
  <c r="AU55" i="6" s="1"/>
  <c r="AW55" i="6" s="1"/>
  <c r="N2385" i="2"/>
  <c r="AU137" i="6" s="1"/>
  <c r="AW137" i="6" s="1"/>
  <c r="M2385" i="2"/>
  <c r="AU54" i="6" s="1"/>
  <c r="AW54" i="6" s="1"/>
  <c r="N2384" i="2"/>
  <c r="AU136" i="6" s="1"/>
  <c r="AW136" i="6" s="1"/>
  <c r="M2384" i="2"/>
  <c r="AU53" i="6" s="1"/>
  <c r="N2383" i="2"/>
  <c r="P2383" i="2" s="1"/>
  <c r="M2383" i="2"/>
  <c r="AT64" i="6" s="1"/>
  <c r="N2381" i="2"/>
  <c r="M2381" i="2"/>
  <c r="O2381" i="2" s="1"/>
  <c r="N2376" i="2"/>
  <c r="M2376" i="2"/>
  <c r="N2375" i="2"/>
  <c r="M2375" i="2"/>
  <c r="N2372" i="2"/>
  <c r="M2372" i="2"/>
  <c r="N2371" i="2"/>
  <c r="M2371" i="2"/>
  <c r="N2370" i="2"/>
  <c r="AR138" i="6" s="1"/>
  <c r="AS138" i="6" s="1"/>
  <c r="M2370" i="2"/>
  <c r="AR55" i="6" s="1"/>
  <c r="AS55" i="6" s="1"/>
  <c r="N2369" i="2"/>
  <c r="AR137" i="6" s="1"/>
  <c r="AS137" i="6" s="1"/>
  <c r="M2369" i="2"/>
  <c r="AR54" i="6" s="1"/>
  <c r="AS54" i="6" s="1"/>
  <c r="N2368" i="2"/>
  <c r="AR136" i="6" s="1"/>
  <c r="M2368" i="2"/>
  <c r="AR53" i="6" s="1"/>
  <c r="N2367" i="2"/>
  <c r="M2367" i="2"/>
  <c r="N2365" i="2"/>
  <c r="AQ145" i="6" s="1"/>
  <c r="AS145" i="6" s="1"/>
  <c r="M2365" i="2"/>
  <c r="N2336" i="2"/>
  <c r="AM144" i="6" s="1"/>
  <c r="AO144" i="6" s="1"/>
  <c r="M2336" i="2"/>
  <c r="N2335" i="2"/>
  <c r="AM143" i="6" s="1"/>
  <c r="AO143" i="6" s="1"/>
  <c r="M2335" i="2"/>
  <c r="N2332" i="2"/>
  <c r="AM140" i="6" s="1"/>
  <c r="AO140" i="6" s="1"/>
  <c r="M2332" i="2"/>
  <c r="N2331" i="2"/>
  <c r="AM139" i="6" s="1"/>
  <c r="AO139" i="6" s="1"/>
  <c r="M2331" i="2"/>
  <c r="N2330" i="2"/>
  <c r="AM138" i="6" s="1"/>
  <c r="AO138" i="6" s="1"/>
  <c r="M2330" i="2"/>
  <c r="N2329" i="2"/>
  <c r="AM137" i="6" s="1"/>
  <c r="AO137" i="6" s="1"/>
  <c r="M2329" i="2"/>
  <c r="N2328" i="2"/>
  <c r="AM136" i="6" s="1"/>
  <c r="AO136" i="6" s="1"/>
  <c r="M2328" i="2"/>
  <c r="AM53" i="6" s="1"/>
  <c r="AO53" i="6" s="1"/>
  <c r="N2327" i="2"/>
  <c r="P2327" i="2" s="1"/>
  <c r="M2327" i="2"/>
  <c r="AL64" i="6" s="1"/>
  <c r="N2325" i="2"/>
  <c r="AL145" i="6" s="1"/>
  <c r="M2325" i="2"/>
  <c r="O2325" i="2" s="1"/>
  <c r="N2313" i="2"/>
  <c r="M2313" i="2"/>
  <c r="N2312" i="2"/>
  <c r="M2312" i="2"/>
  <c r="N2309" i="2"/>
  <c r="M2309" i="2"/>
  <c r="N2308" i="2"/>
  <c r="M2308" i="2"/>
  <c r="N2307" i="2"/>
  <c r="AJ138" i="6" s="1"/>
  <c r="AK138" i="6" s="1"/>
  <c r="M2307" i="2"/>
  <c r="AJ55" i="6" s="1"/>
  <c r="AK55" i="6" s="1"/>
  <c r="N2306" i="2"/>
  <c r="AJ137" i="6" s="1"/>
  <c r="AK137" i="6" s="1"/>
  <c r="M2306" i="2"/>
  <c r="AJ54" i="6" s="1"/>
  <c r="AK54" i="6" s="1"/>
  <c r="N2305" i="2"/>
  <c r="AJ136" i="6" s="1"/>
  <c r="M2305" i="2"/>
  <c r="AJ53" i="6" s="1"/>
  <c r="N2304" i="2"/>
  <c r="M2304" i="2"/>
  <c r="N2302" i="2"/>
  <c r="AI145" i="6" s="1"/>
  <c r="AK145" i="6" s="1"/>
  <c r="M2302" i="2"/>
  <c r="AR65" i="6" l="1"/>
  <c r="AS53" i="6"/>
  <c r="AR148" i="6"/>
  <c r="AS136" i="6"/>
  <c r="AJ65" i="6"/>
  <c r="AK53" i="6"/>
  <c r="AJ148" i="6"/>
  <c r="AK136" i="6"/>
  <c r="AT145" i="6"/>
  <c r="P2367" i="2"/>
  <c r="AQ147" i="6"/>
  <c r="AS147" i="6" s="1"/>
  <c r="P2304" i="2"/>
  <c r="AI147" i="6"/>
  <c r="AK147" i="6" s="1"/>
  <c r="O2365" i="2"/>
  <c r="AQ62" i="6"/>
  <c r="AS62" i="6" s="1"/>
  <c r="O2302" i="2"/>
  <c r="AI62" i="6"/>
  <c r="AK62" i="6" s="1"/>
  <c r="AQ64" i="6"/>
  <c r="AS64" i="6" s="1"/>
  <c r="P2365" i="2"/>
  <c r="AM54" i="6"/>
  <c r="AO54" i="6" s="1"/>
  <c r="AM56" i="6"/>
  <c r="AO56" i="6" s="1"/>
  <c r="AM61" i="6"/>
  <c r="AO61" i="6" s="1"/>
  <c r="AM55" i="6"/>
  <c r="AO55" i="6" s="1"/>
  <c r="AM57" i="6"/>
  <c r="AO57" i="6" s="1"/>
  <c r="AM60" i="6"/>
  <c r="AO60" i="6" s="1"/>
  <c r="P2302" i="2"/>
  <c r="O2304" i="2"/>
  <c r="AI64" i="6"/>
  <c r="AK64" i="6" s="1"/>
  <c r="P2325" i="2"/>
  <c r="O2392" i="2"/>
  <c r="O2335" i="2"/>
  <c r="O2313" i="2"/>
  <c r="O2388" i="2"/>
  <c r="O2309" i="2"/>
  <c r="O2331" i="2"/>
  <c r="O2370" i="2"/>
  <c r="O2330" i="2"/>
  <c r="P2308" i="2"/>
  <c r="P2312" i="2"/>
  <c r="P2372" i="2"/>
  <c r="P2376" i="2"/>
  <c r="P2388" i="2"/>
  <c r="P2392" i="2"/>
  <c r="P2307" i="2"/>
  <c r="O2308" i="2"/>
  <c r="O2312" i="2"/>
  <c r="P2332" i="2"/>
  <c r="P2336" i="2"/>
  <c r="P2371" i="2"/>
  <c r="O2372" i="2"/>
  <c r="P2375" i="2"/>
  <c r="O2376" i="2"/>
  <c r="P2387" i="2"/>
  <c r="P2391" i="2"/>
  <c r="AL62" i="6"/>
  <c r="O2307" i="2"/>
  <c r="P2331" i="2"/>
  <c r="O2332" i="2"/>
  <c r="P2335" i="2"/>
  <c r="O2336" i="2"/>
  <c r="P2370" i="2"/>
  <c r="O2371" i="2"/>
  <c r="O2375" i="2"/>
  <c r="P2386" i="2"/>
  <c r="O2387" i="2"/>
  <c r="O2391" i="2"/>
  <c r="P2309" i="2"/>
  <c r="P2313" i="2"/>
  <c r="P2330" i="2"/>
  <c r="O2386" i="2"/>
  <c r="AT62" i="6"/>
  <c r="O2385" i="2"/>
  <c r="P2385" i="2"/>
  <c r="P2369" i="2"/>
  <c r="O2369" i="2"/>
  <c r="O2329" i="2"/>
  <c r="P2329" i="2"/>
  <c r="O2306" i="2"/>
  <c r="P2306" i="2"/>
  <c r="P2384" i="2"/>
  <c r="O2384" i="2"/>
  <c r="O2368" i="2"/>
  <c r="P2368" i="2"/>
  <c r="P2328" i="2"/>
  <c r="O2328" i="2"/>
  <c r="P2305" i="2"/>
  <c r="O2305" i="2"/>
  <c r="O2383" i="2"/>
  <c r="O2327" i="2"/>
  <c r="AL147" i="6"/>
  <c r="AT147" i="6"/>
  <c r="O2367" i="2"/>
  <c r="N2382" i="2"/>
  <c r="P2381" i="2"/>
  <c r="M2382" i="2"/>
  <c r="M2405" i="2" s="1"/>
  <c r="N2326" i="2"/>
  <c r="N2366" i="2"/>
  <c r="N2303" i="2"/>
  <c r="M2366" i="2"/>
  <c r="M2326" i="2"/>
  <c r="M2349" i="2" s="1"/>
  <c r="M2303" i="2"/>
  <c r="M2274" i="2"/>
  <c r="N2285" i="2"/>
  <c r="M2285" i="2"/>
  <c r="N2284" i="2"/>
  <c r="M2284" i="2"/>
  <c r="N2281" i="2"/>
  <c r="M2281" i="2"/>
  <c r="N2280" i="2"/>
  <c r="M2280" i="2"/>
  <c r="N2279" i="2"/>
  <c r="AF138" i="6" s="1"/>
  <c r="AG138" i="6" s="1"/>
  <c r="M2279" i="2"/>
  <c r="AF55" i="6" s="1"/>
  <c r="AG55" i="6" s="1"/>
  <c r="N2278" i="2"/>
  <c r="AF137" i="6" s="1"/>
  <c r="AG137" i="6" s="1"/>
  <c r="M2278" i="2"/>
  <c r="AF54" i="6" s="1"/>
  <c r="AG54" i="6" s="1"/>
  <c r="N2277" i="2"/>
  <c r="AF136" i="6" s="1"/>
  <c r="M2277" i="2"/>
  <c r="AF53" i="6" s="1"/>
  <c r="N2276" i="2"/>
  <c r="M2276" i="2"/>
  <c r="AF65" i="6" l="1"/>
  <c r="AG53" i="6"/>
  <c r="AF148" i="6"/>
  <c r="AG136" i="6"/>
  <c r="N2405" i="2"/>
  <c r="AT146" i="6"/>
  <c r="N2377" i="2"/>
  <c r="AQ146" i="6"/>
  <c r="N2349" i="2"/>
  <c r="AL146" i="6"/>
  <c r="N2314" i="2"/>
  <c r="AI146" i="6"/>
  <c r="P2276" i="2"/>
  <c r="AE147" i="6"/>
  <c r="AG147" i="6" s="1"/>
  <c r="AE62" i="6"/>
  <c r="AG62" i="6" s="1"/>
  <c r="AU65" i="6"/>
  <c r="AW65" i="6" s="1"/>
  <c r="AQ63" i="6"/>
  <c r="M2377" i="2"/>
  <c r="AM65" i="6"/>
  <c r="AO65" i="6" s="1"/>
  <c r="AI63" i="6"/>
  <c r="M2314" i="2"/>
  <c r="O2276" i="2"/>
  <c r="AE64" i="6"/>
  <c r="AG64" i="6" s="1"/>
  <c r="O2284" i="2"/>
  <c r="P2280" i="2"/>
  <c r="P2284" i="2"/>
  <c r="O2280" i="2"/>
  <c r="O2279" i="2"/>
  <c r="O2281" i="2"/>
  <c r="O2285" i="2"/>
  <c r="P2279" i="2"/>
  <c r="P2281" i="2"/>
  <c r="P2285" i="2"/>
  <c r="O2278" i="2"/>
  <c r="P2278" i="2"/>
  <c r="AU148" i="6"/>
  <c r="AW148" i="6" s="1"/>
  <c r="AM148" i="6"/>
  <c r="AO148" i="6" s="1"/>
  <c r="P2277" i="2"/>
  <c r="O2277" i="2"/>
  <c r="O2382" i="2"/>
  <c r="O2405" i="2" s="1"/>
  <c r="AT63" i="6"/>
  <c r="P2382" i="2"/>
  <c r="P2405" i="2" s="1"/>
  <c r="P2366" i="2"/>
  <c r="P2377" i="2" s="1"/>
  <c r="O2366" i="2"/>
  <c r="O2377" i="2" s="1"/>
  <c r="P2326" i="2"/>
  <c r="P2349" i="2" s="1"/>
  <c r="O2326" i="2"/>
  <c r="O2349" i="2" s="1"/>
  <c r="AL63" i="6"/>
  <c r="O2303" i="2"/>
  <c r="O2314" i="2" s="1"/>
  <c r="P2303" i="2"/>
  <c r="P2314" i="2" s="1"/>
  <c r="N2274" i="2"/>
  <c r="AE145" i="6" s="1"/>
  <c r="AG145" i="6" s="1"/>
  <c r="O2274" i="2"/>
  <c r="AI148" i="6" l="1"/>
  <c r="AK148" i="6" s="1"/>
  <c r="AK146" i="6"/>
  <c r="AQ148" i="6"/>
  <c r="AS148" i="6" s="1"/>
  <c r="AS146" i="6"/>
  <c r="AI65" i="6"/>
  <c r="AK65" i="6" s="1"/>
  <c r="AK63" i="6"/>
  <c r="AQ65" i="6"/>
  <c r="AS65" i="6" s="1"/>
  <c r="AS63" i="6"/>
  <c r="H713" i="2"/>
  <c r="D713" i="2"/>
  <c r="C713" i="2"/>
  <c r="I713" i="2"/>
  <c r="G713" i="2"/>
  <c r="P2274" i="2"/>
  <c r="N2256" i="2"/>
  <c r="M2256" i="2"/>
  <c r="N2255" i="2"/>
  <c r="M2255" i="2"/>
  <c r="N2252" i="2"/>
  <c r="M2252" i="2"/>
  <c r="N2251" i="2"/>
  <c r="M2251" i="2"/>
  <c r="N2250" i="2"/>
  <c r="AB138" i="6" s="1"/>
  <c r="AC138" i="6" s="1"/>
  <c r="M2250" i="2"/>
  <c r="AB55" i="6" s="1"/>
  <c r="AC55" i="6" s="1"/>
  <c r="N2249" i="2"/>
  <c r="AB137" i="6" s="1"/>
  <c r="AC137" i="6" s="1"/>
  <c r="M2249" i="2"/>
  <c r="AB54" i="6" s="1"/>
  <c r="AC54" i="6" s="1"/>
  <c r="N2248" i="2"/>
  <c r="AB136" i="6" s="1"/>
  <c r="M2248" i="2"/>
  <c r="AB53" i="6" s="1"/>
  <c r="N2247" i="2"/>
  <c r="AA147" i="6" s="1"/>
  <c r="AC147" i="6" s="1"/>
  <c r="M2247" i="2"/>
  <c r="AA64" i="6" s="1"/>
  <c r="AC64" i="6" s="1"/>
  <c r="N2246" i="2"/>
  <c r="AA146" i="6" s="1"/>
  <c r="AC146" i="6" s="1"/>
  <c r="M2246" i="2"/>
  <c r="AA63" i="6" s="1"/>
  <c r="AC63" i="6" s="1"/>
  <c r="L2215" i="2"/>
  <c r="K2215" i="2"/>
  <c r="J2215" i="2"/>
  <c r="I2215" i="2"/>
  <c r="H2215" i="2"/>
  <c r="G2215" i="2"/>
  <c r="D2215" i="2"/>
  <c r="C2215" i="2"/>
  <c r="N2214" i="2"/>
  <c r="M2214" i="2"/>
  <c r="N2213" i="2"/>
  <c r="M2213" i="2"/>
  <c r="N2210" i="2"/>
  <c r="M2210" i="2"/>
  <c r="N2209" i="2"/>
  <c r="M2209" i="2"/>
  <c r="N2208" i="2"/>
  <c r="X138" i="6" s="1"/>
  <c r="Y138" i="6" s="1"/>
  <c r="M2208" i="2"/>
  <c r="X55" i="6" s="1"/>
  <c r="Y55" i="6" s="1"/>
  <c r="N2207" i="2"/>
  <c r="X137" i="6" s="1"/>
  <c r="Y137" i="6" s="1"/>
  <c r="M2207" i="2"/>
  <c r="X54" i="6" s="1"/>
  <c r="Y54" i="6" s="1"/>
  <c r="N2206" i="2"/>
  <c r="X136" i="6" s="1"/>
  <c r="M2206" i="2"/>
  <c r="X53" i="6" s="1"/>
  <c r="N2205" i="2"/>
  <c r="W147" i="6" s="1"/>
  <c r="Y147" i="6" s="1"/>
  <c r="M2205" i="2"/>
  <c r="N2204" i="2"/>
  <c r="W146" i="6" s="1"/>
  <c r="Y146" i="6" s="1"/>
  <c r="M2204" i="2"/>
  <c r="C2162" i="2"/>
  <c r="L2162" i="2"/>
  <c r="K2162" i="2"/>
  <c r="J2162" i="2"/>
  <c r="I2162" i="2"/>
  <c r="H2162" i="2"/>
  <c r="G2162" i="2"/>
  <c r="F2162" i="2"/>
  <c r="N2161" i="2"/>
  <c r="M2161" i="2"/>
  <c r="N2160" i="2"/>
  <c r="M2160" i="2"/>
  <c r="N2157" i="2"/>
  <c r="M2157" i="2"/>
  <c r="N2156" i="2"/>
  <c r="M2156" i="2"/>
  <c r="N2155" i="2"/>
  <c r="T138" i="6" s="1"/>
  <c r="U138" i="6" s="1"/>
  <c r="M2155" i="2"/>
  <c r="T55" i="6" s="1"/>
  <c r="U55" i="6" s="1"/>
  <c r="N2154" i="2"/>
  <c r="T137" i="6" s="1"/>
  <c r="U137" i="6" s="1"/>
  <c r="M2154" i="2"/>
  <c r="T54" i="6" s="1"/>
  <c r="U54" i="6" s="1"/>
  <c r="N2153" i="2"/>
  <c r="T136" i="6" s="1"/>
  <c r="M2153" i="2"/>
  <c r="T53" i="6" s="1"/>
  <c r="N2152" i="2"/>
  <c r="S147" i="6" s="1"/>
  <c r="U147" i="6" s="1"/>
  <c r="M2152" i="2"/>
  <c r="S64" i="6" s="1"/>
  <c r="U64" i="6" s="1"/>
  <c r="N2151" i="2"/>
  <c r="S146" i="6" s="1"/>
  <c r="U146" i="6" s="1"/>
  <c r="M2151" i="2"/>
  <c r="L2122" i="2"/>
  <c r="C2122" i="2"/>
  <c r="K2122" i="2"/>
  <c r="J2122" i="2"/>
  <c r="I2122" i="2"/>
  <c r="H2122" i="2"/>
  <c r="G2122" i="2"/>
  <c r="D2122" i="2"/>
  <c r="N2121" i="2"/>
  <c r="M2121" i="2"/>
  <c r="N2120" i="2"/>
  <c r="M2120" i="2"/>
  <c r="N2117" i="2"/>
  <c r="M2117" i="2"/>
  <c r="N2116" i="2"/>
  <c r="M2116" i="2"/>
  <c r="N2115" i="2"/>
  <c r="P138" i="6" s="1"/>
  <c r="Q138" i="6" s="1"/>
  <c r="M2115" i="2"/>
  <c r="P55" i="6" s="1"/>
  <c r="Q55" i="6" s="1"/>
  <c r="N2114" i="2"/>
  <c r="P137" i="6" s="1"/>
  <c r="Q137" i="6" s="1"/>
  <c r="M2114" i="2"/>
  <c r="P54" i="6" s="1"/>
  <c r="Q54" i="6" s="1"/>
  <c r="N2113" i="2"/>
  <c r="P136" i="6" s="1"/>
  <c r="M2113" i="2"/>
  <c r="P53" i="6" s="1"/>
  <c r="N2112" i="2"/>
  <c r="O147" i="6" s="1"/>
  <c r="Q147" i="6" s="1"/>
  <c r="M2112" i="2"/>
  <c r="O64" i="6" s="1"/>
  <c r="Q64" i="6" s="1"/>
  <c r="N2111" i="2"/>
  <c r="O146" i="6" s="1"/>
  <c r="Q146" i="6" s="1"/>
  <c r="M2111" i="2"/>
  <c r="L2082" i="2"/>
  <c r="K2082" i="2"/>
  <c r="J2082" i="2"/>
  <c r="I2082" i="2"/>
  <c r="H2082" i="2"/>
  <c r="G2082" i="2"/>
  <c r="F2082" i="2"/>
  <c r="D2082" i="2"/>
  <c r="C2082" i="2"/>
  <c r="M2081" i="2"/>
  <c r="N2081" i="2"/>
  <c r="N2080" i="2"/>
  <c r="M2080" i="2"/>
  <c r="N2077" i="2"/>
  <c r="M2077" i="2"/>
  <c r="N2076" i="2"/>
  <c r="M2076" i="2"/>
  <c r="N2075" i="2"/>
  <c r="L138" i="6" s="1"/>
  <c r="M138" i="6" s="1"/>
  <c r="M2075" i="2"/>
  <c r="L55" i="6" s="1"/>
  <c r="M55" i="6" s="1"/>
  <c r="N2074" i="2"/>
  <c r="L137" i="6" s="1"/>
  <c r="M137" i="6" s="1"/>
  <c r="M2074" i="2"/>
  <c r="L54" i="6" s="1"/>
  <c r="M54" i="6" s="1"/>
  <c r="N2073" i="2"/>
  <c r="L136" i="6" s="1"/>
  <c r="M2073" i="2"/>
  <c r="L53" i="6" s="1"/>
  <c r="N2072" i="2"/>
  <c r="K147" i="6" s="1"/>
  <c r="M147" i="6" s="1"/>
  <c r="M2072" i="2"/>
  <c r="K64" i="6" s="1"/>
  <c r="M64" i="6" s="1"/>
  <c r="N2071" i="2"/>
  <c r="K146" i="6" s="1"/>
  <c r="M146" i="6" s="1"/>
  <c r="M2071" i="2"/>
  <c r="K63" i="6" s="1"/>
  <c r="M63" i="6" s="1"/>
  <c r="L2042" i="2"/>
  <c r="K2042" i="2"/>
  <c r="J2042" i="2"/>
  <c r="I2042" i="2"/>
  <c r="H2042" i="2"/>
  <c r="G2042" i="2"/>
  <c r="F2042" i="2"/>
  <c r="D2042" i="2"/>
  <c r="C2042" i="2"/>
  <c r="M2041" i="2"/>
  <c r="N2041" i="2"/>
  <c r="N2040" i="2"/>
  <c r="M2040" i="2"/>
  <c r="N2037" i="2"/>
  <c r="M2037" i="2"/>
  <c r="N2036" i="2"/>
  <c r="M2036" i="2"/>
  <c r="N2035" i="2"/>
  <c r="H138" i="6" s="1"/>
  <c r="I138" i="6" s="1"/>
  <c r="M2035" i="2"/>
  <c r="H55" i="6" s="1"/>
  <c r="I55" i="6" s="1"/>
  <c r="N2034" i="2"/>
  <c r="H137" i="6" s="1"/>
  <c r="I137" i="6" s="1"/>
  <c r="M2034" i="2"/>
  <c r="H54" i="6" s="1"/>
  <c r="I54" i="6" s="1"/>
  <c r="N2033" i="2"/>
  <c r="H136" i="6" s="1"/>
  <c r="M2033" i="2"/>
  <c r="H53" i="6" s="1"/>
  <c r="N2032" i="2"/>
  <c r="G147" i="6" s="1"/>
  <c r="I147" i="6" s="1"/>
  <c r="M2032" i="2"/>
  <c r="G64" i="6" s="1"/>
  <c r="I64" i="6" s="1"/>
  <c r="N2031" i="2"/>
  <c r="G146" i="6" s="1"/>
  <c r="I146" i="6" s="1"/>
  <c r="M2031" i="2"/>
  <c r="G63" i="6" s="1"/>
  <c r="I63" i="6" s="1"/>
  <c r="L2002" i="2"/>
  <c r="K2002" i="2"/>
  <c r="J2002" i="2"/>
  <c r="I2002" i="2"/>
  <c r="H2002" i="2"/>
  <c r="G2002" i="2"/>
  <c r="F2002" i="2"/>
  <c r="N2001" i="2"/>
  <c r="M2001" i="2"/>
  <c r="N2000" i="2"/>
  <c r="M2000" i="2"/>
  <c r="N1997" i="2"/>
  <c r="M1997" i="2"/>
  <c r="N1996" i="2"/>
  <c r="M1996" i="2"/>
  <c r="N1995" i="2"/>
  <c r="D138" i="6" s="1"/>
  <c r="E138" i="6" s="1"/>
  <c r="M1995" i="2"/>
  <c r="D55" i="6" s="1"/>
  <c r="E55" i="6" s="1"/>
  <c r="N1994" i="2"/>
  <c r="D137" i="6" s="1"/>
  <c r="E137" i="6" s="1"/>
  <c r="M1994" i="2"/>
  <c r="D54" i="6" s="1"/>
  <c r="E54" i="6" s="1"/>
  <c r="N1993" i="2"/>
  <c r="D136" i="6" s="1"/>
  <c r="M1993" i="2"/>
  <c r="D53" i="6" s="1"/>
  <c r="N1992" i="2"/>
  <c r="M1992" i="2"/>
  <c r="C64" i="6" s="1"/>
  <c r="E64" i="6" s="1"/>
  <c r="N1991" i="2"/>
  <c r="C146" i="6" s="1"/>
  <c r="E146" i="6" s="1"/>
  <c r="M1991" i="2"/>
  <c r="C63" i="6" s="1"/>
  <c r="E63" i="6" s="1"/>
  <c r="L1950" i="2"/>
  <c r="K1950" i="2"/>
  <c r="J1950" i="2"/>
  <c r="I1950" i="2"/>
  <c r="H1950" i="2"/>
  <c r="G1950" i="2"/>
  <c r="F1950" i="2"/>
  <c r="D1950" i="2"/>
  <c r="C1950" i="2"/>
  <c r="N1949" i="2"/>
  <c r="M1949" i="2"/>
  <c r="N1948" i="2"/>
  <c r="M1948" i="2"/>
  <c r="N1945" i="2"/>
  <c r="M1945" i="2"/>
  <c r="N1944" i="2"/>
  <c r="M1944" i="2"/>
  <c r="N1943" i="2"/>
  <c r="BK122" i="6" s="1"/>
  <c r="BL122" i="6" s="1"/>
  <c r="M1943" i="2"/>
  <c r="BK39" i="6" s="1"/>
  <c r="BL39" i="6" s="1"/>
  <c r="N1942" i="2"/>
  <c r="BK121" i="6" s="1"/>
  <c r="BL121" i="6" s="1"/>
  <c r="M1942" i="2"/>
  <c r="BK38" i="6" s="1"/>
  <c r="BL38" i="6" s="1"/>
  <c r="N1941" i="2"/>
  <c r="BK120" i="6" s="1"/>
  <c r="M1941" i="2"/>
  <c r="BK37" i="6" s="1"/>
  <c r="N1940" i="2"/>
  <c r="BJ131" i="6" s="1"/>
  <c r="BL131" i="6" s="1"/>
  <c r="M1940" i="2"/>
  <c r="BJ48" i="6" s="1"/>
  <c r="BL48" i="6" s="1"/>
  <c r="N1939" i="2"/>
  <c r="BJ130" i="6" s="1"/>
  <c r="BL130" i="6" s="1"/>
  <c r="M1939" i="2"/>
  <c r="BJ47" i="6" s="1"/>
  <c r="BL47" i="6" s="1"/>
  <c r="L1910" i="2"/>
  <c r="K1910" i="2"/>
  <c r="J1910" i="2"/>
  <c r="I1910" i="2"/>
  <c r="H1910" i="2"/>
  <c r="G1910" i="2"/>
  <c r="D1910" i="2"/>
  <c r="C1910" i="2"/>
  <c r="M1909" i="2"/>
  <c r="N1909" i="2"/>
  <c r="N1908" i="2"/>
  <c r="M1908" i="2"/>
  <c r="N1905" i="2"/>
  <c r="M1905" i="2"/>
  <c r="N1904" i="2"/>
  <c r="M1904" i="2"/>
  <c r="N1903" i="2"/>
  <c r="BG122" i="6" s="1"/>
  <c r="BH122" i="6" s="1"/>
  <c r="M1903" i="2"/>
  <c r="BG39" i="6" s="1"/>
  <c r="BH39" i="6" s="1"/>
  <c r="N1902" i="2"/>
  <c r="BG121" i="6" s="1"/>
  <c r="BH121" i="6" s="1"/>
  <c r="M1902" i="2"/>
  <c r="BG38" i="6" s="1"/>
  <c r="BH38" i="6" s="1"/>
  <c r="N1901" i="2"/>
  <c r="BG120" i="6" s="1"/>
  <c r="M1901" i="2"/>
  <c r="BG37" i="6" s="1"/>
  <c r="N1900" i="2"/>
  <c r="BF131" i="6" s="1"/>
  <c r="BH131" i="6" s="1"/>
  <c r="M1900" i="2"/>
  <c r="BF48" i="6" s="1"/>
  <c r="BH48" i="6" s="1"/>
  <c r="N1899" i="2"/>
  <c r="BF130" i="6" s="1"/>
  <c r="BH130" i="6" s="1"/>
  <c r="M1899" i="2"/>
  <c r="BF47" i="6" s="1"/>
  <c r="BH47" i="6" s="1"/>
  <c r="L1870" i="2"/>
  <c r="K1870" i="2"/>
  <c r="J1870" i="2"/>
  <c r="I1870" i="2"/>
  <c r="H1870" i="2"/>
  <c r="G1870" i="2"/>
  <c r="F1870" i="2"/>
  <c r="D1870" i="2"/>
  <c r="C1870" i="2"/>
  <c r="M1869" i="2"/>
  <c r="N1869" i="2"/>
  <c r="N1868" i="2"/>
  <c r="M1868" i="2"/>
  <c r="N1865" i="2"/>
  <c r="M1865" i="2"/>
  <c r="N1864" i="2"/>
  <c r="M1864" i="2"/>
  <c r="N1863" i="2"/>
  <c r="BC122" i="6" s="1"/>
  <c r="BD122" i="6" s="1"/>
  <c r="M1863" i="2"/>
  <c r="BC39" i="6" s="1"/>
  <c r="BD39" i="6" s="1"/>
  <c r="N1862" i="2"/>
  <c r="BC121" i="6" s="1"/>
  <c r="BD121" i="6" s="1"/>
  <c r="M1862" i="2"/>
  <c r="BC38" i="6" s="1"/>
  <c r="BD38" i="6" s="1"/>
  <c r="N1861" i="2"/>
  <c r="BC120" i="6" s="1"/>
  <c r="M1861" i="2"/>
  <c r="BC37" i="6" s="1"/>
  <c r="N1860" i="2"/>
  <c r="BB131" i="6" s="1"/>
  <c r="BD131" i="6" s="1"/>
  <c r="M1860" i="2"/>
  <c r="BB48" i="6" s="1"/>
  <c r="BD48" i="6" s="1"/>
  <c r="N1859" i="2"/>
  <c r="BB130" i="6" s="1"/>
  <c r="BD130" i="6" s="1"/>
  <c r="M1859" i="2"/>
  <c r="BB47" i="6" s="1"/>
  <c r="BD47" i="6" s="1"/>
  <c r="L1830" i="2"/>
  <c r="K1830" i="2"/>
  <c r="J1830" i="2"/>
  <c r="I1830" i="2"/>
  <c r="H1830" i="2"/>
  <c r="G1830" i="2"/>
  <c r="F1830" i="2"/>
  <c r="E1830" i="2"/>
  <c r="D1830" i="2"/>
  <c r="C1830" i="2"/>
  <c r="M1829" i="2"/>
  <c r="N1829" i="2"/>
  <c r="N1828" i="2"/>
  <c r="M1828" i="2"/>
  <c r="N1825" i="2"/>
  <c r="M1825" i="2"/>
  <c r="N1824" i="2"/>
  <c r="M1824" i="2"/>
  <c r="N1823" i="2"/>
  <c r="AX122" i="6" s="1"/>
  <c r="AY122" i="6" s="1"/>
  <c r="M1823" i="2"/>
  <c r="AX39" i="6" s="1"/>
  <c r="AY39" i="6" s="1"/>
  <c r="N1822" i="2"/>
  <c r="AX121" i="6" s="1"/>
  <c r="AY121" i="6" s="1"/>
  <c r="M1822" i="2"/>
  <c r="AX38" i="6" s="1"/>
  <c r="AY38" i="6" s="1"/>
  <c r="N1821" i="2"/>
  <c r="AX120" i="6" s="1"/>
  <c r="M1821" i="2"/>
  <c r="AX37" i="6" s="1"/>
  <c r="N1820" i="2"/>
  <c r="AW131" i="6" s="1"/>
  <c r="AY131" i="6" s="1"/>
  <c r="M1820" i="2"/>
  <c r="AW48" i="6" s="1"/>
  <c r="AY48" i="6" s="1"/>
  <c r="N1819" i="2"/>
  <c r="AW130" i="6" s="1"/>
  <c r="AY130" i="6" s="1"/>
  <c r="M1819" i="2"/>
  <c r="AW47" i="6" s="1"/>
  <c r="AY47" i="6" s="1"/>
  <c r="L1790" i="2"/>
  <c r="K1790" i="2"/>
  <c r="J1790" i="2"/>
  <c r="I1790" i="2"/>
  <c r="H1790" i="2"/>
  <c r="G1790" i="2"/>
  <c r="E1790" i="2"/>
  <c r="N1789" i="2"/>
  <c r="M1789" i="2"/>
  <c r="N1788" i="2"/>
  <c r="M1788" i="2"/>
  <c r="N1785" i="2"/>
  <c r="M1785" i="2"/>
  <c r="N1784" i="2"/>
  <c r="M1784" i="2"/>
  <c r="N1783" i="2"/>
  <c r="AS122" i="6" s="1"/>
  <c r="AT122" i="6" s="1"/>
  <c r="M1783" i="2"/>
  <c r="AS39" i="6" s="1"/>
  <c r="AT39" i="6" s="1"/>
  <c r="N1782" i="2"/>
  <c r="AS121" i="6" s="1"/>
  <c r="AT121" i="6" s="1"/>
  <c r="M1782" i="2"/>
  <c r="AS38" i="6" s="1"/>
  <c r="AT38" i="6" s="1"/>
  <c r="N1781" i="2"/>
  <c r="AS120" i="6" s="1"/>
  <c r="M1781" i="2"/>
  <c r="AS37" i="6" s="1"/>
  <c r="N1780" i="2"/>
  <c r="AR131" i="6" s="1"/>
  <c r="AT131" i="6" s="1"/>
  <c r="M1780" i="2"/>
  <c r="AR48" i="6" s="1"/>
  <c r="AT48" i="6" s="1"/>
  <c r="N1779" i="2"/>
  <c r="AR130" i="6" s="1"/>
  <c r="AT130" i="6" s="1"/>
  <c r="M1779" i="2"/>
  <c r="AR47" i="6" s="1"/>
  <c r="AT47" i="6" s="1"/>
  <c r="L1738" i="2"/>
  <c r="K1738" i="2"/>
  <c r="J1738" i="2"/>
  <c r="I1738" i="2"/>
  <c r="H1738" i="2"/>
  <c r="G1738" i="2"/>
  <c r="F1738" i="2"/>
  <c r="C1738" i="2"/>
  <c r="N1737" i="2"/>
  <c r="M1737" i="2"/>
  <c r="N1736" i="2"/>
  <c r="M1736" i="2"/>
  <c r="N1733" i="2"/>
  <c r="M1733" i="2"/>
  <c r="N1732" i="2"/>
  <c r="M1732" i="2"/>
  <c r="N1731" i="2"/>
  <c r="AN122" i="6" s="1"/>
  <c r="AO122" i="6" s="1"/>
  <c r="M1731" i="2"/>
  <c r="AN39" i="6" s="1"/>
  <c r="AO39" i="6" s="1"/>
  <c r="N1730" i="2"/>
  <c r="AN121" i="6" s="1"/>
  <c r="AO121" i="6" s="1"/>
  <c r="M1730" i="2"/>
  <c r="AN38" i="6" s="1"/>
  <c r="AO38" i="6" s="1"/>
  <c r="N1729" i="2"/>
  <c r="AN120" i="6" s="1"/>
  <c r="M1729" i="2"/>
  <c r="AN37" i="6" s="1"/>
  <c r="N1728" i="2"/>
  <c r="AM131" i="6" s="1"/>
  <c r="AO131" i="6" s="1"/>
  <c r="M1728" i="2"/>
  <c r="AM48" i="6" s="1"/>
  <c r="AO48" i="6" s="1"/>
  <c r="N1727" i="2"/>
  <c r="AM130" i="6" s="1"/>
  <c r="AO130" i="6" s="1"/>
  <c r="M1727" i="2"/>
  <c r="AM47" i="6" s="1"/>
  <c r="AO47" i="6" s="1"/>
  <c r="L1686" i="2"/>
  <c r="K1686" i="2"/>
  <c r="J1686" i="2"/>
  <c r="I1686" i="2"/>
  <c r="H1686" i="2"/>
  <c r="G1686" i="2"/>
  <c r="F1686" i="2"/>
  <c r="D1686" i="2"/>
  <c r="C1686" i="2"/>
  <c r="M1685" i="2"/>
  <c r="N1685" i="2"/>
  <c r="N1684" i="2"/>
  <c r="M1684" i="2"/>
  <c r="N1681" i="2"/>
  <c r="M1681" i="2"/>
  <c r="N1680" i="2"/>
  <c r="M1680" i="2"/>
  <c r="N1679" i="2"/>
  <c r="AI122" i="6" s="1"/>
  <c r="AJ122" i="6" s="1"/>
  <c r="M1679" i="2"/>
  <c r="AI39" i="6" s="1"/>
  <c r="AJ39" i="6" s="1"/>
  <c r="N1678" i="2"/>
  <c r="AI121" i="6" s="1"/>
  <c r="AJ121" i="6" s="1"/>
  <c r="M1678" i="2"/>
  <c r="AI38" i="6" s="1"/>
  <c r="AJ38" i="6" s="1"/>
  <c r="N1677" i="2"/>
  <c r="AI120" i="6" s="1"/>
  <c r="M1677" i="2"/>
  <c r="AI37" i="6" s="1"/>
  <c r="N1676" i="2"/>
  <c r="AH131" i="6" s="1"/>
  <c r="AJ131" i="6" s="1"/>
  <c r="M1676" i="2"/>
  <c r="AH48" i="6" s="1"/>
  <c r="AJ48" i="6" s="1"/>
  <c r="N1675" i="2"/>
  <c r="AH130" i="6" s="1"/>
  <c r="AJ130" i="6" s="1"/>
  <c r="M1675" i="2"/>
  <c r="AH47" i="6" s="1"/>
  <c r="AJ47" i="6" s="1"/>
  <c r="L1634" i="2"/>
  <c r="K1634" i="2"/>
  <c r="J1634" i="2"/>
  <c r="I1634" i="2"/>
  <c r="H1634" i="2"/>
  <c r="G1634" i="2"/>
  <c r="F1634" i="2"/>
  <c r="D1634" i="2"/>
  <c r="C1634" i="2"/>
  <c r="N1633" i="2"/>
  <c r="M1633" i="2"/>
  <c r="N1632" i="2"/>
  <c r="M1632" i="2"/>
  <c r="N1629" i="2"/>
  <c r="M1629" i="2"/>
  <c r="N1628" i="2"/>
  <c r="M1628" i="2"/>
  <c r="N1627" i="2"/>
  <c r="AD122" i="6" s="1"/>
  <c r="AE122" i="6" s="1"/>
  <c r="M1627" i="2"/>
  <c r="AD39" i="6" s="1"/>
  <c r="AE39" i="6" s="1"/>
  <c r="N1626" i="2"/>
  <c r="AD121" i="6" s="1"/>
  <c r="AE121" i="6" s="1"/>
  <c r="M1626" i="2"/>
  <c r="AD38" i="6" s="1"/>
  <c r="AE38" i="6" s="1"/>
  <c r="N1625" i="2"/>
  <c r="AD120" i="6" s="1"/>
  <c r="M1625" i="2"/>
  <c r="AD37" i="6" s="1"/>
  <c r="N1624" i="2"/>
  <c r="AC131" i="6" s="1"/>
  <c r="AE131" i="6" s="1"/>
  <c r="M1624" i="2"/>
  <c r="N1623" i="2"/>
  <c r="AC130" i="6" s="1"/>
  <c r="AE130" i="6" s="1"/>
  <c r="M1623" i="2"/>
  <c r="AE47" i="6" s="1"/>
  <c r="L1567" i="2"/>
  <c r="K1567" i="2"/>
  <c r="J1567" i="2"/>
  <c r="I1567" i="2"/>
  <c r="H1567" i="2"/>
  <c r="G1567" i="2"/>
  <c r="F1567" i="2"/>
  <c r="E1567" i="2"/>
  <c r="D1567" i="2"/>
  <c r="C1567" i="2"/>
  <c r="M1566" i="2"/>
  <c r="N1566" i="2"/>
  <c r="N1565" i="2"/>
  <c r="M1565" i="2"/>
  <c r="N1562" i="2"/>
  <c r="M1562" i="2"/>
  <c r="N1561" i="2"/>
  <c r="M1561" i="2"/>
  <c r="N1560" i="2"/>
  <c r="Y122" i="6" s="1"/>
  <c r="Z122" i="6" s="1"/>
  <c r="M1560" i="2"/>
  <c r="Y39" i="6" s="1"/>
  <c r="Z39" i="6" s="1"/>
  <c r="N1559" i="2"/>
  <c r="Y121" i="6" s="1"/>
  <c r="Z121" i="6" s="1"/>
  <c r="M1559" i="2"/>
  <c r="Y38" i="6" s="1"/>
  <c r="Z38" i="6" s="1"/>
  <c r="N1558" i="2"/>
  <c r="Y120" i="6" s="1"/>
  <c r="M1558" i="2"/>
  <c r="Y37" i="6" s="1"/>
  <c r="N1557" i="2"/>
  <c r="X131" i="6" s="1"/>
  <c r="Z131" i="6" s="1"/>
  <c r="M1557" i="2"/>
  <c r="X48" i="6" s="1"/>
  <c r="Z48" i="6" s="1"/>
  <c r="N1556" i="2"/>
  <c r="X130" i="6" s="1"/>
  <c r="Z130" i="6" s="1"/>
  <c r="M1556" i="2"/>
  <c r="X47" i="6" s="1"/>
  <c r="Z47" i="6" s="1"/>
  <c r="L1515" i="2"/>
  <c r="K1515" i="2"/>
  <c r="J1515" i="2"/>
  <c r="I1515" i="2"/>
  <c r="H1515" i="2"/>
  <c r="G1515" i="2"/>
  <c r="F1515" i="2"/>
  <c r="D1515" i="2"/>
  <c r="C1515" i="2"/>
  <c r="M1514" i="2"/>
  <c r="N1514" i="2"/>
  <c r="N1513" i="2"/>
  <c r="M1513" i="2"/>
  <c r="N1510" i="2"/>
  <c r="M1510" i="2"/>
  <c r="N1509" i="2"/>
  <c r="M1509" i="2"/>
  <c r="N1508" i="2"/>
  <c r="T122" i="6" s="1"/>
  <c r="U122" i="6" s="1"/>
  <c r="M1508" i="2"/>
  <c r="T39" i="6" s="1"/>
  <c r="U39" i="6" s="1"/>
  <c r="N1507" i="2"/>
  <c r="T121" i="6" s="1"/>
  <c r="U121" i="6" s="1"/>
  <c r="M1507" i="2"/>
  <c r="T38" i="6" s="1"/>
  <c r="U38" i="6" s="1"/>
  <c r="N1506" i="2"/>
  <c r="T120" i="6" s="1"/>
  <c r="M1506" i="2"/>
  <c r="T37" i="6" s="1"/>
  <c r="N1505" i="2"/>
  <c r="S131" i="6" s="1"/>
  <c r="U131" i="6" s="1"/>
  <c r="M1505" i="2"/>
  <c r="S48" i="6" s="1"/>
  <c r="U48" i="6" s="1"/>
  <c r="N1504" i="2"/>
  <c r="S130" i="6" s="1"/>
  <c r="U130" i="6" s="1"/>
  <c r="M1504" i="2"/>
  <c r="S47" i="6" s="1"/>
  <c r="U47" i="6" s="1"/>
  <c r="L1463" i="2"/>
  <c r="K1463" i="2"/>
  <c r="J1463" i="2"/>
  <c r="I1463" i="2"/>
  <c r="H1463" i="2"/>
  <c r="G1463" i="2"/>
  <c r="F1463" i="2"/>
  <c r="D1463" i="2"/>
  <c r="C1463" i="2"/>
  <c r="M1462" i="2"/>
  <c r="N1462" i="2"/>
  <c r="N1461" i="2"/>
  <c r="M1461" i="2"/>
  <c r="N1458" i="2"/>
  <c r="M1458" i="2"/>
  <c r="N1457" i="2"/>
  <c r="M1457" i="2"/>
  <c r="N1456" i="2"/>
  <c r="O122" i="6" s="1"/>
  <c r="P122" i="6" s="1"/>
  <c r="M1456" i="2"/>
  <c r="O39" i="6" s="1"/>
  <c r="P39" i="6" s="1"/>
  <c r="N1455" i="2"/>
  <c r="O121" i="6" s="1"/>
  <c r="P121" i="6" s="1"/>
  <c r="M1455" i="2"/>
  <c r="O38" i="6" s="1"/>
  <c r="P38" i="6" s="1"/>
  <c r="N1454" i="2"/>
  <c r="O120" i="6" s="1"/>
  <c r="M1454" i="2"/>
  <c r="O37" i="6" s="1"/>
  <c r="N1453" i="2"/>
  <c r="N131" i="6" s="1"/>
  <c r="P131" i="6" s="1"/>
  <c r="M1453" i="2"/>
  <c r="N48" i="6" s="1"/>
  <c r="P48" i="6" s="1"/>
  <c r="N1452" i="2"/>
  <c r="N130" i="6" s="1"/>
  <c r="P130" i="6" s="1"/>
  <c r="M1452" i="2"/>
  <c r="N47" i="6" s="1"/>
  <c r="P47" i="6" s="1"/>
  <c r="L1411" i="2"/>
  <c r="K1411" i="2"/>
  <c r="J1411" i="2"/>
  <c r="I1411" i="2"/>
  <c r="H1411" i="2"/>
  <c r="G1411" i="2"/>
  <c r="F1411" i="2"/>
  <c r="E1411" i="2"/>
  <c r="D1411" i="2"/>
  <c r="C1411" i="2"/>
  <c r="M1410" i="2"/>
  <c r="N1410" i="2"/>
  <c r="N1409" i="2"/>
  <c r="M1409" i="2"/>
  <c r="N1406" i="2"/>
  <c r="M1406" i="2"/>
  <c r="N1405" i="2"/>
  <c r="M1405" i="2"/>
  <c r="N1404" i="2"/>
  <c r="J122" i="6" s="1"/>
  <c r="K122" i="6" s="1"/>
  <c r="M1404" i="2"/>
  <c r="J39" i="6" s="1"/>
  <c r="K39" i="6" s="1"/>
  <c r="N1403" i="2"/>
  <c r="J121" i="6" s="1"/>
  <c r="K121" i="6" s="1"/>
  <c r="M1403" i="2"/>
  <c r="J38" i="6" s="1"/>
  <c r="K38" i="6" s="1"/>
  <c r="N1402" i="2"/>
  <c r="J120" i="6" s="1"/>
  <c r="M1402" i="2"/>
  <c r="J37" i="6" s="1"/>
  <c r="N1401" i="2"/>
  <c r="I131" i="6" s="1"/>
  <c r="K131" i="6" s="1"/>
  <c r="M1401" i="2"/>
  <c r="I48" i="6" s="1"/>
  <c r="K48" i="6" s="1"/>
  <c r="N1400" i="2"/>
  <c r="I130" i="6" s="1"/>
  <c r="K130" i="6" s="1"/>
  <c r="M1400" i="2"/>
  <c r="I47" i="6" s="1"/>
  <c r="K47" i="6" s="1"/>
  <c r="L1359" i="2"/>
  <c r="K1359" i="2"/>
  <c r="J1359" i="2"/>
  <c r="I1359" i="2"/>
  <c r="H1359" i="2"/>
  <c r="G1359" i="2"/>
  <c r="F1359" i="2"/>
  <c r="D1359" i="2"/>
  <c r="C1359" i="2"/>
  <c r="N1358" i="2"/>
  <c r="M1358" i="2"/>
  <c r="N1357" i="2"/>
  <c r="M1357" i="2"/>
  <c r="N1354" i="2"/>
  <c r="M1354" i="2"/>
  <c r="N1353" i="2"/>
  <c r="M1353" i="2"/>
  <c r="N1352" i="2"/>
  <c r="E122" i="6" s="1"/>
  <c r="F122" i="6" s="1"/>
  <c r="M1352" i="2"/>
  <c r="E39" i="6" s="1"/>
  <c r="F39" i="6" s="1"/>
  <c r="N1351" i="2"/>
  <c r="E121" i="6" s="1"/>
  <c r="F121" i="6" s="1"/>
  <c r="M1351" i="2"/>
  <c r="E38" i="6" s="1"/>
  <c r="F38" i="6" s="1"/>
  <c r="N1350" i="2"/>
  <c r="E120" i="6" s="1"/>
  <c r="M1350" i="2"/>
  <c r="E37" i="6" s="1"/>
  <c r="N1349" i="2"/>
  <c r="D131" i="6" s="1"/>
  <c r="F131" i="6" s="1"/>
  <c r="M1349" i="2"/>
  <c r="D48" i="6" s="1"/>
  <c r="F48" i="6" s="1"/>
  <c r="N1348" i="2"/>
  <c r="D130" i="6" s="1"/>
  <c r="F130" i="6" s="1"/>
  <c r="M1348" i="2"/>
  <c r="D47" i="6" s="1"/>
  <c r="F47" i="6" s="1"/>
  <c r="L1307" i="2"/>
  <c r="K1307" i="2"/>
  <c r="J1307" i="2"/>
  <c r="I1307" i="2"/>
  <c r="H1307" i="2"/>
  <c r="G1307" i="2"/>
  <c r="E1307" i="2"/>
  <c r="D1307" i="2"/>
  <c r="C1307" i="2"/>
  <c r="N1306" i="2"/>
  <c r="M1306" i="2"/>
  <c r="N1305" i="2"/>
  <c r="M1305" i="2"/>
  <c r="N1302" i="2"/>
  <c r="M1302" i="2"/>
  <c r="N1301" i="2"/>
  <c r="M1301" i="2"/>
  <c r="N1300" i="2"/>
  <c r="BC106" i="6" s="1"/>
  <c r="BD106" i="6" s="1"/>
  <c r="M1300" i="2"/>
  <c r="BC23" i="6" s="1"/>
  <c r="BD23" i="6" s="1"/>
  <c r="N1299" i="2"/>
  <c r="BC105" i="6" s="1"/>
  <c r="BD105" i="6" s="1"/>
  <c r="M1299" i="2"/>
  <c r="BC22" i="6" s="1"/>
  <c r="BD22" i="6" s="1"/>
  <c r="N1298" i="2"/>
  <c r="BC104" i="6" s="1"/>
  <c r="M1298" i="2"/>
  <c r="BC21" i="6" s="1"/>
  <c r="N1297" i="2"/>
  <c r="BB115" i="6" s="1"/>
  <c r="BD115" i="6" s="1"/>
  <c r="M1297" i="2"/>
  <c r="BB32" i="6" s="1"/>
  <c r="BD32" i="6" s="1"/>
  <c r="N1296" i="2"/>
  <c r="BB114" i="6" s="1"/>
  <c r="BD114" i="6" s="1"/>
  <c r="M1296" i="2"/>
  <c r="BB31" i="6" s="1"/>
  <c r="BD31" i="6" s="1"/>
  <c r="L1240" i="2"/>
  <c r="K1240" i="2"/>
  <c r="J1240" i="2"/>
  <c r="I1240" i="2"/>
  <c r="H1240" i="2"/>
  <c r="G1240" i="2"/>
  <c r="D1240" i="2"/>
  <c r="C1240" i="2"/>
  <c r="N1239" i="2"/>
  <c r="M1239" i="2"/>
  <c r="N1238" i="2"/>
  <c r="M1238" i="2"/>
  <c r="N1235" i="2"/>
  <c r="M1235" i="2"/>
  <c r="N1234" i="2"/>
  <c r="M1234" i="2"/>
  <c r="N1233" i="2"/>
  <c r="AX106" i="6" s="1"/>
  <c r="AY106" i="6" s="1"/>
  <c r="M1233" i="2"/>
  <c r="AX23" i="6" s="1"/>
  <c r="AY23" i="6" s="1"/>
  <c r="N1232" i="2"/>
  <c r="AX105" i="6" s="1"/>
  <c r="AY105" i="6" s="1"/>
  <c r="M1232" i="2"/>
  <c r="AX22" i="6" s="1"/>
  <c r="AY22" i="6" s="1"/>
  <c r="N1231" i="2"/>
  <c r="AX104" i="6" s="1"/>
  <c r="M1231" i="2"/>
  <c r="AX21" i="6" s="1"/>
  <c r="N1230" i="2"/>
  <c r="AW115" i="6" s="1"/>
  <c r="AY115" i="6" s="1"/>
  <c r="M1230" i="2"/>
  <c r="AW32" i="6" s="1"/>
  <c r="AY32" i="6" s="1"/>
  <c r="N1229" i="2"/>
  <c r="AW114" i="6" s="1"/>
  <c r="AY114" i="6" s="1"/>
  <c r="M1229" i="2"/>
  <c r="AW31" i="6" s="1"/>
  <c r="AY31" i="6" s="1"/>
  <c r="L1188" i="2"/>
  <c r="K1188" i="2"/>
  <c r="J1188" i="2"/>
  <c r="I1188" i="2"/>
  <c r="H1188" i="2"/>
  <c r="G1188" i="2"/>
  <c r="F1188" i="2"/>
  <c r="D1188" i="2"/>
  <c r="C1188" i="2"/>
  <c r="M1187" i="2"/>
  <c r="N1187" i="2"/>
  <c r="N1186" i="2"/>
  <c r="M1186" i="2"/>
  <c r="N1183" i="2"/>
  <c r="M1183" i="2"/>
  <c r="N1182" i="2"/>
  <c r="M1182" i="2"/>
  <c r="N1181" i="2"/>
  <c r="AS106" i="6" s="1"/>
  <c r="AT106" i="6" s="1"/>
  <c r="M1181" i="2"/>
  <c r="AS23" i="6" s="1"/>
  <c r="AT23" i="6" s="1"/>
  <c r="N1180" i="2"/>
  <c r="AS105" i="6" s="1"/>
  <c r="AT105" i="6" s="1"/>
  <c r="M1180" i="2"/>
  <c r="AS22" i="6" s="1"/>
  <c r="AT22" i="6" s="1"/>
  <c r="N1179" i="2"/>
  <c r="AS104" i="6" s="1"/>
  <c r="M1179" i="2"/>
  <c r="AS21" i="6" s="1"/>
  <c r="N1178" i="2"/>
  <c r="AR115" i="6" s="1"/>
  <c r="AT115" i="6" s="1"/>
  <c r="M1178" i="2"/>
  <c r="AR32" i="6" s="1"/>
  <c r="AT32" i="6" s="1"/>
  <c r="N1177" i="2"/>
  <c r="AR114" i="6" s="1"/>
  <c r="AT114" i="6" s="1"/>
  <c r="M1177" i="2"/>
  <c r="AR31" i="6" s="1"/>
  <c r="AT31" i="6" s="1"/>
  <c r="L1136" i="2"/>
  <c r="K1136" i="2"/>
  <c r="J1136" i="2"/>
  <c r="I1136" i="2"/>
  <c r="H1136" i="2"/>
  <c r="G1136" i="2"/>
  <c r="F1136" i="2"/>
  <c r="C1136" i="2"/>
  <c r="N1135" i="2"/>
  <c r="M1135" i="2"/>
  <c r="N1134" i="2"/>
  <c r="M1134" i="2"/>
  <c r="N1131" i="2"/>
  <c r="M1131" i="2"/>
  <c r="N1130" i="2"/>
  <c r="M1130" i="2"/>
  <c r="N1129" i="2"/>
  <c r="AN106" i="6" s="1"/>
  <c r="AO106" i="6" s="1"/>
  <c r="M1129" i="2"/>
  <c r="AN23" i="6" s="1"/>
  <c r="AO23" i="6" s="1"/>
  <c r="N1128" i="2"/>
  <c r="AN105" i="6" s="1"/>
  <c r="AO105" i="6" s="1"/>
  <c r="M1128" i="2"/>
  <c r="AN22" i="6" s="1"/>
  <c r="AO22" i="6" s="1"/>
  <c r="N1127" i="2"/>
  <c r="AN104" i="6" s="1"/>
  <c r="M1127" i="2"/>
  <c r="AN21" i="6" s="1"/>
  <c r="N1126" i="2"/>
  <c r="AM115" i="6" s="1"/>
  <c r="AO115" i="6" s="1"/>
  <c r="M1126" i="2"/>
  <c r="AM32" i="6" s="1"/>
  <c r="AO32" i="6" s="1"/>
  <c r="N1125" i="2"/>
  <c r="AM114" i="6" s="1"/>
  <c r="AO114" i="6" s="1"/>
  <c r="M1125" i="2"/>
  <c r="AM31" i="6" s="1"/>
  <c r="AO31" i="6" s="1"/>
  <c r="L1084" i="2"/>
  <c r="K1084" i="2"/>
  <c r="J1084" i="2"/>
  <c r="I1084" i="2"/>
  <c r="H1084" i="2"/>
  <c r="G1084" i="2"/>
  <c r="F1084" i="2"/>
  <c r="C1084" i="2"/>
  <c r="N1083" i="2"/>
  <c r="M1083" i="2"/>
  <c r="N1082" i="2"/>
  <c r="M1082" i="2"/>
  <c r="N1079" i="2"/>
  <c r="M1079" i="2"/>
  <c r="N1078" i="2"/>
  <c r="M1078" i="2"/>
  <c r="N1077" i="2"/>
  <c r="AI106" i="6" s="1"/>
  <c r="AJ106" i="6" s="1"/>
  <c r="M1077" i="2"/>
  <c r="AI23" i="6" s="1"/>
  <c r="AJ23" i="6" s="1"/>
  <c r="N1076" i="2"/>
  <c r="AI105" i="6" s="1"/>
  <c r="AJ105" i="6" s="1"/>
  <c r="M1076" i="2"/>
  <c r="AI22" i="6" s="1"/>
  <c r="AJ22" i="6" s="1"/>
  <c r="N1075" i="2"/>
  <c r="AI104" i="6" s="1"/>
  <c r="M1075" i="2"/>
  <c r="AI21" i="6" s="1"/>
  <c r="N1074" i="2"/>
  <c r="AH115" i="6" s="1"/>
  <c r="AJ115" i="6" s="1"/>
  <c r="M1074" i="2"/>
  <c r="AH32" i="6" s="1"/>
  <c r="AJ32" i="6" s="1"/>
  <c r="N1073" i="2"/>
  <c r="AH114" i="6" s="1"/>
  <c r="AJ114" i="6" s="1"/>
  <c r="M1073" i="2"/>
  <c r="AH31" i="6" s="1"/>
  <c r="AJ31" i="6" s="1"/>
  <c r="L1032" i="2"/>
  <c r="K1032" i="2"/>
  <c r="J1032" i="2"/>
  <c r="I1032" i="2"/>
  <c r="H1032" i="2"/>
  <c r="G1032" i="2"/>
  <c r="F1032" i="2"/>
  <c r="E1032" i="2"/>
  <c r="D1032" i="2"/>
  <c r="C1032" i="2"/>
  <c r="N1031" i="2"/>
  <c r="M1031" i="2"/>
  <c r="N1030" i="2"/>
  <c r="M1030" i="2"/>
  <c r="N1027" i="2"/>
  <c r="M1027" i="2"/>
  <c r="N1026" i="2"/>
  <c r="M1026" i="2"/>
  <c r="N1025" i="2"/>
  <c r="AD106" i="6" s="1"/>
  <c r="AE106" i="6" s="1"/>
  <c r="M1025" i="2"/>
  <c r="AD23" i="6" s="1"/>
  <c r="AE23" i="6" s="1"/>
  <c r="N1024" i="2"/>
  <c r="AD105" i="6" s="1"/>
  <c r="AE105" i="6" s="1"/>
  <c r="M1024" i="2"/>
  <c r="AD22" i="6" s="1"/>
  <c r="AE22" i="6" s="1"/>
  <c r="N1023" i="2"/>
  <c r="AD104" i="6" s="1"/>
  <c r="M1023" i="2"/>
  <c r="AD21" i="6" s="1"/>
  <c r="N1022" i="2"/>
  <c r="AC115" i="6" s="1"/>
  <c r="AE115" i="6" s="1"/>
  <c r="M1022" i="2"/>
  <c r="AC32" i="6" s="1"/>
  <c r="AE32" i="6" s="1"/>
  <c r="N1021" i="2"/>
  <c r="AC114" i="6" s="1"/>
  <c r="AE114" i="6" s="1"/>
  <c r="M1021" i="2"/>
  <c r="AC31" i="6" s="1"/>
  <c r="AE31" i="6" s="1"/>
  <c r="L980" i="2"/>
  <c r="K980" i="2"/>
  <c r="J980" i="2"/>
  <c r="I980" i="2"/>
  <c r="H980" i="2"/>
  <c r="G980" i="2"/>
  <c r="F980" i="2"/>
  <c r="D980" i="2"/>
  <c r="C980" i="2"/>
  <c r="M979" i="2"/>
  <c r="N979" i="2"/>
  <c r="N978" i="2"/>
  <c r="M978" i="2"/>
  <c r="N975" i="2"/>
  <c r="M975" i="2"/>
  <c r="N974" i="2"/>
  <c r="M974" i="2"/>
  <c r="N973" i="2"/>
  <c r="Y106" i="6" s="1"/>
  <c r="Z106" i="6" s="1"/>
  <c r="M973" i="2"/>
  <c r="Y23" i="6" s="1"/>
  <c r="Z23" i="6" s="1"/>
  <c r="N972" i="2"/>
  <c r="Y105" i="6" s="1"/>
  <c r="Z105" i="6" s="1"/>
  <c r="M972" i="2"/>
  <c r="Y22" i="6" s="1"/>
  <c r="Z22" i="6" s="1"/>
  <c r="N971" i="2"/>
  <c r="Y104" i="6" s="1"/>
  <c r="M971" i="2"/>
  <c r="Y21" i="6" s="1"/>
  <c r="N970" i="2"/>
  <c r="X115" i="6" s="1"/>
  <c r="Z115" i="6" s="1"/>
  <c r="M970" i="2"/>
  <c r="X32" i="6" s="1"/>
  <c r="Z32" i="6" s="1"/>
  <c r="N969" i="2"/>
  <c r="X114" i="6" s="1"/>
  <c r="Z114" i="6" s="1"/>
  <c r="M969" i="2"/>
  <c r="L921" i="2"/>
  <c r="K921" i="2"/>
  <c r="J921" i="2"/>
  <c r="I921" i="2"/>
  <c r="H921" i="2"/>
  <c r="G921" i="2"/>
  <c r="F921" i="2"/>
  <c r="M920" i="2"/>
  <c r="N920" i="2"/>
  <c r="N919" i="2"/>
  <c r="M919" i="2"/>
  <c r="N916" i="2"/>
  <c r="M916" i="2"/>
  <c r="N915" i="2"/>
  <c r="M915" i="2"/>
  <c r="N914" i="2"/>
  <c r="T106" i="6" s="1"/>
  <c r="U106" i="6" s="1"/>
  <c r="M914" i="2"/>
  <c r="T23" i="6" s="1"/>
  <c r="U23" i="6" s="1"/>
  <c r="N913" i="2"/>
  <c r="T105" i="6" s="1"/>
  <c r="U105" i="6" s="1"/>
  <c r="M913" i="2"/>
  <c r="T22" i="6" s="1"/>
  <c r="U22" i="6" s="1"/>
  <c r="N912" i="2"/>
  <c r="T104" i="6" s="1"/>
  <c r="M912" i="2"/>
  <c r="T21" i="6" s="1"/>
  <c r="N911" i="2"/>
  <c r="S115" i="6" s="1"/>
  <c r="U115" i="6" s="1"/>
  <c r="M911" i="2"/>
  <c r="S32" i="6" s="1"/>
  <c r="U32" i="6" s="1"/>
  <c r="N910" i="2"/>
  <c r="S114" i="6" s="1"/>
  <c r="U114" i="6" s="1"/>
  <c r="M910" i="2"/>
  <c r="S31" i="6" s="1"/>
  <c r="U31" i="6" s="1"/>
  <c r="L869" i="2"/>
  <c r="K869" i="2"/>
  <c r="J869" i="2"/>
  <c r="I869" i="2"/>
  <c r="H869" i="2"/>
  <c r="G869" i="2"/>
  <c r="D869" i="2"/>
  <c r="C869" i="2"/>
  <c r="N868" i="2"/>
  <c r="M868" i="2"/>
  <c r="N867" i="2"/>
  <c r="M867" i="2"/>
  <c r="N864" i="2"/>
  <c r="M864" i="2"/>
  <c r="N863" i="2"/>
  <c r="M863" i="2"/>
  <c r="N862" i="2"/>
  <c r="O106" i="6" s="1"/>
  <c r="P106" i="6" s="1"/>
  <c r="M862" i="2"/>
  <c r="O23" i="6" s="1"/>
  <c r="P23" i="6" s="1"/>
  <c r="N861" i="2"/>
  <c r="O105" i="6" s="1"/>
  <c r="P105" i="6" s="1"/>
  <c r="M861" i="2"/>
  <c r="O22" i="6" s="1"/>
  <c r="P22" i="6" s="1"/>
  <c r="N860" i="2"/>
  <c r="O104" i="6" s="1"/>
  <c r="M860" i="2"/>
  <c r="O21" i="6" s="1"/>
  <c r="N859" i="2"/>
  <c r="N115" i="6" s="1"/>
  <c r="P115" i="6" s="1"/>
  <c r="M859" i="2"/>
  <c r="N32" i="6" s="1"/>
  <c r="P32" i="6" s="1"/>
  <c r="N858" i="2"/>
  <c r="N114" i="6" s="1"/>
  <c r="P114" i="6" s="1"/>
  <c r="M858" i="2"/>
  <c r="N31" i="6" s="1"/>
  <c r="P31" i="6" s="1"/>
  <c r="L817" i="2"/>
  <c r="K817" i="2"/>
  <c r="J817" i="2"/>
  <c r="I817" i="2"/>
  <c r="H817" i="2"/>
  <c r="G817" i="2"/>
  <c r="D817" i="2"/>
  <c r="C817" i="2"/>
  <c r="M816" i="2"/>
  <c r="N816" i="2"/>
  <c r="N815" i="2"/>
  <c r="M815" i="2"/>
  <c r="N812" i="2"/>
  <c r="M812" i="2"/>
  <c r="N811" i="2"/>
  <c r="M811" i="2"/>
  <c r="N810" i="2"/>
  <c r="J106" i="6" s="1"/>
  <c r="K106" i="6" s="1"/>
  <c r="M810" i="2"/>
  <c r="J23" i="6" s="1"/>
  <c r="K23" i="6" s="1"/>
  <c r="N809" i="2"/>
  <c r="J105" i="6" s="1"/>
  <c r="K105" i="6" s="1"/>
  <c r="M809" i="2"/>
  <c r="J22" i="6" s="1"/>
  <c r="K22" i="6" s="1"/>
  <c r="N808" i="2"/>
  <c r="J104" i="6" s="1"/>
  <c r="M808" i="2"/>
  <c r="J21" i="6" s="1"/>
  <c r="N807" i="2"/>
  <c r="I115" i="6" s="1"/>
  <c r="K115" i="6" s="1"/>
  <c r="M807" i="2"/>
  <c r="I32" i="6" s="1"/>
  <c r="K32" i="6" s="1"/>
  <c r="N806" i="2"/>
  <c r="I114" i="6" s="1"/>
  <c r="K114" i="6" s="1"/>
  <c r="M806" i="2"/>
  <c r="I31" i="6" s="1"/>
  <c r="K31" i="6" s="1"/>
  <c r="L765" i="2"/>
  <c r="K765" i="2"/>
  <c r="J765" i="2"/>
  <c r="I765" i="2"/>
  <c r="H765" i="2"/>
  <c r="G765" i="2"/>
  <c r="F765" i="2"/>
  <c r="D765" i="2"/>
  <c r="C765" i="2"/>
  <c r="M764" i="2"/>
  <c r="N764" i="2"/>
  <c r="N763" i="2"/>
  <c r="M763" i="2"/>
  <c r="N760" i="2"/>
  <c r="M760" i="2"/>
  <c r="N759" i="2"/>
  <c r="M759" i="2"/>
  <c r="N758" i="2"/>
  <c r="E106" i="6" s="1"/>
  <c r="F106" i="6" s="1"/>
  <c r="M758" i="2"/>
  <c r="E23" i="6" s="1"/>
  <c r="F23" i="6" s="1"/>
  <c r="N757" i="2"/>
  <c r="E105" i="6" s="1"/>
  <c r="F105" i="6" s="1"/>
  <c r="M757" i="2"/>
  <c r="E22" i="6" s="1"/>
  <c r="F22" i="6" s="1"/>
  <c r="N756" i="2"/>
  <c r="E104" i="6" s="1"/>
  <c r="M756" i="2"/>
  <c r="E21" i="6" s="1"/>
  <c r="N755" i="2"/>
  <c r="D115" i="6" s="1"/>
  <c r="F115" i="6" s="1"/>
  <c r="M755" i="2"/>
  <c r="D32" i="6" s="1"/>
  <c r="F32" i="6" s="1"/>
  <c r="N754" i="2"/>
  <c r="D114" i="6" s="1"/>
  <c r="F114" i="6" s="1"/>
  <c r="M754" i="2"/>
  <c r="D31" i="6" s="1"/>
  <c r="F31" i="6" s="1"/>
  <c r="L713" i="2"/>
  <c r="K713" i="2"/>
  <c r="J713" i="2"/>
  <c r="M712" i="2"/>
  <c r="N712" i="2"/>
  <c r="N711" i="2"/>
  <c r="M711" i="2"/>
  <c r="N708" i="2"/>
  <c r="M708" i="2"/>
  <c r="N707" i="2"/>
  <c r="M707" i="2"/>
  <c r="N706" i="2"/>
  <c r="BM90" i="6" s="1"/>
  <c r="BN90" i="6" s="1"/>
  <c r="M706" i="2"/>
  <c r="BM7" i="6" s="1"/>
  <c r="BN7" i="6" s="1"/>
  <c r="N705" i="2"/>
  <c r="BM89" i="6" s="1"/>
  <c r="BN89" i="6" s="1"/>
  <c r="M705" i="2"/>
  <c r="BM6" i="6" s="1"/>
  <c r="BN6" i="6" s="1"/>
  <c r="N704" i="2"/>
  <c r="BM88" i="6" s="1"/>
  <c r="M704" i="2"/>
  <c r="BM5" i="6" s="1"/>
  <c r="N703" i="2"/>
  <c r="BL99" i="6" s="1"/>
  <c r="BN99" i="6" s="1"/>
  <c r="M703" i="2"/>
  <c r="BL16" i="6" s="1"/>
  <c r="BN16" i="6" s="1"/>
  <c r="M717" i="2"/>
  <c r="O717" i="2" s="1"/>
  <c r="N717" i="2"/>
  <c r="P717" i="2" s="1"/>
  <c r="M718" i="2"/>
  <c r="O718" i="2" s="1"/>
  <c r="N718" i="2"/>
  <c r="P718" i="2" s="1"/>
  <c r="M719" i="2"/>
  <c r="O719" i="2" s="1"/>
  <c r="N719" i="2"/>
  <c r="P719" i="2" s="1"/>
  <c r="M720" i="2"/>
  <c r="O720" i="2" s="1"/>
  <c r="N720" i="2"/>
  <c r="P720" i="2" s="1"/>
  <c r="M721" i="2"/>
  <c r="O721" i="2" s="1"/>
  <c r="N721" i="2"/>
  <c r="P721" i="2" s="1"/>
  <c r="M722" i="2"/>
  <c r="O722" i="2" s="1"/>
  <c r="N722" i="2"/>
  <c r="P722" i="2" s="1"/>
  <c r="M723" i="2"/>
  <c r="O723" i="2" s="1"/>
  <c r="N723" i="2"/>
  <c r="P723" i="2" s="1"/>
  <c r="M724" i="2"/>
  <c r="O724" i="2" s="1"/>
  <c r="N724" i="2"/>
  <c r="P724" i="2" s="1"/>
  <c r="L633" i="2"/>
  <c r="K633" i="2"/>
  <c r="J633" i="2"/>
  <c r="I633" i="2"/>
  <c r="H633" i="2"/>
  <c r="G633" i="2"/>
  <c r="F633" i="2"/>
  <c r="E633" i="2"/>
  <c r="M632" i="2"/>
  <c r="O632" i="2" s="1"/>
  <c r="N632" i="2"/>
  <c r="P632" i="2" s="1"/>
  <c r="N625" i="2"/>
  <c r="M625" i="2"/>
  <c r="N624" i="2"/>
  <c r="M624" i="2"/>
  <c r="N623" i="2"/>
  <c r="M623" i="2"/>
  <c r="N622" i="2"/>
  <c r="M622" i="2"/>
  <c r="L545" i="2"/>
  <c r="K545" i="2"/>
  <c r="J545" i="2"/>
  <c r="I545" i="2"/>
  <c r="H545" i="2"/>
  <c r="G545" i="2"/>
  <c r="F545" i="2"/>
  <c r="D545" i="2"/>
  <c r="C545" i="2"/>
  <c r="N544" i="2"/>
  <c r="P544" i="2" s="1"/>
  <c r="M544" i="2"/>
  <c r="O544" i="2" s="1"/>
  <c r="N543" i="2"/>
  <c r="P543" i="2" s="1"/>
  <c r="M543" i="2"/>
  <c r="O543" i="2" s="1"/>
  <c r="N540" i="2"/>
  <c r="P540" i="2" s="1"/>
  <c r="M540" i="2"/>
  <c r="O540" i="2" s="1"/>
  <c r="N539" i="2"/>
  <c r="P539" i="2" s="1"/>
  <c r="M539" i="2"/>
  <c r="O539" i="2" s="1"/>
  <c r="N538" i="2"/>
  <c r="M538" i="2"/>
  <c r="N537" i="2"/>
  <c r="M537" i="2"/>
  <c r="N536" i="2"/>
  <c r="M536" i="2"/>
  <c r="N535" i="2"/>
  <c r="M535" i="2"/>
  <c r="N534" i="2"/>
  <c r="M534" i="2"/>
  <c r="L454" i="2"/>
  <c r="K454" i="2"/>
  <c r="J454" i="2"/>
  <c r="I454" i="2"/>
  <c r="H454" i="2"/>
  <c r="G454" i="2"/>
  <c r="F454" i="2"/>
  <c r="E454" i="2"/>
  <c r="M453" i="2"/>
  <c r="N453" i="2"/>
  <c r="N452" i="2"/>
  <c r="M452" i="2"/>
  <c r="N449" i="2"/>
  <c r="M449" i="2"/>
  <c r="N448" i="2"/>
  <c r="M448" i="2"/>
  <c r="N447" i="2"/>
  <c r="AN90" i="6" s="1"/>
  <c r="AO90" i="6" s="1"/>
  <c r="M447" i="2"/>
  <c r="AN7" i="6" s="1"/>
  <c r="AO7" i="6" s="1"/>
  <c r="N446" i="2"/>
  <c r="AN89" i="6" s="1"/>
  <c r="AO89" i="6" s="1"/>
  <c r="M446" i="2"/>
  <c r="AN6" i="6" s="1"/>
  <c r="AO6" i="6" s="1"/>
  <c r="N445" i="2"/>
  <c r="AN88" i="6" s="1"/>
  <c r="M445" i="2"/>
  <c r="AN5" i="6" s="1"/>
  <c r="N444" i="2"/>
  <c r="AM99" i="6" s="1"/>
  <c r="AO99" i="6" s="1"/>
  <c r="M444" i="2"/>
  <c r="AM16" i="6" s="1"/>
  <c r="AO16" i="6" s="1"/>
  <c r="N443" i="2"/>
  <c r="AM98" i="6" s="1"/>
  <c r="AO98" i="6" s="1"/>
  <c r="M443" i="2"/>
  <c r="AM15" i="6" s="1"/>
  <c r="AO15" i="6" s="1"/>
  <c r="L342" i="2"/>
  <c r="K342" i="2"/>
  <c r="J342" i="2"/>
  <c r="I342" i="2"/>
  <c r="H342" i="2"/>
  <c r="G342" i="2"/>
  <c r="F342" i="2"/>
  <c r="E342" i="2"/>
  <c r="D342" i="2"/>
  <c r="C342" i="2"/>
  <c r="N341" i="2"/>
  <c r="M341" i="2"/>
  <c r="N340" i="2"/>
  <c r="M340" i="2"/>
  <c r="N337" i="2"/>
  <c r="M337" i="2"/>
  <c r="N336" i="2"/>
  <c r="M336" i="2"/>
  <c r="N335" i="2"/>
  <c r="AD90" i="6" s="1"/>
  <c r="M335" i="2"/>
  <c r="AD7" i="6" s="1"/>
  <c r="N334" i="2"/>
  <c r="AD89" i="6" s="1"/>
  <c r="M334" i="2"/>
  <c r="AD6" i="6" s="1"/>
  <c r="N333" i="2"/>
  <c r="AD88" i="6" s="1"/>
  <c r="M333" i="2"/>
  <c r="AD5" i="6" s="1"/>
  <c r="N332" i="2"/>
  <c r="AC99" i="6" s="1"/>
  <c r="AE99" i="6" s="1"/>
  <c r="M332" i="2"/>
  <c r="AC16" i="6" s="1"/>
  <c r="AE16" i="6" s="1"/>
  <c r="N331" i="2"/>
  <c r="AC98" i="6" s="1"/>
  <c r="AE98" i="6" s="1"/>
  <c r="M331" i="2"/>
  <c r="AC15" i="6" s="1"/>
  <c r="M214" i="2"/>
  <c r="N214" i="2"/>
  <c r="S96" i="6" s="1"/>
  <c r="U96" i="6" s="1"/>
  <c r="N213" i="2"/>
  <c r="S95" i="6" s="1"/>
  <c r="U95" i="6" s="1"/>
  <c r="M213" i="2"/>
  <c r="S12" i="6" s="1"/>
  <c r="U12" i="6" s="1"/>
  <c r="N212" i="2"/>
  <c r="S94" i="6" s="1"/>
  <c r="U94" i="6" s="1"/>
  <c r="M212" i="2"/>
  <c r="S11" i="6" s="1"/>
  <c r="U11" i="6" s="1"/>
  <c r="N211" i="2"/>
  <c r="S93" i="6" s="1"/>
  <c r="U93" i="6" s="1"/>
  <c r="M211" i="2"/>
  <c r="S10" i="6" s="1"/>
  <c r="U10" i="6" s="1"/>
  <c r="N210" i="2"/>
  <c r="S92" i="6" s="1"/>
  <c r="U92" i="6" s="1"/>
  <c r="M210" i="2"/>
  <c r="S9" i="6" s="1"/>
  <c r="U9" i="6" s="1"/>
  <c r="N209" i="2"/>
  <c r="S91" i="6" s="1"/>
  <c r="U91" i="6" s="1"/>
  <c r="M209" i="2"/>
  <c r="S8" i="6" s="1"/>
  <c r="U8" i="6" s="1"/>
  <c r="N208" i="2"/>
  <c r="S90" i="6" s="1"/>
  <c r="U90" i="6" s="1"/>
  <c r="M208" i="2"/>
  <c r="S7" i="6" s="1"/>
  <c r="U7" i="6" s="1"/>
  <c r="N207" i="2"/>
  <c r="S89" i="6" s="1"/>
  <c r="U89" i="6" s="1"/>
  <c r="M207" i="2"/>
  <c r="S6" i="6" s="1"/>
  <c r="U6" i="6" s="1"/>
  <c r="N206" i="2"/>
  <c r="M206" i="2"/>
  <c r="S5" i="6" s="1"/>
  <c r="U5" i="6" s="1"/>
  <c r="N205" i="2"/>
  <c r="M205" i="2"/>
  <c r="R16" i="6" s="1"/>
  <c r="N204" i="2"/>
  <c r="M204" i="2"/>
  <c r="R15" i="6" s="1"/>
  <c r="N102" i="2"/>
  <c r="I96" i="6" s="1"/>
  <c r="K96" i="6" s="1"/>
  <c r="M102" i="2"/>
  <c r="N101" i="2"/>
  <c r="I95" i="6" s="1"/>
  <c r="K95" i="6" s="1"/>
  <c r="M101" i="2"/>
  <c r="M100" i="2"/>
  <c r="N99" i="2"/>
  <c r="I93" i="6" s="1"/>
  <c r="K93" i="6" s="1"/>
  <c r="M99" i="2"/>
  <c r="N98" i="2"/>
  <c r="I92" i="6" s="1"/>
  <c r="K92" i="6" s="1"/>
  <c r="M98" i="2"/>
  <c r="N97" i="2"/>
  <c r="I91" i="6" s="1"/>
  <c r="K91" i="6" s="1"/>
  <c r="M97" i="2"/>
  <c r="N96" i="2"/>
  <c r="I90" i="6" s="1"/>
  <c r="K90" i="6" s="1"/>
  <c r="M96" i="2"/>
  <c r="N95" i="2"/>
  <c r="I89" i="6" s="1"/>
  <c r="K89" i="6" s="1"/>
  <c r="M95" i="2"/>
  <c r="N94" i="2"/>
  <c r="M94" i="2"/>
  <c r="N93" i="2"/>
  <c r="M93" i="2"/>
  <c r="N92" i="2"/>
  <c r="M92" i="2"/>
  <c r="O538" i="2" l="1"/>
  <c r="AW7" i="6"/>
  <c r="AX7" i="6" s="1"/>
  <c r="P538" i="2"/>
  <c r="AW90" i="6"/>
  <c r="AX90" i="6" s="1"/>
  <c r="AE7" i="6"/>
  <c r="AK71" i="6"/>
  <c r="AE90" i="6"/>
  <c r="P625" i="2"/>
  <c r="BF89" i="6"/>
  <c r="BG89" i="6" s="1"/>
  <c r="O625" i="2"/>
  <c r="BF6" i="6"/>
  <c r="BG6" i="6" s="1"/>
  <c r="O537" i="2"/>
  <c r="AW6" i="6"/>
  <c r="AX6" i="6" s="1"/>
  <c r="P537" i="2"/>
  <c r="AW89" i="6"/>
  <c r="AX89" i="6" s="1"/>
  <c r="AE89" i="6"/>
  <c r="AE6" i="6"/>
  <c r="AB148" i="6"/>
  <c r="AC136" i="6"/>
  <c r="AB65" i="6"/>
  <c r="AC53" i="6"/>
  <c r="X65" i="6"/>
  <c r="Y53" i="6"/>
  <c r="X148" i="6"/>
  <c r="Y136" i="6"/>
  <c r="T148" i="6"/>
  <c r="U136" i="6"/>
  <c r="T65" i="6"/>
  <c r="U53" i="6"/>
  <c r="P65" i="6"/>
  <c r="Q53" i="6"/>
  <c r="P148" i="6"/>
  <c r="Q136" i="6"/>
  <c r="L148" i="6"/>
  <c r="M136" i="6"/>
  <c r="M53" i="6"/>
  <c r="L65" i="6"/>
  <c r="H65" i="6"/>
  <c r="I53" i="6"/>
  <c r="H148" i="6"/>
  <c r="I136" i="6"/>
  <c r="E53" i="6"/>
  <c r="D65" i="6"/>
  <c r="BK49" i="6"/>
  <c r="BL37" i="6"/>
  <c r="BK132" i="6"/>
  <c r="BL120" i="6"/>
  <c r="BG49" i="6"/>
  <c r="BH37" i="6"/>
  <c r="BG132" i="6"/>
  <c r="BH120" i="6"/>
  <c r="BC132" i="6"/>
  <c r="BD120" i="6"/>
  <c r="BC49" i="6"/>
  <c r="BD37" i="6"/>
  <c r="AX132" i="6"/>
  <c r="AY120" i="6"/>
  <c r="AX49" i="6"/>
  <c r="AY37" i="6"/>
  <c r="AS49" i="6"/>
  <c r="AT37" i="6"/>
  <c r="AS132" i="6"/>
  <c r="AT120" i="6"/>
  <c r="AN49" i="6"/>
  <c r="AO37" i="6"/>
  <c r="AN132" i="6"/>
  <c r="AO120" i="6"/>
  <c r="AI49" i="6"/>
  <c r="AJ37" i="6"/>
  <c r="AI132" i="6"/>
  <c r="AJ120" i="6"/>
  <c r="AD49" i="6"/>
  <c r="AE37" i="6"/>
  <c r="AD132" i="6"/>
  <c r="AE120" i="6"/>
  <c r="Y49" i="6"/>
  <c r="Z37" i="6"/>
  <c r="Y132" i="6"/>
  <c r="Z120" i="6"/>
  <c r="T132" i="6"/>
  <c r="U120" i="6"/>
  <c r="T49" i="6"/>
  <c r="U37" i="6"/>
  <c r="O49" i="6"/>
  <c r="P37" i="6"/>
  <c r="O132" i="6"/>
  <c r="P120" i="6"/>
  <c r="J49" i="6"/>
  <c r="K37" i="6"/>
  <c r="J132" i="6"/>
  <c r="K120" i="6"/>
  <c r="E49" i="6"/>
  <c r="F37" i="6"/>
  <c r="E132" i="6"/>
  <c r="F120" i="6"/>
  <c r="BC33" i="6"/>
  <c r="BD21" i="6"/>
  <c r="BC116" i="6"/>
  <c r="BD104" i="6"/>
  <c r="AX116" i="6"/>
  <c r="AY104" i="6"/>
  <c r="AX33" i="6"/>
  <c r="AY21" i="6"/>
  <c r="AS33" i="6"/>
  <c r="AT21" i="6"/>
  <c r="AS116" i="6"/>
  <c r="AT104" i="6"/>
  <c r="AN116" i="6"/>
  <c r="AO104" i="6"/>
  <c r="AN33" i="6"/>
  <c r="AO21" i="6"/>
  <c r="AI33" i="6"/>
  <c r="AJ21" i="6"/>
  <c r="AI116" i="6"/>
  <c r="AJ104" i="6"/>
  <c r="AD33" i="6"/>
  <c r="AE21" i="6"/>
  <c r="AD116" i="6"/>
  <c r="AE104" i="6"/>
  <c r="Y33" i="6"/>
  <c r="Z21" i="6"/>
  <c r="Y116" i="6"/>
  <c r="Z104" i="6"/>
  <c r="T33" i="6"/>
  <c r="U21" i="6"/>
  <c r="T116" i="6"/>
  <c r="U104" i="6"/>
  <c r="O116" i="6"/>
  <c r="P104" i="6"/>
  <c r="O33" i="6"/>
  <c r="P21" i="6"/>
  <c r="J33" i="6"/>
  <c r="K21" i="6"/>
  <c r="J116" i="6"/>
  <c r="K104" i="6"/>
  <c r="E33" i="6"/>
  <c r="F21" i="6"/>
  <c r="E116" i="6"/>
  <c r="F104" i="6"/>
  <c r="BM17" i="6"/>
  <c r="BN5" i="6"/>
  <c r="BM100" i="6"/>
  <c r="BN88" i="6"/>
  <c r="O624" i="2"/>
  <c r="BF5" i="6"/>
  <c r="P624" i="2"/>
  <c r="BF88" i="6"/>
  <c r="O536" i="2"/>
  <c r="AW5" i="6"/>
  <c r="P536" i="2"/>
  <c r="AW88" i="6"/>
  <c r="AN100" i="6"/>
  <c r="AO88" i="6"/>
  <c r="AN17" i="6"/>
  <c r="AO5" i="6"/>
  <c r="AD100" i="6"/>
  <c r="AE88" i="6"/>
  <c r="AD17" i="6"/>
  <c r="AE5" i="6"/>
  <c r="AC48" i="6"/>
  <c r="AE48" i="6" s="1"/>
  <c r="C147" i="6"/>
  <c r="E147" i="6" s="1"/>
  <c r="W64" i="6"/>
  <c r="Y64" i="6" s="1"/>
  <c r="W63" i="6"/>
  <c r="Y63" i="6" s="1"/>
  <c r="P623" i="2"/>
  <c r="BE99" i="6"/>
  <c r="BG99" i="6" s="1"/>
  <c r="P622" i="2"/>
  <c r="BE98" i="6"/>
  <c r="BG98" i="6" s="1"/>
  <c r="P535" i="2"/>
  <c r="AV99" i="6"/>
  <c r="AX99" i="6" s="1"/>
  <c r="P534" i="2"/>
  <c r="AV98" i="6"/>
  <c r="AX98" i="6" s="1"/>
  <c r="S63" i="6"/>
  <c r="U63" i="6" s="1"/>
  <c r="AV15" i="6"/>
  <c r="AX15" i="6" s="1"/>
  <c r="O534" i="2"/>
  <c r="BE16" i="6"/>
  <c r="BG16" i="6" s="1"/>
  <c r="O623" i="2"/>
  <c r="AV16" i="6"/>
  <c r="AX16" i="6" s="1"/>
  <c r="O535" i="2"/>
  <c r="BE15" i="6"/>
  <c r="BG15" i="6" s="1"/>
  <c r="O622" i="2"/>
  <c r="O2255" i="2"/>
  <c r="P2255" i="2"/>
  <c r="O2080" i="2"/>
  <c r="P2252" i="2"/>
  <c r="P2210" i="2"/>
  <c r="P2209" i="2"/>
  <c r="O2251" i="2"/>
  <c r="O2116" i="2"/>
  <c r="P2208" i="2"/>
  <c r="O2250" i="2"/>
  <c r="P2250" i="2"/>
  <c r="P447" i="2"/>
  <c r="O810" i="2"/>
  <c r="O916" i="2"/>
  <c r="P973" i="2"/>
  <c r="O1030" i="2"/>
  <c r="O1182" i="2"/>
  <c r="P1306" i="2"/>
  <c r="P1457" i="2"/>
  <c r="O1510" i="2"/>
  <c r="P1627" i="2"/>
  <c r="P97" i="2"/>
  <c r="P99" i="2"/>
  <c r="P101" i="2"/>
  <c r="P209" i="2"/>
  <c r="P211" i="2"/>
  <c r="P213" i="2"/>
  <c r="O335" i="2"/>
  <c r="O337" i="2"/>
  <c r="O341" i="2"/>
  <c r="O447" i="2"/>
  <c r="O449" i="2"/>
  <c r="P453" i="2"/>
  <c r="P707" i="2"/>
  <c r="P711" i="2"/>
  <c r="O759" i="2"/>
  <c r="O763" i="2"/>
  <c r="P811" i="2"/>
  <c r="P815" i="2"/>
  <c r="P862" i="2"/>
  <c r="P864" i="2"/>
  <c r="P868" i="2"/>
  <c r="P915" i="2"/>
  <c r="P919" i="2"/>
  <c r="O973" i="2"/>
  <c r="O975" i="2"/>
  <c r="P979" i="2"/>
  <c r="P1025" i="2"/>
  <c r="P1027" i="2"/>
  <c r="P1031" i="2"/>
  <c r="P1077" i="2"/>
  <c r="P1079" i="2"/>
  <c r="P1083" i="2"/>
  <c r="P1130" i="2"/>
  <c r="P1134" i="2"/>
  <c r="P1181" i="2"/>
  <c r="P1183" i="2"/>
  <c r="O1187" i="2"/>
  <c r="O1234" i="2"/>
  <c r="O1238" i="2"/>
  <c r="O1300" i="2"/>
  <c r="O1302" i="2"/>
  <c r="O1306" i="2"/>
  <c r="P1352" i="2"/>
  <c r="P1354" i="2"/>
  <c r="P1358" i="2"/>
  <c r="O1405" i="2"/>
  <c r="O1409" i="2"/>
  <c r="O1457" i="2"/>
  <c r="O1461" i="2"/>
  <c r="P1509" i="2"/>
  <c r="P1513" i="2"/>
  <c r="O1560" i="2"/>
  <c r="O1562" i="2"/>
  <c r="P1566" i="2"/>
  <c r="O1627" i="2"/>
  <c r="O1629" i="2"/>
  <c r="O1633" i="2"/>
  <c r="P1679" i="2"/>
  <c r="P1681" i="2"/>
  <c r="O1685" i="2"/>
  <c r="O1732" i="2"/>
  <c r="O1736" i="2"/>
  <c r="O1783" i="2"/>
  <c r="O1785" i="2"/>
  <c r="O1789" i="2"/>
  <c r="P1823" i="2"/>
  <c r="P1825" i="2"/>
  <c r="O1829" i="2"/>
  <c r="P1863" i="2"/>
  <c r="P1865" i="2"/>
  <c r="O1869" i="2"/>
  <c r="O1904" i="2"/>
  <c r="B81" i="6"/>
  <c r="D81" i="6" s="1"/>
  <c r="O1908" i="2"/>
  <c r="O1943" i="2"/>
  <c r="O1945" i="2"/>
  <c r="O1949" i="2"/>
  <c r="P1995" i="2"/>
  <c r="P1997" i="2"/>
  <c r="P2001" i="2"/>
  <c r="O2036" i="2"/>
  <c r="O2040" i="2"/>
  <c r="P2076" i="2"/>
  <c r="P2080" i="2"/>
  <c r="P2116" i="2"/>
  <c r="O2117" i="2"/>
  <c r="P2121" i="2"/>
  <c r="O2156" i="2"/>
  <c r="O2161" i="2"/>
  <c r="O2208" i="2"/>
  <c r="O2209" i="2"/>
  <c r="O2210" i="2"/>
  <c r="P2213" i="2"/>
  <c r="P2251" i="2"/>
  <c r="O2252" i="2"/>
  <c r="O98" i="2"/>
  <c r="I9" i="6"/>
  <c r="K9" i="6" s="1"/>
  <c r="O102" i="2"/>
  <c r="I13" i="6"/>
  <c r="K13" i="6" s="1"/>
  <c r="O208" i="2"/>
  <c r="O212" i="2"/>
  <c r="P335" i="2"/>
  <c r="P449" i="2"/>
  <c r="O453" i="2"/>
  <c r="O863" i="2"/>
  <c r="O867" i="2"/>
  <c r="P920" i="2"/>
  <c r="O1026" i="2"/>
  <c r="O1078" i="2"/>
  <c r="O1131" i="2"/>
  <c r="P1300" i="2"/>
  <c r="O1357" i="2"/>
  <c r="P1409" i="2"/>
  <c r="O1508" i="2"/>
  <c r="P1560" i="2"/>
  <c r="O1566" i="2"/>
  <c r="P1633" i="2"/>
  <c r="O1680" i="2"/>
  <c r="O1684" i="2"/>
  <c r="P1732" i="2"/>
  <c r="P1736" i="2"/>
  <c r="P1783" i="2"/>
  <c r="P1785" i="2"/>
  <c r="P1789" i="2"/>
  <c r="O1824" i="2"/>
  <c r="O1828" i="2"/>
  <c r="O1864" i="2"/>
  <c r="O1868" i="2"/>
  <c r="P1904" i="2"/>
  <c r="P1908" i="2"/>
  <c r="P1943" i="2"/>
  <c r="P1945" i="2"/>
  <c r="P1949" i="2"/>
  <c r="O1996" i="2"/>
  <c r="O2000" i="2"/>
  <c r="P2036" i="2"/>
  <c r="P2040" i="2"/>
  <c r="O2075" i="2"/>
  <c r="O2077" i="2"/>
  <c r="O2115" i="2"/>
  <c r="O2120" i="2"/>
  <c r="P2156" i="2"/>
  <c r="P2161" i="2"/>
  <c r="O2214" i="2"/>
  <c r="O706" i="2"/>
  <c r="P712" i="2"/>
  <c r="P759" i="2"/>
  <c r="O812" i="2"/>
  <c r="O914" i="2"/>
  <c r="P975" i="2"/>
  <c r="O1129" i="2"/>
  <c r="O1135" i="2"/>
  <c r="O1186" i="2"/>
  <c r="P1238" i="2"/>
  <c r="O1353" i="2"/>
  <c r="P1405" i="2"/>
  <c r="P1461" i="2"/>
  <c r="P1514" i="2"/>
  <c r="P1562" i="2"/>
  <c r="P96" i="2"/>
  <c r="P98" i="2"/>
  <c r="P102" i="2"/>
  <c r="P208" i="2"/>
  <c r="P210" i="2"/>
  <c r="P212" i="2"/>
  <c r="O214" i="2"/>
  <c r="S13" i="6"/>
  <c r="U13" i="6" s="1"/>
  <c r="O336" i="2"/>
  <c r="O340" i="2"/>
  <c r="O448" i="2"/>
  <c r="O452" i="2"/>
  <c r="P706" i="2"/>
  <c r="P708" i="2"/>
  <c r="O712" i="2"/>
  <c r="O758" i="2"/>
  <c r="O760" i="2"/>
  <c r="P764" i="2"/>
  <c r="P810" i="2"/>
  <c r="P812" i="2"/>
  <c r="O816" i="2"/>
  <c r="P863" i="2"/>
  <c r="P867" i="2"/>
  <c r="P914" i="2"/>
  <c r="P916" i="2"/>
  <c r="O920" i="2"/>
  <c r="O974" i="2"/>
  <c r="O978" i="2"/>
  <c r="P1026" i="2"/>
  <c r="P1030" i="2"/>
  <c r="P1078" i="2"/>
  <c r="P1082" i="2"/>
  <c r="P1129" i="2"/>
  <c r="P1131" i="2"/>
  <c r="P1135" i="2"/>
  <c r="P1182" i="2"/>
  <c r="P1186" i="2"/>
  <c r="O1233" i="2"/>
  <c r="O1235" i="2"/>
  <c r="O1239" i="2"/>
  <c r="O1301" i="2"/>
  <c r="O1305" i="2"/>
  <c r="P1353" i="2"/>
  <c r="P1357" i="2"/>
  <c r="O1404" i="2"/>
  <c r="O1406" i="2"/>
  <c r="P1410" i="2"/>
  <c r="O1456" i="2"/>
  <c r="O1458" i="2"/>
  <c r="P1462" i="2"/>
  <c r="P1508" i="2"/>
  <c r="P1510" i="2"/>
  <c r="O1514" i="2"/>
  <c r="O1561" i="2"/>
  <c r="O1565" i="2"/>
  <c r="O1628" i="2"/>
  <c r="O1632" i="2"/>
  <c r="P1680" i="2"/>
  <c r="P1684" i="2"/>
  <c r="O1731" i="2"/>
  <c r="O1733" i="2"/>
  <c r="O1737" i="2"/>
  <c r="O1784" i="2"/>
  <c r="O1788" i="2"/>
  <c r="P1824" i="2"/>
  <c r="P1828" i="2"/>
  <c r="P1864" i="2"/>
  <c r="P1868" i="2"/>
  <c r="O1903" i="2"/>
  <c r="O1905" i="2"/>
  <c r="P1909" i="2"/>
  <c r="O1944" i="2"/>
  <c r="O1948" i="2"/>
  <c r="P1996" i="2"/>
  <c r="P2000" i="2"/>
  <c r="O2035" i="2"/>
  <c r="O2037" i="2"/>
  <c r="P2041" i="2"/>
  <c r="P2075" i="2"/>
  <c r="P2077" i="2"/>
  <c r="P2081" i="2"/>
  <c r="P2115" i="2"/>
  <c r="P2120" i="2"/>
  <c r="P2155" i="2"/>
  <c r="O2157" i="2"/>
  <c r="O2160" i="2"/>
  <c r="P2214" i="2"/>
  <c r="O2256" i="2"/>
  <c r="O96" i="2"/>
  <c r="I7" i="6"/>
  <c r="K7" i="6" s="1"/>
  <c r="O100" i="2"/>
  <c r="I11" i="6"/>
  <c r="K11" i="6" s="1"/>
  <c r="O210" i="2"/>
  <c r="P214" i="2"/>
  <c r="P337" i="2"/>
  <c r="P341" i="2"/>
  <c r="O708" i="2"/>
  <c r="P763" i="2"/>
  <c r="P816" i="2"/>
  <c r="O979" i="2"/>
  <c r="O1082" i="2"/>
  <c r="P1234" i="2"/>
  <c r="P1302" i="2"/>
  <c r="P1629" i="2"/>
  <c r="O97" i="2"/>
  <c r="I8" i="6"/>
  <c r="K8" i="6" s="1"/>
  <c r="O99" i="2"/>
  <c r="I10" i="6"/>
  <c r="K10" i="6" s="1"/>
  <c r="O101" i="2"/>
  <c r="I12" i="6"/>
  <c r="K12" i="6" s="1"/>
  <c r="O209" i="2"/>
  <c r="O211" i="2"/>
  <c r="O213" i="2"/>
  <c r="P336" i="2"/>
  <c r="P340" i="2"/>
  <c r="P448" i="2"/>
  <c r="P452" i="2"/>
  <c r="O707" i="2"/>
  <c r="O711" i="2"/>
  <c r="P758" i="2"/>
  <c r="P760" i="2"/>
  <c r="O764" i="2"/>
  <c r="O811" i="2"/>
  <c r="O815" i="2"/>
  <c r="O862" i="2"/>
  <c r="O864" i="2"/>
  <c r="O868" i="2"/>
  <c r="O915" i="2"/>
  <c r="O919" i="2"/>
  <c r="P974" i="2"/>
  <c r="P978" i="2"/>
  <c r="O1025" i="2"/>
  <c r="O1027" i="2"/>
  <c r="O1031" i="2"/>
  <c r="O1077" i="2"/>
  <c r="O1079" i="2"/>
  <c r="O1083" i="2"/>
  <c r="O1130" i="2"/>
  <c r="O1134" i="2"/>
  <c r="O1181" i="2"/>
  <c r="O1183" i="2"/>
  <c r="P1187" i="2"/>
  <c r="P1233" i="2"/>
  <c r="P1235" i="2"/>
  <c r="P1239" i="2"/>
  <c r="P1301" i="2"/>
  <c r="P1305" i="2"/>
  <c r="O1352" i="2"/>
  <c r="O1354" i="2"/>
  <c r="O1358" i="2"/>
  <c r="P1404" i="2"/>
  <c r="P1406" i="2"/>
  <c r="O1410" i="2"/>
  <c r="P1456" i="2"/>
  <c r="P1458" i="2"/>
  <c r="O1462" i="2"/>
  <c r="O1509" i="2"/>
  <c r="O1513" i="2"/>
  <c r="P1561" i="2"/>
  <c r="P1565" i="2"/>
  <c r="P1628" i="2"/>
  <c r="P1632" i="2"/>
  <c r="O1679" i="2"/>
  <c r="O1681" i="2"/>
  <c r="P1685" i="2"/>
  <c r="P1731" i="2"/>
  <c r="P1733" i="2"/>
  <c r="P1737" i="2"/>
  <c r="P1784" i="2"/>
  <c r="P1788" i="2"/>
  <c r="O1823" i="2"/>
  <c r="O1825" i="2"/>
  <c r="P1829" i="2"/>
  <c r="O1863" i="2"/>
  <c r="O1865" i="2"/>
  <c r="P1869" i="2"/>
  <c r="P1903" i="2"/>
  <c r="P1905" i="2"/>
  <c r="O1909" i="2"/>
  <c r="P1944" i="2"/>
  <c r="P1948" i="2"/>
  <c r="O1995" i="2"/>
  <c r="O1997" i="2"/>
  <c r="O2001" i="2"/>
  <c r="P2035" i="2"/>
  <c r="P2037" i="2"/>
  <c r="O2041" i="2"/>
  <c r="O2076" i="2"/>
  <c r="O2081" i="2"/>
  <c r="P2117" i="2"/>
  <c r="O2121" i="2"/>
  <c r="O2155" i="2"/>
  <c r="P2157" i="2"/>
  <c r="P2160" i="2"/>
  <c r="O2213" i="2"/>
  <c r="P2256" i="2"/>
  <c r="O2249" i="2"/>
  <c r="P2249" i="2"/>
  <c r="O2207" i="2"/>
  <c r="P2207" i="2"/>
  <c r="O2154" i="2"/>
  <c r="P2154" i="2"/>
  <c r="O2114" i="2"/>
  <c r="P2114" i="2"/>
  <c r="O2074" i="2"/>
  <c r="P2074" i="2"/>
  <c r="P2034" i="2"/>
  <c r="O2034" i="2"/>
  <c r="O1994" i="2"/>
  <c r="P1994" i="2"/>
  <c r="O1942" i="2"/>
  <c r="P1942" i="2"/>
  <c r="P1902" i="2"/>
  <c r="O1902" i="2"/>
  <c r="O1862" i="2"/>
  <c r="P1862" i="2"/>
  <c r="O1822" i="2"/>
  <c r="P1822" i="2"/>
  <c r="O1782" i="2"/>
  <c r="P1782" i="2"/>
  <c r="P1730" i="2"/>
  <c r="O1730" i="2"/>
  <c r="O1678" i="2"/>
  <c r="P1678" i="2"/>
  <c r="O1626" i="2"/>
  <c r="P1626" i="2"/>
  <c r="O1559" i="2"/>
  <c r="P1559" i="2"/>
  <c r="O1507" i="2"/>
  <c r="P1507" i="2"/>
  <c r="P1455" i="2"/>
  <c r="O1455" i="2"/>
  <c r="P1403" i="2"/>
  <c r="O1403" i="2"/>
  <c r="O1351" i="2"/>
  <c r="P1351" i="2"/>
  <c r="O1299" i="2"/>
  <c r="P1299" i="2"/>
  <c r="P1232" i="2"/>
  <c r="O1232" i="2"/>
  <c r="O1180" i="2"/>
  <c r="P1180" i="2"/>
  <c r="O1128" i="2"/>
  <c r="P1128" i="2"/>
  <c r="O1076" i="2"/>
  <c r="P1076" i="2"/>
  <c r="O1024" i="2"/>
  <c r="P1024" i="2"/>
  <c r="O972" i="2"/>
  <c r="P972" i="2"/>
  <c r="O913" i="2"/>
  <c r="P913" i="2"/>
  <c r="O861" i="2"/>
  <c r="P861" i="2"/>
  <c r="O809" i="2"/>
  <c r="P809" i="2"/>
  <c r="P757" i="2"/>
  <c r="O757" i="2"/>
  <c r="O705" i="2"/>
  <c r="P705" i="2"/>
  <c r="O446" i="2"/>
  <c r="P446" i="2"/>
  <c r="O334" i="2"/>
  <c r="P334" i="2"/>
  <c r="O207" i="2"/>
  <c r="P207" i="2"/>
  <c r="O95" i="2"/>
  <c r="I6" i="6"/>
  <c r="K6" i="6" s="1"/>
  <c r="P95" i="2"/>
  <c r="P2248" i="2"/>
  <c r="O2248" i="2"/>
  <c r="P2206" i="2"/>
  <c r="O2206" i="2"/>
  <c r="O2153" i="2"/>
  <c r="P2153" i="2"/>
  <c r="O2113" i="2"/>
  <c r="P2113" i="2"/>
  <c r="P2073" i="2"/>
  <c r="O2073" i="2"/>
  <c r="O2033" i="2"/>
  <c r="P2033" i="2"/>
  <c r="P1993" i="2"/>
  <c r="O1993" i="2"/>
  <c r="O1941" i="2"/>
  <c r="P1941" i="2"/>
  <c r="O1901" i="2"/>
  <c r="P1901" i="2"/>
  <c r="P1861" i="2"/>
  <c r="O1861" i="2"/>
  <c r="P1821" i="2"/>
  <c r="O1821" i="2"/>
  <c r="O1781" i="2"/>
  <c r="P1781" i="2"/>
  <c r="O1729" i="2"/>
  <c r="P1729" i="2"/>
  <c r="P1677" i="2"/>
  <c r="O1677" i="2"/>
  <c r="O1625" i="2"/>
  <c r="P1625" i="2"/>
  <c r="O1558" i="2"/>
  <c r="P1558" i="2"/>
  <c r="O1506" i="2"/>
  <c r="P1506" i="2"/>
  <c r="O1454" i="2"/>
  <c r="P1454" i="2"/>
  <c r="O1402" i="2"/>
  <c r="P1402" i="2"/>
  <c r="P1350" i="2"/>
  <c r="O1350" i="2"/>
  <c r="O1298" i="2"/>
  <c r="P1298" i="2"/>
  <c r="O1231" i="2"/>
  <c r="P1231" i="2"/>
  <c r="P1179" i="2"/>
  <c r="O1179" i="2"/>
  <c r="O1127" i="2"/>
  <c r="P1127" i="2"/>
  <c r="P1075" i="2"/>
  <c r="O1075" i="2"/>
  <c r="P1023" i="2"/>
  <c r="O1023" i="2"/>
  <c r="O971" i="2"/>
  <c r="P971" i="2"/>
  <c r="O912" i="2"/>
  <c r="P912" i="2"/>
  <c r="P860" i="2"/>
  <c r="O860" i="2"/>
  <c r="O808" i="2"/>
  <c r="P808" i="2"/>
  <c r="O756" i="2"/>
  <c r="P756" i="2"/>
  <c r="O704" i="2"/>
  <c r="P704" i="2"/>
  <c r="O445" i="2"/>
  <c r="P445" i="2"/>
  <c r="O333" i="2"/>
  <c r="P333" i="2"/>
  <c r="O206" i="2"/>
  <c r="P206" i="2"/>
  <c r="S88" i="6"/>
  <c r="U88" i="6" s="1"/>
  <c r="O94" i="2"/>
  <c r="I5" i="6"/>
  <c r="K5" i="6" s="1"/>
  <c r="P94" i="2"/>
  <c r="I88" i="6"/>
  <c r="K88" i="6" s="1"/>
  <c r="P2247" i="2"/>
  <c r="O2247" i="2"/>
  <c r="P2205" i="2"/>
  <c r="O2205" i="2"/>
  <c r="O2152" i="2"/>
  <c r="P2152" i="2"/>
  <c r="O2112" i="2"/>
  <c r="P2112" i="2"/>
  <c r="O2072" i="2"/>
  <c r="P2072" i="2"/>
  <c r="O2032" i="2"/>
  <c r="P2032" i="2"/>
  <c r="O1992" i="2"/>
  <c r="P1992" i="2"/>
  <c r="P1940" i="2"/>
  <c r="O1940" i="2"/>
  <c r="O1900" i="2"/>
  <c r="P1900" i="2"/>
  <c r="O1860" i="2"/>
  <c r="P1860" i="2"/>
  <c r="O1820" i="2"/>
  <c r="P1820" i="2"/>
  <c r="P1780" i="2"/>
  <c r="O1780" i="2"/>
  <c r="O1728" i="2"/>
  <c r="P1728" i="2"/>
  <c r="O1676" i="2"/>
  <c r="P1676" i="2"/>
  <c r="P1624" i="2"/>
  <c r="O1624" i="2"/>
  <c r="P1557" i="2"/>
  <c r="O1557" i="2"/>
  <c r="O1505" i="2"/>
  <c r="P1505" i="2"/>
  <c r="O1453" i="2"/>
  <c r="P1453" i="2"/>
  <c r="O1401" i="2"/>
  <c r="P1401" i="2"/>
  <c r="O1349" i="2"/>
  <c r="P1349" i="2"/>
  <c r="P1297" i="2"/>
  <c r="O1297" i="2"/>
  <c r="O1230" i="2"/>
  <c r="P1230" i="2"/>
  <c r="O1178" i="2"/>
  <c r="P1178" i="2"/>
  <c r="O1126" i="2"/>
  <c r="P1126" i="2"/>
  <c r="O1074" i="2"/>
  <c r="P1074" i="2"/>
  <c r="O1022" i="2"/>
  <c r="P1022" i="2"/>
  <c r="P970" i="2"/>
  <c r="O970" i="2"/>
  <c r="O911" i="2"/>
  <c r="P911" i="2"/>
  <c r="O859" i="2"/>
  <c r="P859" i="2"/>
  <c r="O807" i="2"/>
  <c r="P807" i="2"/>
  <c r="P755" i="2"/>
  <c r="O755" i="2"/>
  <c r="O703" i="2"/>
  <c r="P703" i="2"/>
  <c r="O444" i="2"/>
  <c r="P444" i="2"/>
  <c r="O332" i="2"/>
  <c r="P332" i="2"/>
  <c r="P205" i="2"/>
  <c r="R99" i="6"/>
  <c r="O205" i="2"/>
  <c r="O93" i="2"/>
  <c r="H16" i="6"/>
  <c r="P93" i="2"/>
  <c r="H99" i="6"/>
  <c r="O2204" i="2"/>
  <c r="M702" i="2"/>
  <c r="N702" i="2"/>
  <c r="F713" i="2"/>
  <c r="N2275" i="2"/>
  <c r="M2275" i="2"/>
  <c r="O2246" i="2"/>
  <c r="P2246" i="2"/>
  <c r="P2204" i="2"/>
  <c r="P2151" i="2"/>
  <c r="O2151" i="2"/>
  <c r="P2111" i="2"/>
  <c r="O2111" i="2"/>
  <c r="O2071" i="2"/>
  <c r="P2071" i="2"/>
  <c r="O2031" i="2"/>
  <c r="P2031" i="2"/>
  <c r="O1991" i="2"/>
  <c r="P1991" i="2"/>
  <c r="O1939" i="2"/>
  <c r="P1939" i="2"/>
  <c r="O1899" i="2"/>
  <c r="P1899" i="2"/>
  <c r="O1859" i="2"/>
  <c r="P1859" i="2"/>
  <c r="O1819" i="2"/>
  <c r="P1819" i="2"/>
  <c r="O1779" i="2"/>
  <c r="P1779" i="2"/>
  <c r="O1727" i="2"/>
  <c r="P1727" i="2"/>
  <c r="P1675" i="2"/>
  <c r="O1675" i="2"/>
  <c r="O1623" i="2"/>
  <c r="P1623" i="2"/>
  <c r="O1556" i="2"/>
  <c r="P1556" i="2"/>
  <c r="O1504" i="2"/>
  <c r="P1504" i="2"/>
  <c r="O1452" i="2"/>
  <c r="P1452" i="2"/>
  <c r="O1400" i="2"/>
  <c r="P1400" i="2"/>
  <c r="O1348" i="2"/>
  <c r="P1348" i="2"/>
  <c r="O1296" i="2"/>
  <c r="P1296" i="2"/>
  <c r="O1229" i="2"/>
  <c r="P1229" i="2"/>
  <c r="O1177" i="2"/>
  <c r="P1177" i="2"/>
  <c r="O1125" i="2"/>
  <c r="P1125" i="2"/>
  <c r="O1073" i="2"/>
  <c r="P1073" i="2"/>
  <c r="O1021" i="2"/>
  <c r="P1021" i="2"/>
  <c r="O969" i="2"/>
  <c r="P969" i="2"/>
  <c r="O910" i="2"/>
  <c r="P910" i="2"/>
  <c r="O858" i="2"/>
  <c r="P858" i="2"/>
  <c r="O806" i="2"/>
  <c r="P806" i="2"/>
  <c r="O754" i="2"/>
  <c r="P754" i="2"/>
  <c r="O443" i="2"/>
  <c r="P443" i="2"/>
  <c r="O331" i="2"/>
  <c r="P331" i="2"/>
  <c r="O204" i="2"/>
  <c r="P204" i="2"/>
  <c r="R98" i="6"/>
  <c r="O92" i="2"/>
  <c r="H15" i="6"/>
  <c r="P92" i="2"/>
  <c r="H98" i="6"/>
  <c r="M2030" i="2"/>
  <c r="G62" i="6" s="1"/>
  <c r="I62" i="6" s="1"/>
  <c r="M2110" i="2"/>
  <c r="M2203" i="2"/>
  <c r="W62" i="6" s="1"/>
  <c r="Y62" i="6" s="1"/>
  <c r="M2150" i="2"/>
  <c r="S62" i="6" s="1"/>
  <c r="U62" i="6" s="1"/>
  <c r="N2150" i="2"/>
  <c r="S145" i="6" s="1"/>
  <c r="U145" i="6" s="1"/>
  <c r="N2203" i="2"/>
  <c r="W145" i="6" s="1"/>
  <c r="Y145" i="6" s="1"/>
  <c r="M2245" i="2"/>
  <c r="AA62" i="6" s="1"/>
  <c r="AC62" i="6" s="1"/>
  <c r="M1938" i="2"/>
  <c r="BJ46" i="6" s="1"/>
  <c r="BL46" i="6" s="1"/>
  <c r="N2245" i="2"/>
  <c r="F2215" i="2"/>
  <c r="D2162" i="2"/>
  <c r="E2215" i="2"/>
  <c r="M2070" i="2"/>
  <c r="K62" i="6" s="1"/>
  <c r="M62" i="6" s="1"/>
  <c r="E2082" i="2"/>
  <c r="N2110" i="2"/>
  <c r="O145" i="6" s="1"/>
  <c r="Q145" i="6" s="1"/>
  <c r="E2162" i="2"/>
  <c r="N2070" i="2"/>
  <c r="K145" i="6" s="1"/>
  <c r="M145" i="6" s="1"/>
  <c r="F2122" i="2"/>
  <c r="M1898" i="2"/>
  <c r="BF46" i="6" s="1"/>
  <c r="BH46" i="6" s="1"/>
  <c r="N1990" i="2"/>
  <c r="C145" i="6" s="1"/>
  <c r="E145" i="6" s="1"/>
  <c r="N2030" i="2"/>
  <c r="G145" i="6" s="1"/>
  <c r="I145" i="6" s="1"/>
  <c r="E2122" i="2"/>
  <c r="M1990" i="2"/>
  <c r="C62" i="6" s="1"/>
  <c r="E62" i="6" s="1"/>
  <c r="E2042" i="2"/>
  <c r="N1938" i="2"/>
  <c r="BJ129" i="6" s="1"/>
  <c r="BL129" i="6" s="1"/>
  <c r="E2002" i="2"/>
  <c r="N1898" i="2"/>
  <c r="BF129" i="6" s="1"/>
  <c r="BH129" i="6" s="1"/>
  <c r="E1950" i="2"/>
  <c r="N1858" i="2"/>
  <c r="BB129" i="6" s="1"/>
  <c r="BD129" i="6" s="1"/>
  <c r="F1910" i="2"/>
  <c r="M1818" i="2"/>
  <c r="AW46" i="6" s="1"/>
  <c r="AY46" i="6" s="1"/>
  <c r="E1910" i="2"/>
  <c r="N1555" i="2"/>
  <c r="X129" i="6" s="1"/>
  <c r="Z129" i="6" s="1"/>
  <c r="N1778" i="2"/>
  <c r="AR129" i="6" s="1"/>
  <c r="AT129" i="6" s="1"/>
  <c r="M1858" i="2"/>
  <c r="BB46" i="6" s="1"/>
  <c r="BD46" i="6" s="1"/>
  <c r="N1818" i="2"/>
  <c r="AW129" i="6" s="1"/>
  <c r="AY129" i="6" s="1"/>
  <c r="N1726" i="2"/>
  <c r="AM129" i="6" s="1"/>
  <c r="AO129" i="6" s="1"/>
  <c r="E1870" i="2"/>
  <c r="F1790" i="2"/>
  <c r="M1726" i="2"/>
  <c r="AM46" i="6" s="1"/>
  <c r="AO46" i="6" s="1"/>
  <c r="D1738" i="2"/>
  <c r="M1778" i="2"/>
  <c r="AR46" i="6" s="1"/>
  <c r="AT46" i="6" s="1"/>
  <c r="N1674" i="2"/>
  <c r="AH129" i="6" s="1"/>
  <c r="AJ129" i="6" s="1"/>
  <c r="E1738" i="2"/>
  <c r="M1674" i="2"/>
  <c r="AH46" i="6" s="1"/>
  <c r="AJ46" i="6" s="1"/>
  <c r="N1622" i="2"/>
  <c r="AC129" i="6" s="1"/>
  <c r="AE129" i="6" s="1"/>
  <c r="M1622" i="2"/>
  <c r="AE46" i="6" s="1"/>
  <c r="E1686" i="2"/>
  <c r="N1451" i="2"/>
  <c r="N129" i="6" s="1"/>
  <c r="P129" i="6" s="1"/>
  <c r="M1399" i="2"/>
  <c r="I46" i="6" s="1"/>
  <c r="K46" i="6" s="1"/>
  <c r="M1555" i="2"/>
  <c r="X46" i="6" s="1"/>
  <c r="Z46" i="6" s="1"/>
  <c r="E1634" i="2"/>
  <c r="N1503" i="2"/>
  <c r="S129" i="6" s="1"/>
  <c r="U129" i="6" s="1"/>
  <c r="N1399" i="2"/>
  <c r="I129" i="6" s="1"/>
  <c r="K129" i="6" s="1"/>
  <c r="M1503" i="2"/>
  <c r="S46" i="6" s="1"/>
  <c r="U46" i="6" s="1"/>
  <c r="N1347" i="2"/>
  <c r="D129" i="6" s="1"/>
  <c r="F129" i="6" s="1"/>
  <c r="M1451" i="2"/>
  <c r="N46" i="6" s="1"/>
  <c r="P46" i="6" s="1"/>
  <c r="E1515" i="2"/>
  <c r="M1347" i="2"/>
  <c r="D46" i="6" s="1"/>
  <c r="F46" i="6" s="1"/>
  <c r="E1463" i="2"/>
  <c r="M1228" i="2"/>
  <c r="AW30" i="6" s="1"/>
  <c r="AY30" i="6" s="1"/>
  <c r="N1228" i="2"/>
  <c r="AW113" i="6" s="1"/>
  <c r="AY113" i="6" s="1"/>
  <c r="N1295" i="2"/>
  <c r="BB113" i="6" s="1"/>
  <c r="BD113" i="6" s="1"/>
  <c r="E1359" i="2"/>
  <c r="N1072" i="2"/>
  <c r="AH113" i="6" s="1"/>
  <c r="AJ113" i="6" s="1"/>
  <c r="M1295" i="2"/>
  <c r="BB30" i="6" s="1"/>
  <c r="BD30" i="6" s="1"/>
  <c r="F1307" i="2"/>
  <c r="M1072" i="2"/>
  <c r="AH30" i="6" s="1"/>
  <c r="AJ30" i="6" s="1"/>
  <c r="N1124" i="2"/>
  <c r="AM113" i="6" s="1"/>
  <c r="AO113" i="6" s="1"/>
  <c r="F1240" i="2"/>
  <c r="M1124" i="2"/>
  <c r="AM30" i="6" s="1"/>
  <c r="AO30" i="6" s="1"/>
  <c r="M1176" i="2"/>
  <c r="AR30" i="6" s="1"/>
  <c r="AT30" i="6" s="1"/>
  <c r="E1240" i="2"/>
  <c r="D1136" i="2"/>
  <c r="N1176" i="2"/>
  <c r="AR113" i="6" s="1"/>
  <c r="AT113" i="6" s="1"/>
  <c r="E1188" i="2"/>
  <c r="D1084" i="2"/>
  <c r="E1136" i="2"/>
  <c r="N909" i="2"/>
  <c r="S113" i="6" s="1"/>
  <c r="U113" i="6" s="1"/>
  <c r="N1020" i="2"/>
  <c r="AC113" i="6" s="1"/>
  <c r="AE113" i="6" s="1"/>
  <c r="E1084" i="2"/>
  <c r="M1020" i="2"/>
  <c r="AC30" i="6" s="1"/>
  <c r="AE30" i="6" s="1"/>
  <c r="N968" i="2"/>
  <c r="X113" i="6" s="1"/>
  <c r="Z113" i="6" s="1"/>
  <c r="M968" i="2"/>
  <c r="M909" i="2"/>
  <c r="S30" i="6" s="1"/>
  <c r="U30" i="6" s="1"/>
  <c r="E980" i="2"/>
  <c r="M857" i="2"/>
  <c r="N30" i="6" s="1"/>
  <c r="P30" i="6" s="1"/>
  <c r="M753" i="2"/>
  <c r="D30" i="6" s="1"/>
  <c r="F30" i="6" s="1"/>
  <c r="N857" i="2"/>
  <c r="N113" i="6" s="1"/>
  <c r="P113" i="6" s="1"/>
  <c r="E921" i="2"/>
  <c r="M805" i="2"/>
  <c r="I30" i="6" s="1"/>
  <c r="K30" i="6" s="1"/>
  <c r="F869" i="2"/>
  <c r="N805" i="2"/>
  <c r="I113" i="6" s="1"/>
  <c r="K113" i="6" s="1"/>
  <c r="E869" i="2"/>
  <c r="N621" i="2"/>
  <c r="M701" i="2"/>
  <c r="BL14" i="6" s="1"/>
  <c r="BN14" i="6" s="1"/>
  <c r="F817" i="2"/>
  <c r="N701" i="2"/>
  <c r="N753" i="2"/>
  <c r="D113" i="6" s="1"/>
  <c r="F113" i="6" s="1"/>
  <c r="E817" i="2"/>
  <c r="M442" i="2"/>
  <c r="AM14" i="6" s="1"/>
  <c r="AO14" i="6" s="1"/>
  <c r="M621" i="2"/>
  <c r="E765" i="2"/>
  <c r="N533" i="2"/>
  <c r="M533" i="2"/>
  <c r="E713" i="2"/>
  <c r="C633" i="2"/>
  <c r="D633" i="2"/>
  <c r="N203" i="2"/>
  <c r="N442" i="2"/>
  <c r="AM97" i="6" s="1"/>
  <c r="AO97" i="6" s="1"/>
  <c r="E545" i="2"/>
  <c r="N91" i="2"/>
  <c r="C454" i="2"/>
  <c r="N330" i="2"/>
  <c r="AC97" i="6" s="1"/>
  <c r="AE97" i="6" s="1"/>
  <c r="D454" i="2"/>
  <c r="M330" i="2"/>
  <c r="AC14" i="6" s="1"/>
  <c r="M203" i="2"/>
  <c r="R14" i="6" s="1"/>
  <c r="M91" i="2"/>
  <c r="AK154" i="6" l="1"/>
  <c r="AK70" i="6"/>
  <c r="AK153" i="6"/>
  <c r="BF100" i="6"/>
  <c r="BG88" i="6"/>
  <c r="BF17" i="6"/>
  <c r="BG5" i="6"/>
  <c r="AW100" i="6"/>
  <c r="AX88" i="6"/>
  <c r="AW17" i="6"/>
  <c r="AX5" i="6"/>
  <c r="AK69" i="6"/>
  <c r="AK152" i="6"/>
  <c r="D148" i="6"/>
  <c r="E136" i="6"/>
  <c r="AJ163" i="6"/>
  <c r="AL163" i="6" s="1"/>
  <c r="W65" i="6"/>
  <c r="Y65" i="6" s="1"/>
  <c r="N2286" i="2"/>
  <c r="AE146" i="6"/>
  <c r="P702" i="2"/>
  <c r="AI79" i="6"/>
  <c r="AI80" i="6"/>
  <c r="AA145" i="6"/>
  <c r="AC145" i="6" s="1"/>
  <c r="P621" i="2"/>
  <c r="BE97" i="6"/>
  <c r="P533" i="2"/>
  <c r="AV97" i="6"/>
  <c r="AE63" i="6"/>
  <c r="M2286" i="2"/>
  <c r="AA65" i="6"/>
  <c r="AC65" i="6" s="1"/>
  <c r="AJ80" i="6"/>
  <c r="AL80" i="6" s="1"/>
  <c r="O702" i="2"/>
  <c r="BL15" i="6"/>
  <c r="BN15" i="6" s="1"/>
  <c r="BE14" i="6"/>
  <c r="BG14" i="6" s="1"/>
  <c r="O621" i="2"/>
  <c r="AV14" i="6"/>
  <c r="AX14" i="6" s="1"/>
  <c r="O533" i="2"/>
  <c r="AJ157" i="6"/>
  <c r="AL157" i="6" s="1"/>
  <c r="AJ156" i="6"/>
  <c r="AL156" i="6" s="1"/>
  <c r="O65" i="6"/>
  <c r="Q65" i="6" s="1"/>
  <c r="AC17" i="6"/>
  <c r="AE17" i="6" s="1"/>
  <c r="I33" i="6"/>
  <c r="K33" i="6" s="1"/>
  <c r="X33" i="6"/>
  <c r="Z33" i="6" s="1"/>
  <c r="S33" i="6"/>
  <c r="U33" i="6" s="1"/>
  <c r="AM33" i="6"/>
  <c r="AO33" i="6" s="1"/>
  <c r="S65" i="6"/>
  <c r="U65" i="6" s="1"/>
  <c r="AJ75" i="6"/>
  <c r="AL75" i="6" s="1"/>
  <c r="AJ74" i="6"/>
  <c r="AL74" i="6" s="1"/>
  <c r="AJ73" i="6"/>
  <c r="AL73" i="6" s="1"/>
  <c r="AJ154" i="6"/>
  <c r="AJ71" i="6"/>
  <c r="AL71" i="6" s="1"/>
  <c r="AJ159" i="6"/>
  <c r="AL159" i="6" s="1"/>
  <c r="AJ155" i="6"/>
  <c r="AL155" i="6" s="1"/>
  <c r="K65" i="6"/>
  <c r="M65" i="6" s="1"/>
  <c r="AJ76" i="6"/>
  <c r="AL76" i="6" s="1"/>
  <c r="AJ72" i="6"/>
  <c r="AL72" i="6" s="1"/>
  <c r="AJ77" i="6"/>
  <c r="AL77" i="6" s="1"/>
  <c r="AJ160" i="6"/>
  <c r="AL160" i="6" s="1"/>
  <c r="D33" i="6"/>
  <c r="F33" i="6" s="1"/>
  <c r="AW33" i="6"/>
  <c r="AY33" i="6" s="1"/>
  <c r="I49" i="6"/>
  <c r="K49" i="6" s="1"/>
  <c r="N49" i="6"/>
  <c r="P49" i="6" s="1"/>
  <c r="N33" i="6"/>
  <c r="P33" i="6" s="1"/>
  <c r="AC33" i="6"/>
  <c r="AE33" i="6" s="1"/>
  <c r="AH33" i="6"/>
  <c r="AJ33" i="6" s="1"/>
  <c r="AR33" i="6"/>
  <c r="AT33" i="6" s="1"/>
  <c r="D49" i="6"/>
  <c r="F49" i="6" s="1"/>
  <c r="AH49" i="6"/>
  <c r="AJ49" i="6" s="1"/>
  <c r="AW49" i="6"/>
  <c r="AY49" i="6" s="1"/>
  <c r="BB49" i="6"/>
  <c r="BD49" i="6" s="1"/>
  <c r="C65" i="6"/>
  <c r="E65" i="6" s="1"/>
  <c r="BB33" i="6"/>
  <c r="BD33" i="6" s="1"/>
  <c r="S49" i="6"/>
  <c r="U49" i="6" s="1"/>
  <c r="X49" i="6"/>
  <c r="Z49" i="6" s="1"/>
  <c r="AC49" i="6"/>
  <c r="AE49" i="6" s="1"/>
  <c r="AM49" i="6"/>
  <c r="AO49" i="6" s="1"/>
  <c r="AR49" i="6"/>
  <c r="AT49" i="6" s="1"/>
  <c r="BF49" i="6"/>
  <c r="BH49" i="6" s="1"/>
  <c r="BJ49" i="6"/>
  <c r="BL49" i="6" s="1"/>
  <c r="G65" i="6"/>
  <c r="I65" i="6" s="1"/>
  <c r="S17" i="6"/>
  <c r="U17" i="6" s="1"/>
  <c r="AJ70" i="6"/>
  <c r="AM17" i="6"/>
  <c r="AO17" i="6" s="1"/>
  <c r="AJ153" i="6"/>
  <c r="W148" i="6"/>
  <c r="Y148" i="6" s="1"/>
  <c r="S148" i="6"/>
  <c r="U148" i="6" s="1"/>
  <c r="O148" i="6"/>
  <c r="Q148" i="6" s="1"/>
  <c r="K148" i="6"/>
  <c r="M148" i="6" s="1"/>
  <c r="G148" i="6"/>
  <c r="I148" i="6" s="1"/>
  <c r="C148" i="6"/>
  <c r="BJ132" i="6"/>
  <c r="BL132" i="6" s="1"/>
  <c r="BF132" i="6"/>
  <c r="BH132" i="6" s="1"/>
  <c r="BB132" i="6"/>
  <c r="BD132" i="6" s="1"/>
  <c r="AW132" i="6"/>
  <c r="AY132" i="6" s="1"/>
  <c r="AR132" i="6"/>
  <c r="AT132" i="6" s="1"/>
  <c r="AM132" i="6"/>
  <c r="AO132" i="6" s="1"/>
  <c r="AH132" i="6"/>
  <c r="AJ132" i="6" s="1"/>
  <c r="AC132" i="6"/>
  <c r="AE132" i="6" s="1"/>
  <c r="X132" i="6"/>
  <c r="Z132" i="6" s="1"/>
  <c r="S132" i="6"/>
  <c r="U132" i="6" s="1"/>
  <c r="N132" i="6"/>
  <c r="P132" i="6" s="1"/>
  <c r="I132" i="6"/>
  <c r="K132" i="6" s="1"/>
  <c r="D132" i="6"/>
  <c r="F132" i="6" s="1"/>
  <c r="BB116" i="6"/>
  <c r="BD116" i="6" s="1"/>
  <c r="AW116" i="6"/>
  <c r="AY116" i="6" s="1"/>
  <c r="AR116" i="6"/>
  <c r="AT116" i="6" s="1"/>
  <c r="AM116" i="6"/>
  <c r="AO116" i="6" s="1"/>
  <c r="AH116" i="6"/>
  <c r="AJ116" i="6" s="1"/>
  <c r="AC116" i="6"/>
  <c r="AE116" i="6" s="1"/>
  <c r="X116" i="6"/>
  <c r="Z116" i="6" s="1"/>
  <c r="S116" i="6"/>
  <c r="U116" i="6" s="1"/>
  <c r="N116" i="6"/>
  <c r="P116" i="6" s="1"/>
  <c r="D116" i="6"/>
  <c r="F116" i="6" s="1"/>
  <c r="AM100" i="6"/>
  <c r="AO100" i="6" s="1"/>
  <c r="AC100" i="6"/>
  <c r="AE100" i="6" s="1"/>
  <c r="S100" i="6"/>
  <c r="U100" i="6" s="1"/>
  <c r="AJ152" i="6"/>
  <c r="AJ69" i="6"/>
  <c r="I17" i="6"/>
  <c r="K17" i="6" s="1"/>
  <c r="AI163" i="6"/>
  <c r="P2275" i="2"/>
  <c r="P2286" i="2" s="1"/>
  <c r="O2275" i="2"/>
  <c r="O2286" i="2" s="1"/>
  <c r="O2203" i="2"/>
  <c r="P2150" i="2"/>
  <c r="O2150" i="2"/>
  <c r="O2110" i="2"/>
  <c r="P2110" i="2"/>
  <c r="P2070" i="2"/>
  <c r="O2070" i="2"/>
  <c r="P2030" i="2"/>
  <c r="O2030" i="2"/>
  <c r="P1990" i="2"/>
  <c r="O1990" i="2"/>
  <c r="P1938" i="2"/>
  <c r="O1938" i="2"/>
  <c r="P1898" i="2"/>
  <c r="O1898" i="2"/>
  <c r="P1858" i="2"/>
  <c r="O1858" i="2"/>
  <c r="P1818" i="2"/>
  <c r="O1818" i="2"/>
  <c r="O1778" i="2"/>
  <c r="P1778" i="2"/>
  <c r="P1726" i="2"/>
  <c r="O1726" i="2"/>
  <c r="O1674" i="2"/>
  <c r="P1674" i="2"/>
  <c r="P1622" i="2"/>
  <c r="O1622" i="2"/>
  <c r="P1555" i="2"/>
  <c r="O1555" i="2"/>
  <c r="P1503" i="2"/>
  <c r="O1503" i="2"/>
  <c r="O1451" i="2"/>
  <c r="P1451" i="2"/>
  <c r="P1399" i="2"/>
  <c r="O1399" i="2"/>
  <c r="O1347" i="2"/>
  <c r="P1347" i="2"/>
  <c r="P1295" i="2"/>
  <c r="O1295" i="2"/>
  <c r="O1228" i="2"/>
  <c r="P1228" i="2"/>
  <c r="O1176" i="2"/>
  <c r="P1176" i="2"/>
  <c r="P1124" i="2"/>
  <c r="O1124" i="2"/>
  <c r="P1072" i="2"/>
  <c r="O1072" i="2"/>
  <c r="P1020" i="2"/>
  <c r="O1020" i="2"/>
  <c r="O968" i="2"/>
  <c r="P968" i="2"/>
  <c r="O909" i="2"/>
  <c r="P909" i="2"/>
  <c r="P857" i="2"/>
  <c r="O857" i="2"/>
  <c r="P805" i="2"/>
  <c r="O805" i="2"/>
  <c r="P753" i="2"/>
  <c r="O753" i="2"/>
  <c r="O701" i="2"/>
  <c r="P701" i="2"/>
  <c r="P442" i="2"/>
  <c r="O442" i="2"/>
  <c r="O330" i="2"/>
  <c r="P330" i="2"/>
  <c r="P203" i="2"/>
  <c r="R97" i="6"/>
  <c r="O203" i="2"/>
  <c r="P91" i="2"/>
  <c r="H97" i="6"/>
  <c r="O91" i="2"/>
  <c r="H14" i="6"/>
  <c r="P2203" i="2"/>
  <c r="P2245" i="2"/>
  <c r="O2245" i="2"/>
  <c r="P1959" i="2"/>
  <c r="N2232" i="2"/>
  <c r="M2232" i="2"/>
  <c r="Z61" i="6" s="1"/>
  <c r="N2231" i="2"/>
  <c r="M2231" i="2"/>
  <c r="Z60" i="6" s="1"/>
  <c r="N2229" i="2"/>
  <c r="P2229" i="2" s="1"/>
  <c r="M2229" i="2"/>
  <c r="Z58" i="6" s="1"/>
  <c r="N2228" i="2"/>
  <c r="P2228" i="2" s="1"/>
  <c r="M2228" i="2"/>
  <c r="Z57" i="6" s="1"/>
  <c r="N2227" i="2"/>
  <c r="P2227" i="2" s="1"/>
  <c r="M2227" i="2"/>
  <c r="Z56" i="6" s="1"/>
  <c r="N2226" i="2"/>
  <c r="P2226" i="2" s="1"/>
  <c r="M2226" i="2"/>
  <c r="Z55" i="6" s="1"/>
  <c r="N2225" i="2"/>
  <c r="P2225" i="2" s="1"/>
  <c r="M2225" i="2"/>
  <c r="Z54" i="6" s="1"/>
  <c r="N2224" i="2"/>
  <c r="P2224" i="2" s="1"/>
  <c r="M2224" i="2"/>
  <c r="N2223" i="2"/>
  <c r="P2223" i="2" s="1"/>
  <c r="M2223" i="2"/>
  <c r="O2223" i="2" s="1"/>
  <c r="N2222" i="2"/>
  <c r="P2222" i="2" s="1"/>
  <c r="M2222" i="2"/>
  <c r="O2222" i="2" s="1"/>
  <c r="N2221" i="2"/>
  <c r="P2221" i="2" s="1"/>
  <c r="M2221" i="2"/>
  <c r="O2221" i="2" s="1"/>
  <c r="AL154" i="6" l="1"/>
  <c r="AL70" i="6"/>
  <c r="AK81" i="6"/>
  <c r="AL153" i="6"/>
  <c r="AL69" i="6"/>
  <c r="E148" i="6"/>
  <c r="AK164" i="6"/>
  <c r="AE148" i="6"/>
  <c r="AG148" i="6" s="1"/>
  <c r="AG146" i="6"/>
  <c r="BE100" i="6"/>
  <c r="BG100" i="6" s="1"/>
  <c r="BG97" i="6"/>
  <c r="AL152" i="6"/>
  <c r="AV100" i="6"/>
  <c r="AX100" i="6" s="1"/>
  <c r="AX97" i="6"/>
  <c r="AE65" i="6"/>
  <c r="AG65" i="6" s="1"/>
  <c r="AG63" i="6"/>
  <c r="AV17" i="6"/>
  <c r="AX17" i="6" s="1"/>
  <c r="AA148" i="6"/>
  <c r="AC148" i="6" s="1"/>
  <c r="AJ79" i="6"/>
  <c r="AL79" i="6" s="1"/>
  <c r="AJ162" i="6"/>
  <c r="AL162" i="6" s="1"/>
  <c r="BL100" i="6"/>
  <c r="BN100" i="6" s="1"/>
  <c r="Z143" i="6"/>
  <c r="Z144" i="6"/>
  <c r="AI78" i="6"/>
  <c r="O2225" i="2"/>
  <c r="O2229" i="2"/>
  <c r="O2224" i="2"/>
  <c r="Z53" i="6"/>
  <c r="O2226" i="2"/>
  <c r="O2228" i="2"/>
  <c r="O2231" i="2"/>
  <c r="O2227" i="2"/>
  <c r="P2232" i="2"/>
  <c r="P2231" i="2"/>
  <c r="M2230" i="2"/>
  <c r="O2232" i="2"/>
  <c r="N2230" i="2"/>
  <c r="N2257" i="2" s="1"/>
  <c r="Z59" i="6" l="1"/>
  <c r="M2257" i="2"/>
  <c r="P2230" i="2"/>
  <c r="P2257" i="2" s="1"/>
  <c r="Z142" i="6"/>
  <c r="O2230" i="2"/>
  <c r="O2257" i="2" s="1"/>
  <c r="N2190" i="2"/>
  <c r="M2190" i="2"/>
  <c r="N2189" i="2"/>
  <c r="M2189" i="2"/>
  <c r="N2188" i="2"/>
  <c r="M2188" i="2"/>
  <c r="N2187" i="2"/>
  <c r="M2187" i="2"/>
  <c r="N2186" i="2"/>
  <c r="M2186" i="2"/>
  <c r="N2184" i="2"/>
  <c r="P2184" i="2" s="1"/>
  <c r="M2184" i="2"/>
  <c r="O2184" i="2" s="1"/>
  <c r="N2183" i="2"/>
  <c r="P2183" i="2" s="1"/>
  <c r="M2183" i="2"/>
  <c r="O2183" i="2" s="1"/>
  <c r="N2182" i="2"/>
  <c r="P2182" i="2" s="1"/>
  <c r="M2182" i="2"/>
  <c r="O2182" i="2" s="1"/>
  <c r="N2181" i="2"/>
  <c r="P2181" i="2" s="1"/>
  <c r="M2181" i="2"/>
  <c r="O2181" i="2" s="1"/>
  <c r="N2180" i="2"/>
  <c r="P2180" i="2" s="1"/>
  <c r="M2180" i="2"/>
  <c r="O2180" i="2" s="1"/>
  <c r="N2179" i="2"/>
  <c r="M2179" i="2"/>
  <c r="O2187" i="2" l="1"/>
  <c r="V58" i="6"/>
  <c r="V60" i="6"/>
  <c r="V141" i="6"/>
  <c r="V143" i="6"/>
  <c r="V57" i="6"/>
  <c r="V61" i="6"/>
  <c r="V59" i="6"/>
  <c r="V140" i="6"/>
  <c r="V142" i="6"/>
  <c r="V144" i="6"/>
  <c r="O2179" i="2"/>
  <c r="P2179" i="2"/>
  <c r="P2187" i="2"/>
  <c r="P2188" i="2"/>
  <c r="P2189" i="2"/>
  <c r="P2190" i="2"/>
  <c r="O2188" i="2"/>
  <c r="O2189" i="2"/>
  <c r="O2190" i="2"/>
  <c r="O2186" i="2"/>
  <c r="P2186" i="2"/>
  <c r="M2185" i="2"/>
  <c r="M2215" i="2" s="1"/>
  <c r="N2185" i="2"/>
  <c r="N2215" i="2" l="1"/>
  <c r="V139" i="6"/>
  <c r="O2185" i="2"/>
  <c r="O2215" i="2" s="1"/>
  <c r="V56" i="6"/>
  <c r="P2185" i="2"/>
  <c r="P2215" i="2" s="1"/>
  <c r="N2137" i="2"/>
  <c r="M2137" i="2"/>
  <c r="N2136" i="2"/>
  <c r="M2136" i="2"/>
  <c r="N2135" i="2"/>
  <c r="M2135" i="2"/>
  <c r="N2134" i="2"/>
  <c r="M2134" i="2"/>
  <c r="N2133" i="2"/>
  <c r="M2133" i="2"/>
  <c r="N2132" i="2"/>
  <c r="M2132" i="2"/>
  <c r="N2130" i="2"/>
  <c r="M2130" i="2"/>
  <c r="N2129" i="2"/>
  <c r="M2129" i="2"/>
  <c r="O2129" i="2" s="1"/>
  <c r="N2128" i="2"/>
  <c r="P2128" i="2" s="1"/>
  <c r="M2128" i="2"/>
  <c r="O2128" i="2" s="1"/>
  <c r="N2127" i="2"/>
  <c r="P2127" i="2" s="1"/>
  <c r="M2127" i="2"/>
  <c r="O2127" i="2" s="1"/>
  <c r="N2126" i="2"/>
  <c r="M2126" i="2"/>
  <c r="N2097" i="2"/>
  <c r="M2097" i="2"/>
  <c r="O2097" i="2" s="1"/>
  <c r="N2096" i="2"/>
  <c r="M2096" i="2"/>
  <c r="O2096" i="2" s="1"/>
  <c r="N2095" i="2"/>
  <c r="M2095" i="2"/>
  <c r="O2095" i="2" s="1"/>
  <c r="N2094" i="2"/>
  <c r="M2094" i="2"/>
  <c r="N2093" i="2"/>
  <c r="M2093" i="2"/>
  <c r="O2093" i="2" s="1"/>
  <c r="N2092" i="2"/>
  <c r="M2092" i="2"/>
  <c r="N2090" i="2"/>
  <c r="M2090" i="2"/>
  <c r="O2090" i="2" s="1"/>
  <c r="N2089" i="2"/>
  <c r="M2089" i="2"/>
  <c r="O2089" i="2" s="1"/>
  <c r="N2088" i="2"/>
  <c r="P2088" i="2" s="1"/>
  <c r="M2088" i="2"/>
  <c r="O2088" i="2" s="1"/>
  <c r="N2087" i="2"/>
  <c r="P2087" i="2" s="1"/>
  <c r="M2087" i="2"/>
  <c r="O2087" i="2" s="1"/>
  <c r="N2086" i="2"/>
  <c r="M2086" i="2"/>
  <c r="P2129" i="2" l="1"/>
  <c r="R136" i="6"/>
  <c r="R139" i="6"/>
  <c r="R141" i="6"/>
  <c r="R143" i="6"/>
  <c r="P2130" i="2"/>
  <c r="R137" i="6"/>
  <c r="R140" i="6"/>
  <c r="R142" i="6"/>
  <c r="R144" i="6"/>
  <c r="N140" i="6"/>
  <c r="P2095" i="2"/>
  <c r="N142" i="6"/>
  <c r="P2090" i="2"/>
  <c r="N137" i="6"/>
  <c r="N144" i="6"/>
  <c r="P2089" i="2"/>
  <c r="N136" i="6"/>
  <c r="P2092" i="2"/>
  <c r="N139" i="6"/>
  <c r="N141" i="6"/>
  <c r="N143" i="6"/>
  <c r="R56" i="6"/>
  <c r="O2136" i="2"/>
  <c r="R60" i="6"/>
  <c r="O2130" i="2"/>
  <c r="R54" i="6"/>
  <c r="R57" i="6"/>
  <c r="R59" i="6"/>
  <c r="R61" i="6"/>
  <c r="R58" i="6"/>
  <c r="O2126" i="2"/>
  <c r="P2126" i="2"/>
  <c r="P2086" i="2"/>
  <c r="O2086" i="2"/>
  <c r="P2137" i="2"/>
  <c r="P2136" i="2"/>
  <c r="P2135" i="2"/>
  <c r="P2134" i="2"/>
  <c r="P2094" i="2"/>
  <c r="P2097" i="2"/>
  <c r="P2096" i="2"/>
  <c r="O2134" i="2"/>
  <c r="O2135" i="2"/>
  <c r="O2137" i="2"/>
  <c r="O2133" i="2"/>
  <c r="P2133" i="2"/>
  <c r="P2093" i="2"/>
  <c r="R53" i="6"/>
  <c r="O2094" i="2"/>
  <c r="N53" i="6"/>
  <c r="P2132" i="2"/>
  <c r="O2092" i="2"/>
  <c r="O2132" i="2"/>
  <c r="M2091" i="2"/>
  <c r="M2122" i="2" s="1"/>
  <c r="M2131" i="2"/>
  <c r="N2091" i="2"/>
  <c r="N2131" i="2"/>
  <c r="N2162" i="2" l="1"/>
  <c r="R138" i="6"/>
  <c r="N2122" i="2"/>
  <c r="N138" i="6"/>
  <c r="M2162" i="2"/>
  <c r="R55" i="6"/>
  <c r="O2131" i="2"/>
  <c r="O2162" i="2" s="1"/>
  <c r="P2131" i="2"/>
  <c r="P2162" i="2" s="1"/>
  <c r="P2091" i="2"/>
  <c r="P2122" i="2" s="1"/>
  <c r="O2091" i="2"/>
  <c r="O2122" i="2" s="1"/>
  <c r="N2057" i="2"/>
  <c r="M2057" i="2"/>
  <c r="N2056" i="2"/>
  <c r="M2056" i="2"/>
  <c r="N2055" i="2"/>
  <c r="M2055" i="2"/>
  <c r="N2054" i="2"/>
  <c r="M2054" i="2"/>
  <c r="N2053" i="2"/>
  <c r="M2053" i="2"/>
  <c r="N2052" i="2"/>
  <c r="M2052" i="2"/>
  <c r="N2051" i="2"/>
  <c r="M2051" i="2"/>
  <c r="N2049" i="2"/>
  <c r="M2049" i="2"/>
  <c r="O2049" i="2" s="1"/>
  <c r="N2048" i="2"/>
  <c r="P2048" i="2" s="1"/>
  <c r="M2048" i="2"/>
  <c r="O2048" i="2" s="1"/>
  <c r="N2047" i="2"/>
  <c r="P2047" i="2" s="1"/>
  <c r="M2047" i="2"/>
  <c r="O2047" i="2" s="1"/>
  <c r="N2046" i="2"/>
  <c r="M2046" i="2"/>
  <c r="P2052" i="2" l="1"/>
  <c r="J139" i="6"/>
  <c r="P2056" i="2"/>
  <c r="J143" i="6"/>
  <c r="P2051" i="2"/>
  <c r="J138" i="6"/>
  <c r="P2053" i="2"/>
  <c r="J140" i="6"/>
  <c r="P2055" i="2"/>
  <c r="J142" i="6"/>
  <c r="P2057" i="2"/>
  <c r="J144" i="6"/>
  <c r="P2049" i="2"/>
  <c r="J136" i="6"/>
  <c r="P2054" i="2"/>
  <c r="J141" i="6"/>
  <c r="J58" i="6"/>
  <c r="O2056" i="2"/>
  <c r="J60" i="6"/>
  <c r="J55" i="6"/>
  <c r="O2053" i="2"/>
  <c r="J57" i="6"/>
  <c r="O2055" i="2"/>
  <c r="J59" i="6"/>
  <c r="O2057" i="2"/>
  <c r="J61" i="6"/>
  <c r="J56" i="6"/>
  <c r="O2046" i="2"/>
  <c r="P2046" i="2"/>
  <c r="O2054" i="2"/>
  <c r="J53" i="6"/>
  <c r="O2052" i="2"/>
  <c r="O2051" i="2"/>
  <c r="N2050" i="2"/>
  <c r="M2050" i="2"/>
  <c r="N2082" i="2" l="1"/>
  <c r="J137" i="6"/>
  <c r="M2082" i="2"/>
  <c r="J54" i="6"/>
  <c r="P2050" i="2"/>
  <c r="P2082" i="2" s="1"/>
  <c r="O2050" i="2"/>
  <c r="O2082" i="2" s="1"/>
  <c r="AG80" i="6" l="1"/>
  <c r="AF80" i="6"/>
  <c r="AE80" i="6"/>
  <c r="AD80" i="6"/>
  <c r="AC80" i="6"/>
  <c r="AG79" i="6"/>
  <c r="AF79" i="6"/>
  <c r="AE79" i="6"/>
  <c r="AD79" i="6"/>
  <c r="AC79" i="6"/>
  <c r="AG78" i="6"/>
  <c r="AF78" i="6"/>
  <c r="AE78" i="6"/>
  <c r="AD78" i="6"/>
  <c r="AC78" i="6"/>
  <c r="AG77" i="6"/>
  <c r="AF77" i="6"/>
  <c r="AE77" i="6"/>
  <c r="AD77" i="6"/>
  <c r="AC77" i="6"/>
  <c r="AG76" i="6"/>
  <c r="AF76" i="6"/>
  <c r="AE76" i="6"/>
  <c r="AD76" i="6"/>
  <c r="AC76" i="6"/>
  <c r="AG75" i="6"/>
  <c r="AF75" i="6"/>
  <c r="AE75" i="6"/>
  <c r="AD75" i="6"/>
  <c r="AC75" i="6"/>
  <c r="AG74" i="6"/>
  <c r="AF74" i="6"/>
  <c r="AE74" i="6"/>
  <c r="AD74" i="6"/>
  <c r="AC74" i="6"/>
  <c r="AG73" i="6"/>
  <c r="AF73" i="6"/>
  <c r="AE73" i="6"/>
  <c r="AD73" i="6"/>
  <c r="AC73" i="6"/>
  <c r="AG72" i="6"/>
  <c r="AF72" i="6"/>
  <c r="AE72" i="6"/>
  <c r="AD72" i="6"/>
  <c r="AC72" i="6"/>
  <c r="AG71" i="6"/>
  <c r="AF71" i="6"/>
  <c r="AE71" i="6"/>
  <c r="AD71" i="6"/>
  <c r="AC71" i="6"/>
  <c r="AG70" i="6"/>
  <c r="AF70" i="6"/>
  <c r="AE70" i="6"/>
  <c r="AD70" i="6"/>
  <c r="AC70" i="6"/>
  <c r="AG69" i="6"/>
  <c r="AF69" i="6"/>
  <c r="AE69" i="6"/>
  <c r="AD69" i="6"/>
  <c r="AC69" i="6"/>
  <c r="AC153" i="6"/>
  <c r="AC154" i="6"/>
  <c r="AC155" i="6"/>
  <c r="AC156" i="6"/>
  <c r="AC157" i="6"/>
  <c r="AC158" i="6"/>
  <c r="AC159" i="6"/>
  <c r="AC160" i="6"/>
  <c r="AC161" i="6"/>
  <c r="AC162" i="6"/>
  <c r="AC163" i="6"/>
  <c r="AC152" i="6"/>
  <c r="AD153" i="6"/>
  <c r="AD154" i="6"/>
  <c r="AD155" i="6"/>
  <c r="AD156" i="6"/>
  <c r="AD157" i="6"/>
  <c r="AD158" i="6"/>
  <c r="AD159" i="6"/>
  <c r="AD160" i="6"/>
  <c r="AD161" i="6"/>
  <c r="AD162" i="6"/>
  <c r="AD163" i="6"/>
  <c r="AD152" i="6"/>
  <c r="AE153" i="6"/>
  <c r="AE154" i="6"/>
  <c r="AE155" i="6"/>
  <c r="AE156" i="6"/>
  <c r="AE157" i="6"/>
  <c r="AE158" i="6"/>
  <c r="AE159" i="6"/>
  <c r="AE160" i="6"/>
  <c r="AE161" i="6"/>
  <c r="AE162" i="6"/>
  <c r="AE163" i="6"/>
  <c r="AE152" i="6"/>
  <c r="AF153" i="6"/>
  <c r="AF154" i="6"/>
  <c r="AF155" i="6"/>
  <c r="AF156" i="6"/>
  <c r="AF157" i="6"/>
  <c r="AF158" i="6"/>
  <c r="AF159" i="6"/>
  <c r="AF160" i="6"/>
  <c r="AF161" i="6"/>
  <c r="AF162" i="6"/>
  <c r="AF163" i="6"/>
  <c r="AF152" i="6"/>
  <c r="AF164" i="6" l="1"/>
  <c r="AG161" i="6"/>
  <c r="AG162" i="6"/>
  <c r="AG163" i="6"/>
  <c r="AG153" i="6"/>
  <c r="AG154" i="6"/>
  <c r="AG155" i="6"/>
  <c r="AG156" i="6"/>
  <c r="AG157" i="6"/>
  <c r="AG158" i="6"/>
  <c r="AG159" i="6"/>
  <c r="AG160" i="6"/>
  <c r="AG152" i="6"/>
  <c r="AI162" i="6" l="1"/>
  <c r="AI161" i="6"/>
  <c r="N2017" i="2"/>
  <c r="M2017" i="2"/>
  <c r="N2016" i="2"/>
  <c r="M2016" i="2"/>
  <c r="N2015" i="2"/>
  <c r="M2015" i="2"/>
  <c r="N2014" i="2"/>
  <c r="M2014" i="2"/>
  <c r="N2013" i="2"/>
  <c r="M2013" i="2"/>
  <c r="N2012" i="2"/>
  <c r="M2012" i="2"/>
  <c r="N2011" i="2"/>
  <c r="M2011" i="2"/>
  <c r="N2010" i="2"/>
  <c r="M2010" i="2"/>
  <c r="N2008" i="2"/>
  <c r="P2008" i="2" s="1"/>
  <c r="M2008" i="2"/>
  <c r="O2008" i="2" s="1"/>
  <c r="N2007" i="2"/>
  <c r="P2007" i="2" s="1"/>
  <c r="M2007" i="2"/>
  <c r="O2007" i="2" s="1"/>
  <c r="N2006" i="2"/>
  <c r="M2006" i="2"/>
  <c r="N1977" i="2"/>
  <c r="M1977" i="2"/>
  <c r="N1976" i="2"/>
  <c r="M1976" i="2"/>
  <c r="N1975" i="2"/>
  <c r="M1975" i="2"/>
  <c r="N1974" i="2"/>
  <c r="M1974" i="2"/>
  <c r="N1973" i="2"/>
  <c r="M1973" i="2"/>
  <c r="N1972" i="2"/>
  <c r="M1972" i="2"/>
  <c r="N1971" i="2"/>
  <c r="M1971" i="2"/>
  <c r="N1970" i="2"/>
  <c r="M1970" i="2"/>
  <c r="N1968" i="2"/>
  <c r="P1968" i="2" s="1"/>
  <c r="M1968" i="2"/>
  <c r="O1968" i="2" s="1"/>
  <c r="N1967" i="2"/>
  <c r="P1967" i="2" s="1"/>
  <c r="M1967" i="2"/>
  <c r="O1967" i="2" s="1"/>
  <c r="N1966" i="2"/>
  <c r="M1966" i="2"/>
  <c r="N1925" i="2"/>
  <c r="M1925" i="2"/>
  <c r="N1924" i="2"/>
  <c r="M1924" i="2"/>
  <c r="N1923" i="2"/>
  <c r="M1923" i="2"/>
  <c r="N1922" i="2"/>
  <c r="M1922" i="2"/>
  <c r="N1921" i="2"/>
  <c r="M1921" i="2"/>
  <c r="N1920" i="2"/>
  <c r="M1920" i="2"/>
  <c r="N1919" i="2"/>
  <c r="M1919" i="2"/>
  <c r="N1918" i="2"/>
  <c r="M1918" i="2"/>
  <c r="N1916" i="2"/>
  <c r="P1916" i="2" s="1"/>
  <c r="M1916" i="2"/>
  <c r="O1916" i="2" s="1"/>
  <c r="N1915" i="2"/>
  <c r="P1915" i="2" s="1"/>
  <c r="M1915" i="2"/>
  <c r="O1915" i="2" s="1"/>
  <c r="N1914" i="2"/>
  <c r="M1914" i="2"/>
  <c r="N1885" i="2"/>
  <c r="M1885" i="2"/>
  <c r="N1884" i="2"/>
  <c r="M1884" i="2"/>
  <c r="N1883" i="2"/>
  <c r="M1883" i="2"/>
  <c r="N1882" i="2"/>
  <c r="M1882" i="2"/>
  <c r="N1881" i="2"/>
  <c r="M1881" i="2"/>
  <c r="N1880" i="2"/>
  <c r="M1880" i="2"/>
  <c r="N1879" i="2"/>
  <c r="M1879" i="2"/>
  <c r="N1878" i="2"/>
  <c r="M1878" i="2"/>
  <c r="N1876" i="2"/>
  <c r="P1876" i="2" s="1"/>
  <c r="M1876" i="2"/>
  <c r="O1876" i="2" s="1"/>
  <c r="N1875" i="2"/>
  <c r="P1875" i="2" s="1"/>
  <c r="M1875" i="2"/>
  <c r="O1875" i="2" s="1"/>
  <c r="N1874" i="2"/>
  <c r="M1874" i="2"/>
  <c r="AG164" i="6"/>
  <c r="AE164" i="6"/>
  <c r="AD164" i="6"/>
  <c r="AC164" i="6"/>
  <c r="BF148" i="6"/>
  <c r="BB148" i="6"/>
  <c r="AP148" i="6"/>
  <c r="AL148" i="6"/>
  <c r="Z148" i="6"/>
  <c r="V148" i="6"/>
  <c r="R148" i="6"/>
  <c r="J148" i="6"/>
  <c r="AG81" i="6"/>
  <c r="AF81" i="6"/>
  <c r="AE81" i="6"/>
  <c r="AD81" i="6"/>
  <c r="AC81" i="6"/>
  <c r="AX65" i="6"/>
  <c r="R65" i="6"/>
  <c r="P2011" i="2" l="1"/>
  <c r="F138" i="6"/>
  <c r="P2013" i="2"/>
  <c r="F140" i="6"/>
  <c r="P2015" i="2"/>
  <c r="F142" i="6"/>
  <c r="P2017" i="2"/>
  <c r="F144" i="6"/>
  <c r="P2010" i="2"/>
  <c r="F137" i="6"/>
  <c r="P2012" i="2"/>
  <c r="F139" i="6"/>
  <c r="P2014" i="2"/>
  <c r="F141" i="6"/>
  <c r="P2016" i="2"/>
  <c r="F143" i="6"/>
  <c r="P1970" i="2"/>
  <c r="B137" i="6"/>
  <c r="P1972" i="2"/>
  <c r="B139" i="6"/>
  <c r="P1974" i="2"/>
  <c r="B141" i="6"/>
  <c r="P1976" i="2"/>
  <c r="B143" i="6"/>
  <c r="P1971" i="2"/>
  <c r="B138" i="6"/>
  <c r="P1973" i="2"/>
  <c r="B140" i="6"/>
  <c r="P1975" i="2"/>
  <c r="B142" i="6"/>
  <c r="P1977" i="2"/>
  <c r="B144" i="6"/>
  <c r="P1925" i="2"/>
  <c r="BI128" i="6"/>
  <c r="P1921" i="2"/>
  <c r="BI124" i="6"/>
  <c r="P1919" i="2"/>
  <c r="BI122" i="6"/>
  <c r="P1923" i="2"/>
  <c r="BI126" i="6"/>
  <c r="P1918" i="2"/>
  <c r="BI121" i="6"/>
  <c r="P1920" i="2"/>
  <c r="BI123" i="6"/>
  <c r="P1922" i="2"/>
  <c r="BI125" i="6"/>
  <c r="P1924" i="2"/>
  <c r="BI127" i="6"/>
  <c r="BE123" i="6"/>
  <c r="P1882" i="2"/>
  <c r="BE125" i="6"/>
  <c r="P1879" i="2"/>
  <c r="BE122" i="6"/>
  <c r="P1883" i="2"/>
  <c r="BE126" i="6"/>
  <c r="BE121" i="6"/>
  <c r="BE127" i="6"/>
  <c r="P1881" i="2"/>
  <c r="BE124" i="6"/>
  <c r="P1885" i="2"/>
  <c r="BE128" i="6"/>
  <c r="F54" i="6"/>
  <c r="O2012" i="2"/>
  <c r="F56" i="6"/>
  <c r="O2014" i="2"/>
  <c r="F58" i="6"/>
  <c r="F60" i="6"/>
  <c r="F55" i="6"/>
  <c r="F57" i="6"/>
  <c r="O2015" i="2"/>
  <c r="F59" i="6"/>
  <c r="F61" i="6"/>
  <c r="O1975" i="2"/>
  <c r="B59" i="6"/>
  <c r="B57" i="6"/>
  <c r="B61" i="6"/>
  <c r="O1970" i="2"/>
  <c r="B54" i="6"/>
  <c r="B56" i="6"/>
  <c r="B58" i="6"/>
  <c r="B60" i="6"/>
  <c r="O1971" i="2"/>
  <c r="B55" i="6"/>
  <c r="BI38" i="6"/>
  <c r="BI40" i="6"/>
  <c r="O1922" i="2"/>
  <c r="BI42" i="6"/>
  <c r="BI44" i="6"/>
  <c r="O1919" i="2"/>
  <c r="BI39" i="6"/>
  <c r="BI41" i="6"/>
  <c r="BI43" i="6"/>
  <c r="BI45" i="6"/>
  <c r="BE39" i="6"/>
  <c r="O1883" i="2"/>
  <c r="BE43" i="6"/>
  <c r="BE38" i="6"/>
  <c r="O1880" i="2"/>
  <c r="BE40" i="6"/>
  <c r="BE42" i="6"/>
  <c r="BE44" i="6"/>
  <c r="BE41" i="6"/>
  <c r="BE45" i="6"/>
  <c r="O2006" i="2"/>
  <c r="P2006" i="2"/>
  <c r="O1966" i="2"/>
  <c r="P1966" i="2"/>
  <c r="P1914" i="2"/>
  <c r="O1914" i="2"/>
  <c r="P1874" i="2"/>
  <c r="O1925" i="2"/>
  <c r="O1977" i="2"/>
  <c r="O2016" i="2"/>
  <c r="O1974" i="2"/>
  <c r="O1924" i="2"/>
  <c r="O2017" i="2"/>
  <c r="O1973" i="2"/>
  <c r="O2013" i="2"/>
  <c r="O1921" i="2"/>
  <c r="O1881" i="2"/>
  <c r="O1882" i="2"/>
  <c r="O1884" i="2"/>
  <c r="O1885" i="2"/>
  <c r="O1923" i="2"/>
  <c r="O1976" i="2"/>
  <c r="P1884" i="2"/>
  <c r="O1972" i="2"/>
  <c r="O2011" i="2"/>
  <c r="O1920" i="2"/>
  <c r="P1880" i="2"/>
  <c r="O1879" i="2"/>
  <c r="O2010" i="2"/>
  <c r="O1878" i="2"/>
  <c r="O1918" i="2"/>
  <c r="P1878" i="2"/>
  <c r="N2009" i="2"/>
  <c r="N1969" i="2"/>
  <c r="N1917" i="2"/>
  <c r="M2009" i="2"/>
  <c r="M2042" i="2" s="1"/>
  <c r="M1969" i="2"/>
  <c r="M2002" i="2" s="1"/>
  <c r="M1917" i="2"/>
  <c r="M1950" i="2" s="1"/>
  <c r="O1874" i="2"/>
  <c r="M1877" i="2"/>
  <c r="M1910" i="2" s="1"/>
  <c r="N1877" i="2"/>
  <c r="J65" i="6"/>
  <c r="V65" i="6"/>
  <c r="AP65" i="6"/>
  <c r="BB65" i="6"/>
  <c r="N148" i="6"/>
  <c r="AD148" i="6"/>
  <c r="AT148" i="6"/>
  <c r="BJ148" i="6"/>
  <c r="AH65" i="6"/>
  <c r="Z65" i="6"/>
  <c r="AL65" i="6"/>
  <c r="BF65" i="6"/>
  <c r="AH148" i="6"/>
  <c r="AX148" i="6"/>
  <c r="N65" i="6"/>
  <c r="AD65" i="6"/>
  <c r="AT65" i="6"/>
  <c r="BJ65" i="6"/>
  <c r="N2042" i="2" l="1"/>
  <c r="F136" i="6"/>
  <c r="N2002" i="2"/>
  <c r="B136" i="6"/>
  <c r="N1950" i="2"/>
  <c r="BI120" i="6"/>
  <c r="N1910" i="2"/>
  <c r="BE120" i="6"/>
  <c r="P1877" i="2"/>
  <c r="P1910" i="2" s="1"/>
  <c r="O1877" i="2"/>
  <c r="O1910" i="2" s="1"/>
  <c r="BE37" i="6"/>
  <c r="P2009" i="2"/>
  <c r="P2042" i="2" s="1"/>
  <c r="O2009" i="2"/>
  <c r="O2042" i="2" s="1"/>
  <c r="F53" i="6"/>
  <c r="P1969" i="2"/>
  <c r="P2002" i="2" s="1"/>
  <c r="O1917" i="2"/>
  <c r="O1950" i="2" s="1"/>
  <c r="BI37" i="6"/>
  <c r="O1969" i="2"/>
  <c r="O2002" i="2" s="1"/>
  <c r="B53" i="6"/>
  <c r="P1917" i="2"/>
  <c r="P1950" i="2" s="1"/>
  <c r="F65" i="6" l="1"/>
  <c r="B65" i="6"/>
  <c r="B148" i="6"/>
  <c r="F148" i="6"/>
  <c r="BE132" i="6"/>
  <c r="BE49" i="6"/>
  <c r="BI132" i="6"/>
  <c r="BI49" i="6"/>
  <c r="AU132" i="6"/>
  <c r="AK132" i="6"/>
  <c r="AZ132" i="6"/>
  <c r="AP132" i="6"/>
  <c r="AF132" i="6"/>
  <c r="V132" i="6"/>
  <c r="L132" i="6"/>
  <c r="B132" i="6"/>
  <c r="AU116" i="6"/>
  <c r="AK116" i="6"/>
  <c r="AA116" i="6"/>
  <c r="Q116" i="6"/>
  <c r="G116" i="6"/>
  <c r="L116" i="6" l="1"/>
  <c r="V116" i="6"/>
  <c r="AF116" i="6"/>
  <c r="AP116" i="6"/>
  <c r="AZ116" i="6"/>
  <c r="G132" i="6"/>
  <c r="Q132" i="6"/>
  <c r="AA132" i="6"/>
  <c r="N1845" i="2" l="1"/>
  <c r="BA128" i="6" s="1"/>
  <c r="M1845" i="2"/>
  <c r="BA45" i="6" s="1"/>
  <c r="N1844" i="2"/>
  <c r="BA127" i="6" s="1"/>
  <c r="M1844" i="2"/>
  <c r="BA44" i="6" s="1"/>
  <c r="N1843" i="2"/>
  <c r="BA126" i="6" s="1"/>
  <c r="M1843" i="2"/>
  <c r="BA43" i="6" s="1"/>
  <c r="N1842" i="2"/>
  <c r="BA125" i="6" s="1"/>
  <c r="M1842" i="2"/>
  <c r="BA42" i="6" s="1"/>
  <c r="N1841" i="2"/>
  <c r="BA124" i="6" s="1"/>
  <c r="M1841" i="2"/>
  <c r="BA41" i="6" s="1"/>
  <c r="N1840" i="2"/>
  <c r="BA123" i="6" s="1"/>
  <c r="M1840" i="2"/>
  <c r="BA40" i="6" s="1"/>
  <c r="N1839" i="2"/>
  <c r="BA122" i="6" s="1"/>
  <c r="M1839" i="2"/>
  <c r="BA39" i="6" s="1"/>
  <c r="N1838" i="2"/>
  <c r="BA121" i="6" s="1"/>
  <c r="M1838" i="2"/>
  <c r="BA38" i="6" s="1"/>
  <c r="N1837" i="2"/>
  <c r="M1837" i="2"/>
  <c r="N1836" i="2"/>
  <c r="P1836" i="2" s="1"/>
  <c r="M1836" i="2"/>
  <c r="AZ48" i="6" s="1"/>
  <c r="N1834" i="2"/>
  <c r="M1834" i="2"/>
  <c r="P1834" i="2" l="1"/>
  <c r="O1834" i="2"/>
  <c r="AZ46" i="6"/>
  <c r="O1841" i="2"/>
  <c r="O1843" i="2"/>
  <c r="O1845" i="2"/>
  <c r="P1841" i="2"/>
  <c r="P1843" i="2"/>
  <c r="P1845" i="2"/>
  <c r="O1842" i="2"/>
  <c r="O1844" i="2"/>
  <c r="P1842" i="2"/>
  <c r="P1844" i="2"/>
  <c r="O1840" i="2"/>
  <c r="P1840" i="2"/>
  <c r="O1839" i="2"/>
  <c r="P1839" i="2"/>
  <c r="P1838" i="2"/>
  <c r="O1838" i="2"/>
  <c r="P1837" i="2"/>
  <c r="BA120" i="6"/>
  <c r="O1837" i="2"/>
  <c r="BA37" i="6"/>
  <c r="O1836" i="2"/>
  <c r="M1835" i="2"/>
  <c r="AZ47" i="6" s="1"/>
  <c r="N1835" i="2"/>
  <c r="N1870" i="2" s="1"/>
  <c r="N1805" i="2"/>
  <c r="AV128" i="6" s="1"/>
  <c r="M1805" i="2"/>
  <c r="AV45" i="6" s="1"/>
  <c r="N1804" i="2"/>
  <c r="AV127" i="6" s="1"/>
  <c r="M1804" i="2"/>
  <c r="AV44" i="6" s="1"/>
  <c r="N1803" i="2"/>
  <c r="AV126" i="6" s="1"/>
  <c r="M1803" i="2"/>
  <c r="AV43" i="6" s="1"/>
  <c r="N1802" i="2"/>
  <c r="AV125" i="6" s="1"/>
  <c r="M1802" i="2"/>
  <c r="AV42" i="6" s="1"/>
  <c r="N1801" i="2"/>
  <c r="AV124" i="6" s="1"/>
  <c r="M1801" i="2"/>
  <c r="AV41" i="6" s="1"/>
  <c r="N1800" i="2"/>
  <c r="AV123" i="6" s="1"/>
  <c r="M1800" i="2"/>
  <c r="AV40" i="6" s="1"/>
  <c r="N1799" i="2"/>
  <c r="AV122" i="6" s="1"/>
  <c r="M1799" i="2"/>
  <c r="AV39" i="6" s="1"/>
  <c r="N1798" i="2"/>
  <c r="AV121" i="6" s="1"/>
  <c r="M1798" i="2"/>
  <c r="AV38" i="6" s="1"/>
  <c r="N1797" i="2"/>
  <c r="M1797" i="2"/>
  <c r="N1796" i="2"/>
  <c r="P1796" i="2" s="1"/>
  <c r="M1796" i="2"/>
  <c r="N1795" i="2"/>
  <c r="P1795" i="2" s="1"/>
  <c r="M1795" i="2"/>
  <c r="M1870" i="2" l="1"/>
  <c r="P1802" i="2"/>
  <c r="P1804" i="2"/>
  <c r="O1795" i="2"/>
  <c r="AU47" i="6"/>
  <c r="O1801" i="2"/>
  <c r="O1803" i="2"/>
  <c r="O1805" i="2"/>
  <c r="P1801" i="2"/>
  <c r="P1803" i="2"/>
  <c r="P1805" i="2"/>
  <c r="AZ49" i="6"/>
  <c r="O1796" i="2"/>
  <c r="AU48" i="6"/>
  <c r="O1802" i="2"/>
  <c r="O1804" i="2"/>
  <c r="O1800" i="2"/>
  <c r="P1800" i="2"/>
  <c r="O1799" i="2"/>
  <c r="P1799" i="2"/>
  <c r="O1798" i="2"/>
  <c r="P1798" i="2"/>
  <c r="P1797" i="2"/>
  <c r="AV120" i="6"/>
  <c r="BA132" i="6"/>
  <c r="O1797" i="2"/>
  <c r="AV37" i="6"/>
  <c r="BA49" i="6"/>
  <c r="P1835" i="2"/>
  <c r="P1870" i="2" s="1"/>
  <c r="O1835" i="2"/>
  <c r="O1870" i="2" s="1"/>
  <c r="N1794" i="2"/>
  <c r="N1830" i="2" s="1"/>
  <c r="M1794" i="2"/>
  <c r="AU46" i="6" l="1"/>
  <c r="M1830" i="2"/>
  <c r="AV132" i="6"/>
  <c r="AV49" i="6"/>
  <c r="O1794" i="2"/>
  <c r="O1830" i="2" s="1"/>
  <c r="P1794" i="2"/>
  <c r="P1830" i="2" s="1"/>
  <c r="N1525" i="2"/>
  <c r="P1525" i="2" s="1"/>
  <c r="M1525" i="2"/>
  <c r="O1525" i="2" s="1"/>
  <c r="N1524" i="2"/>
  <c r="P1524" i="2" s="1"/>
  <c r="M1524" i="2"/>
  <c r="O1524" i="2" s="1"/>
  <c r="N1523" i="2"/>
  <c r="P1523" i="2" s="1"/>
  <c r="M1523" i="2"/>
  <c r="O1523" i="2" s="1"/>
  <c r="N1522" i="2"/>
  <c r="P1522" i="2" s="1"/>
  <c r="M1522" i="2"/>
  <c r="O1522" i="2" s="1"/>
  <c r="N1521" i="2"/>
  <c r="P1521" i="2" s="1"/>
  <c r="M1521" i="2"/>
  <c r="O1521" i="2" s="1"/>
  <c r="N1520" i="2"/>
  <c r="P1520" i="2" s="1"/>
  <c r="M1520" i="2"/>
  <c r="O1520" i="2" s="1"/>
  <c r="N1519" i="2"/>
  <c r="M1519" i="2"/>
  <c r="N1473" i="2"/>
  <c r="P1473" i="2" s="1"/>
  <c r="M1473" i="2"/>
  <c r="O1473" i="2" s="1"/>
  <c r="N1472" i="2"/>
  <c r="P1472" i="2" s="1"/>
  <c r="M1472" i="2"/>
  <c r="O1472" i="2" s="1"/>
  <c r="N1471" i="2"/>
  <c r="P1471" i="2" s="1"/>
  <c r="M1471" i="2"/>
  <c r="O1471" i="2" s="1"/>
  <c r="N1470" i="2"/>
  <c r="P1470" i="2" s="1"/>
  <c r="M1470" i="2"/>
  <c r="O1470" i="2" s="1"/>
  <c r="N1469" i="2"/>
  <c r="P1469" i="2" s="1"/>
  <c r="M1469" i="2"/>
  <c r="O1469" i="2" s="1"/>
  <c r="N1468" i="2"/>
  <c r="P1468" i="2" s="1"/>
  <c r="M1468" i="2"/>
  <c r="O1468" i="2" s="1"/>
  <c r="N1467" i="2"/>
  <c r="M1467" i="2"/>
  <c r="N1421" i="2"/>
  <c r="P1421" i="2" s="1"/>
  <c r="M1421" i="2"/>
  <c r="O1421" i="2" s="1"/>
  <c r="N1420" i="2"/>
  <c r="P1420" i="2" s="1"/>
  <c r="M1420" i="2"/>
  <c r="O1420" i="2" s="1"/>
  <c r="N1419" i="2"/>
  <c r="P1419" i="2" s="1"/>
  <c r="M1419" i="2"/>
  <c r="O1419" i="2" s="1"/>
  <c r="N1418" i="2"/>
  <c r="P1418" i="2" s="1"/>
  <c r="M1418" i="2"/>
  <c r="O1418" i="2" s="1"/>
  <c r="N1417" i="2"/>
  <c r="P1417" i="2" s="1"/>
  <c r="M1417" i="2"/>
  <c r="O1417" i="2" s="1"/>
  <c r="N1416" i="2"/>
  <c r="P1416" i="2" s="1"/>
  <c r="M1416" i="2"/>
  <c r="O1416" i="2" s="1"/>
  <c r="N1415" i="2"/>
  <c r="M1415" i="2"/>
  <c r="N1368" i="2"/>
  <c r="P1368" i="2" s="1"/>
  <c r="M1368" i="2"/>
  <c r="O1368" i="2" s="1"/>
  <c r="N1367" i="2"/>
  <c r="P1367" i="2" s="1"/>
  <c r="M1367" i="2"/>
  <c r="O1367" i="2" s="1"/>
  <c r="N1366" i="2"/>
  <c r="P1366" i="2" s="1"/>
  <c r="M1366" i="2"/>
  <c r="O1366" i="2" s="1"/>
  <c r="N1365" i="2"/>
  <c r="P1365" i="2" s="1"/>
  <c r="M1365" i="2"/>
  <c r="O1365" i="2" s="1"/>
  <c r="N1364" i="2"/>
  <c r="P1364" i="2" s="1"/>
  <c r="M1364" i="2"/>
  <c r="O1364" i="2" s="1"/>
  <c r="N1363" i="2"/>
  <c r="M1363" i="2"/>
  <c r="N1316" i="2"/>
  <c r="P1316" i="2" s="1"/>
  <c r="M1316" i="2"/>
  <c r="O1316" i="2" s="1"/>
  <c r="N1315" i="2"/>
  <c r="P1315" i="2" s="1"/>
  <c r="M1315" i="2"/>
  <c r="O1315" i="2" s="1"/>
  <c r="N1314" i="2"/>
  <c r="P1314" i="2" s="1"/>
  <c r="M1314" i="2"/>
  <c r="O1314" i="2" s="1"/>
  <c r="N1313" i="2"/>
  <c r="P1313" i="2" s="1"/>
  <c r="M1313" i="2"/>
  <c r="O1313" i="2" s="1"/>
  <c r="N1312" i="2"/>
  <c r="P1312" i="2" s="1"/>
  <c r="M1312" i="2"/>
  <c r="O1312" i="2" s="1"/>
  <c r="N1311" i="2"/>
  <c r="M1311" i="2"/>
  <c r="N1264" i="2"/>
  <c r="P1264" i="2" s="1"/>
  <c r="M1264" i="2"/>
  <c r="O1264" i="2" s="1"/>
  <c r="N1263" i="2"/>
  <c r="P1263" i="2" s="1"/>
  <c r="M1263" i="2"/>
  <c r="O1263" i="2" s="1"/>
  <c r="N1262" i="2"/>
  <c r="P1262" i="2" s="1"/>
  <c r="M1262" i="2"/>
  <c r="O1262" i="2" s="1"/>
  <c r="N1261" i="2"/>
  <c r="P1261" i="2" s="1"/>
  <c r="M1261" i="2"/>
  <c r="O1261" i="2" s="1"/>
  <c r="N1260" i="2"/>
  <c r="P1260" i="2" s="1"/>
  <c r="M1260" i="2"/>
  <c r="O1260" i="2" s="1"/>
  <c r="N1259" i="2"/>
  <c r="M1259" i="2"/>
  <c r="N1197" i="2"/>
  <c r="P1197" i="2" s="1"/>
  <c r="M1197" i="2"/>
  <c r="O1197" i="2" s="1"/>
  <c r="N1196" i="2"/>
  <c r="P1196" i="2" s="1"/>
  <c r="M1196" i="2"/>
  <c r="O1196" i="2" s="1"/>
  <c r="N1195" i="2"/>
  <c r="P1195" i="2" s="1"/>
  <c r="M1195" i="2"/>
  <c r="O1195" i="2" s="1"/>
  <c r="N1194" i="2"/>
  <c r="P1194" i="2" s="1"/>
  <c r="M1194" i="2"/>
  <c r="O1194" i="2" s="1"/>
  <c r="N1193" i="2"/>
  <c r="P1193" i="2" s="1"/>
  <c r="M1193" i="2"/>
  <c r="O1193" i="2" s="1"/>
  <c r="N1192" i="2"/>
  <c r="M1192" i="2"/>
  <c r="N1145" i="2"/>
  <c r="P1145" i="2" s="1"/>
  <c r="M1145" i="2"/>
  <c r="O1145" i="2" s="1"/>
  <c r="N1144" i="2"/>
  <c r="P1144" i="2" s="1"/>
  <c r="M1144" i="2"/>
  <c r="O1144" i="2" s="1"/>
  <c r="N1143" i="2"/>
  <c r="P1143" i="2" s="1"/>
  <c r="M1143" i="2"/>
  <c r="O1143" i="2" s="1"/>
  <c r="N1142" i="2"/>
  <c r="P1142" i="2" s="1"/>
  <c r="M1142" i="2"/>
  <c r="O1142" i="2" s="1"/>
  <c r="N1141" i="2"/>
  <c r="P1141" i="2" s="1"/>
  <c r="M1141" i="2"/>
  <c r="O1141" i="2" s="1"/>
  <c r="N1140" i="2"/>
  <c r="M1140" i="2"/>
  <c r="N1093" i="2"/>
  <c r="P1093" i="2" s="1"/>
  <c r="M1093" i="2"/>
  <c r="O1093" i="2" s="1"/>
  <c r="N1092" i="2"/>
  <c r="P1092" i="2" s="1"/>
  <c r="M1092" i="2"/>
  <c r="O1092" i="2" s="1"/>
  <c r="N1091" i="2"/>
  <c r="P1091" i="2" s="1"/>
  <c r="M1091" i="2"/>
  <c r="O1091" i="2" s="1"/>
  <c r="N1090" i="2"/>
  <c r="P1090" i="2" s="1"/>
  <c r="M1090" i="2"/>
  <c r="O1090" i="2" s="1"/>
  <c r="N1089" i="2"/>
  <c r="P1089" i="2" s="1"/>
  <c r="M1089" i="2"/>
  <c r="O1089" i="2" s="1"/>
  <c r="N1088" i="2"/>
  <c r="M1088" i="2"/>
  <c r="N1041" i="2"/>
  <c r="P1041" i="2" s="1"/>
  <c r="M1041" i="2"/>
  <c r="O1041" i="2" s="1"/>
  <c r="N1040" i="2"/>
  <c r="P1040" i="2" s="1"/>
  <c r="M1040" i="2"/>
  <c r="O1040" i="2" s="1"/>
  <c r="N1039" i="2"/>
  <c r="P1039" i="2" s="1"/>
  <c r="M1039" i="2"/>
  <c r="O1039" i="2" s="1"/>
  <c r="N1038" i="2"/>
  <c r="P1038" i="2" s="1"/>
  <c r="M1038" i="2"/>
  <c r="O1038" i="2" s="1"/>
  <c r="N1037" i="2"/>
  <c r="P1037" i="2" s="1"/>
  <c r="M1037" i="2"/>
  <c r="O1037" i="2" s="1"/>
  <c r="N1036" i="2"/>
  <c r="M1036" i="2"/>
  <c r="N989" i="2"/>
  <c r="P989" i="2" s="1"/>
  <c r="M989" i="2"/>
  <c r="O989" i="2" s="1"/>
  <c r="N988" i="2"/>
  <c r="P988" i="2" s="1"/>
  <c r="M988" i="2"/>
  <c r="O988" i="2" s="1"/>
  <c r="N987" i="2"/>
  <c r="P987" i="2" s="1"/>
  <c r="M987" i="2"/>
  <c r="O987" i="2" s="1"/>
  <c r="N986" i="2"/>
  <c r="P986" i="2" s="1"/>
  <c r="M986" i="2"/>
  <c r="O986" i="2" s="1"/>
  <c r="N985" i="2"/>
  <c r="P985" i="2" s="1"/>
  <c r="M985" i="2"/>
  <c r="O985" i="2" s="1"/>
  <c r="N984" i="2"/>
  <c r="M984" i="2"/>
  <c r="N936" i="2"/>
  <c r="P936" i="2" s="1"/>
  <c r="M936" i="2"/>
  <c r="O936" i="2" s="1"/>
  <c r="N935" i="2"/>
  <c r="P935" i="2" s="1"/>
  <c r="M935" i="2"/>
  <c r="O935" i="2" s="1"/>
  <c r="N934" i="2"/>
  <c r="P934" i="2" s="1"/>
  <c r="M934" i="2"/>
  <c r="O934" i="2" s="1"/>
  <c r="N933" i="2"/>
  <c r="P933" i="2" s="1"/>
  <c r="M933" i="2"/>
  <c r="O933" i="2" s="1"/>
  <c r="N932" i="2"/>
  <c r="M932" i="2"/>
  <c r="N877" i="2"/>
  <c r="P877" i="2" s="1"/>
  <c r="M877" i="2"/>
  <c r="O877" i="2" s="1"/>
  <c r="N876" i="2"/>
  <c r="P876" i="2" s="1"/>
  <c r="M876" i="2"/>
  <c r="O876" i="2" s="1"/>
  <c r="N875" i="2"/>
  <c r="P875" i="2" s="1"/>
  <c r="M875" i="2"/>
  <c r="O875" i="2" s="1"/>
  <c r="N874" i="2"/>
  <c r="P874" i="2" s="1"/>
  <c r="M874" i="2"/>
  <c r="O874" i="2" s="1"/>
  <c r="N873" i="2"/>
  <c r="M873" i="2"/>
  <c r="N825" i="2"/>
  <c r="P825" i="2" s="1"/>
  <c r="M825" i="2"/>
  <c r="O825" i="2" s="1"/>
  <c r="N824" i="2"/>
  <c r="P824" i="2" s="1"/>
  <c r="M824" i="2"/>
  <c r="O824" i="2" s="1"/>
  <c r="N823" i="2"/>
  <c r="P823" i="2" s="1"/>
  <c r="M823" i="2"/>
  <c r="O823" i="2" s="1"/>
  <c r="N822" i="2"/>
  <c r="P822" i="2" s="1"/>
  <c r="M822" i="2"/>
  <c r="O822" i="2" s="1"/>
  <c r="N821" i="2"/>
  <c r="M821" i="2"/>
  <c r="N772" i="2"/>
  <c r="P772" i="2" s="1"/>
  <c r="M772" i="2"/>
  <c r="O772" i="2" s="1"/>
  <c r="N771" i="2"/>
  <c r="P771" i="2" s="1"/>
  <c r="M771" i="2"/>
  <c r="O771" i="2" s="1"/>
  <c r="N770" i="2"/>
  <c r="P770" i="2" s="1"/>
  <c r="M770" i="2"/>
  <c r="O770" i="2" s="1"/>
  <c r="N769" i="2"/>
  <c r="M769" i="2"/>
  <c r="M641" i="2"/>
  <c r="N644" i="2"/>
  <c r="P644" i="2" s="1"/>
  <c r="M644" i="2"/>
  <c r="O644" i="2" s="1"/>
  <c r="N643" i="2"/>
  <c r="P643" i="2" s="1"/>
  <c r="M643" i="2"/>
  <c r="O643" i="2" s="1"/>
  <c r="N642" i="2"/>
  <c r="P642" i="2" s="1"/>
  <c r="M642" i="2"/>
  <c r="O642" i="2" s="1"/>
  <c r="N641" i="2"/>
  <c r="AZ100" i="6"/>
  <c r="AY100" i="6"/>
  <c r="AQ100" i="6"/>
  <c r="AP100" i="6"/>
  <c r="AH100" i="6"/>
  <c r="AG100" i="6"/>
  <c r="AF100" i="6"/>
  <c r="X100" i="6"/>
  <c r="W100" i="6"/>
  <c r="V100" i="6"/>
  <c r="N100" i="6"/>
  <c r="M100" i="6"/>
  <c r="L100" i="6"/>
  <c r="D100" i="6"/>
  <c r="C100" i="6"/>
  <c r="B100" i="6"/>
  <c r="Y100" i="6"/>
  <c r="F100" i="6"/>
  <c r="AZ17" i="6"/>
  <c r="AY17" i="6"/>
  <c r="AQ17" i="6"/>
  <c r="AP17" i="6"/>
  <c r="AH17" i="6"/>
  <c r="AG17" i="6"/>
  <c r="AF17" i="6"/>
  <c r="X17" i="6"/>
  <c r="W17" i="6"/>
  <c r="V17" i="6"/>
  <c r="N17" i="6"/>
  <c r="M17" i="6"/>
  <c r="L17" i="6"/>
  <c r="D17" i="6"/>
  <c r="C17" i="6"/>
  <c r="B17" i="6"/>
  <c r="AI17" i="6"/>
  <c r="O17" i="6"/>
  <c r="AR17" i="6"/>
  <c r="E17" i="6"/>
  <c r="AU49" i="6" l="1"/>
  <c r="P1519" i="2"/>
  <c r="O1519" i="2"/>
  <c r="O1467" i="2"/>
  <c r="P1467" i="2"/>
  <c r="P1415" i="2"/>
  <c r="O1415" i="2"/>
  <c r="P1363" i="2"/>
  <c r="O1363" i="2"/>
  <c r="P1311" i="2"/>
  <c r="O1311" i="2"/>
  <c r="P1259" i="2"/>
  <c r="O1259" i="2"/>
  <c r="P1192" i="2"/>
  <c r="O1192" i="2"/>
  <c r="P1140" i="2"/>
  <c r="O1140" i="2"/>
  <c r="P1088" i="2"/>
  <c r="O1088" i="2"/>
  <c r="P1036" i="2"/>
  <c r="O1036" i="2"/>
  <c r="P984" i="2"/>
  <c r="O984" i="2"/>
  <c r="O932" i="2"/>
  <c r="P932" i="2"/>
  <c r="P873" i="2"/>
  <c r="O873" i="2"/>
  <c r="O821" i="2"/>
  <c r="P821" i="2"/>
  <c r="O769" i="2"/>
  <c r="P769" i="2"/>
  <c r="P641" i="2"/>
  <c r="O641" i="2"/>
  <c r="Y17" i="6"/>
  <c r="BB100" i="6"/>
  <c r="Z100" i="6"/>
  <c r="O100" i="6"/>
  <c r="BI17" i="6"/>
  <c r="BA17" i="6"/>
  <c r="AI100" i="6"/>
  <c r="AR100" i="6"/>
  <c r="BA100" i="6"/>
  <c r="P100" i="6"/>
  <c r="AS100" i="6"/>
  <c r="AJ17" i="6"/>
  <c r="F17" i="6"/>
  <c r="BH17" i="6"/>
  <c r="P17" i="6"/>
  <c r="AS17" i="6"/>
  <c r="Z17" i="6"/>
  <c r="E100" i="6"/>
  <c r="BH100" i="6"/>
  <c r="BB17" i="6"/>
  <c r="AJ100" i="6"/>
  <c r="BI100" i="6"/>
  <c r="N780" i="2"/>
  <c r="P780" i="2" s="1"/>
  <c r="M780" i="2"/>
  <c r="O780" i="2" s="1"/>
  <c r="N832" i="2"/>
  <c r="P832" i="2" s="1"/>
  <c r="M832" i="2"/>
  <c r="O832" i="2" s="1"/>
  <c r="N884" i="2"/>
  <c r="P884" i="2" s="1"/>
  <c r="M884" i="2"/>
  <c r="O884" i="2" s="1"/>
  <c r="N943" i="2"/>
  <c r="P943" i="2" s="1"/>
  <c r="M943" i="2"/>
  <c r="O943" i="2" s="1"/>
  <c r="N995" i="2"/>
  <c r="P995" i="2" s="1"/>
  <c r="M995" i="2"/>
  <c r="O995" i="2" s="1"/>
  <c r="N1047" i="2"/>
  <c r="P1047" i="2" s="1"/>
  <c r="M1047" i="2"/>
  <c r="O1047" i="2" s="1"/>
  <c r="N1099" i="2"/>
  <c r="P1099" i="2" s="1"/>
  <c r="M1099" i="2"/>
  <c r="O1099" i="2" s="1"/>
  <c r="N1151" i="2"/>
  <c r="P1151" i="2" s="1"/>
  <c r="M1151" i="2"/>
  <c r="O1151" i="2" s="1"/>
  <c r="N1203" i="2"/>
  <c r="P1203" i="2" s="1"/>
  <c r="M1203" i="2"/>
  <c r="O1203" i="2" s="1"/>
  <c r="N1270" i="2"/>
  <c r="P1270" i="2" s="1"/>
  <c r="M1270" i="2"/>
  <c r="O1270" i="2" s="1"/>
  <c r="N1322" i="2"/>
  <c r="P1322" i="2" s="1"/>
  <c r="M1322" i="2"/>
  <c r="O1322" i="2" s="1"/>
  <c r="N1374" i="2"/>
  <c r="P1374" i="2" s="1"/>
  <c r="M1374" i="2"/>
  <c r="O1374" i="2" s="1"/>
  <c r="N1426" i="2"/>
  <c r="P1426" i="2" s="1"/>
  <c r="M1426" i="2"/>
  <c r="O1426" i="2" s="1"/>
  <c r="N1478" i="2"/>
  <c r="P1478" i="2" s="1"/>
  <c r="M1478" i="2"/>
  <c r="O1478" i="2" s="1"/>
  <c r="N1530" i="2"/>
  <c r="P1530" i="2" s="1"/>
  <c r="M1530" i="2"/>
  <c r="O1530" i="2" s="1"/>
  <c r="N1538" i="2"/>
  <c r="W124" i="6" s="1"/>
  <c r="M1538" i="2"/>
  <c r="W41" i="6" s="1"/>
  <c r="N1537" i="2"/>
  <c r="W123" i="6" s="1"/>
  <c r="M1537" i="2"/>
  <c r="W40" i="6" s="1"/>
  <c r="N1536" i="2"/>
  <c r="W122" i="6" s="1"/>
  <c r="M1536" i="2"/>
  <c r="W39" i="6" s="1"/>
  <c r="N1535" i="2"/>
  <c r="W121" i="6" s="1"/>
  <c r="M1535" i="2"/>
  <c r="W38" i="6" s="1"/>
  <c r="N1534" i="2"/>
  <c r="M1534" i="2"/>
  <c r="N1533" i="2"/>
  <c r="M1533" i="2"/>
  <c r="V48" i="6" s="1"/>
  <c r="N1532" i="2"/>
  <c r="M1532" i="2"/>
  <c r="V47" i="6" s="1"/>
  <c r="N1486" i="2"/>
  <c r="R124" i="6" s="1"/>
  <c r="M1486" i="2"/>
  <c r="R41" i="6" s="1"/>
  <c r="N1485" i="2"/>
  <c r="R123" i="6" s="1"/>
  <c r="M1485" i="2"/>
  <c r="R40" i="6" s="1"/>
  <c r="N1484" i="2"/>
  <c r="R122" i="6" s="1"/>
  <c r="M1484" i="2"/>
  <c r="R39" i="6" s="1"/>
  <c r="N1483" i="2"/>
  <c r="R121" i="6" s="1"/>
  <c r="M1483" i="2"/>
  <c r="R38" i="6" s="1"/>
  <c r="N1482" i="2"/>
  <c r="M1482" i="2"/>
  <c r="N1481" i="2"/>
  <c r="M1481" i="2"/>
  <c r="Q48" i="6" s="1"/>
  <c r="N1480" i="2"/>
  <c r="M1480" i="2"/>
  <c r="Q47" i="6" s="1"/>
  <c r="M1433" i="2"/>
  <c r="M40" i="6" s="1"/>
  <c r="N1433" i="2"/>
  <c r="M123" i="6" s="1"/>
  <c r="N1432" i="2"/>
  <c r="M122" i="6" s="1"/>
  <c r="M1432" i="2"/>
  <c r="M39" i="6" s="1"/>
  <c r="N1431" i="2"/>
  <c r="M121" i="6" s="1"/>
  <c r="M1431" i="2"/>
  <c r="M38" i="6" s="1"/>
  <c r="N1430" i="2"/>
  <c r="M1430" i="2"/>
  <c r="N1429" i="2"/>
  <c r="M1429" i="2"/>
  <c r="L48" i="6" s="1"/>
  <c r="N1428" i="2"/>
  <c r="M1428" i="2"/>
  <c r="L47" i="6" s="1"/>
  <c r="N1380" i="2"/>
  <c r="H122" i="6" s="1"/>
  <c r="M1380" i="2"/>
  <c r="N1379" i="2"/>
  <c r="H121" i="6" s="1"/>
  <c r="M1379" i="2"/>
  <c r="N1378" i="2"/>
  <c r="M1378" i="2"/>
  <c r="N1377" i="2"/>
  <c r="M1377" i="2"/>
  <c r="G48" i="6" s="1"/>
  <c r="N1376" i="2"/>
  <c r="M1376" i="2"/>
  <c r="G47" i="6" s="1"/>
  <c r="N1328" i="2"/>
  <c r="C122" i="6" s="1"/>
  <c r="M1328" i="2"/>
  <c r="C39" i="6" s="1"/>
  <c r="N1327" i="2"/>
  <c r="C121" i="6" s="1"/>
  <c r="M1327" i="2"/>
  <c r="C38" i="6" s="1"/>
  <c r="N1326" i="2"/>
  <c r="M1326" i="2"/>
  <c r="N1325" i="2"/>
  <c r="M1325" i="2"/>
  <c r="B48" i="6" s="1"/>
  <c r="N1324" i="2"/>
  <c r="M1324" i="2"/>
  <c r="B47" i="6" s="1"/>
  <c r="N1276" i="2"/>
  <c r="BA106" i="6" s="1"/>
  <c r="M1276" i="2"/>
  <c r="BA23" i="6" s="1"/>
  <c r="N1275" i="2"/>
  <c r="BA105" i="6" s="1"/>
  <c r="M1275" i="2"/>
  <c r="BA22" i="6" s="1"/>
  <c r="N1274" i="2"/>
  <c r="M1274" i="2"/>
  <c r="N1273" i="2"/>
  <c r="M1273" i="2"/>
  <c r="AZ32" i="6" s="1"/>
  <c r="N1272" i="2"/>
  <c r="M1272" i="2"/>
  <c r="AZ31" i="6" s="1"/>
  <c r="N1209" i="2"/>
  <c r="AV106" i="6" s="1"/>
  <c r="M1209" i="2"/>
  <c r="AV23" i="6" s="1"/>
  <c r="N1208" i="2"/>
  <c r="AV105" i="6" s="1"/>
  <c r="M1208" i="2"/>
  <c r="AV22" i="6" s="1"/>
  <c r="N1207" i="2"/>
  <c r="M1207" i="2"/>
  <c r="N1206" i="2"/>
  <c r="M1206" i="2"/>
  <c r="AU32" i="6" s="1"/>
  <c r="N1205" i="2"/>
  <c r="M1205" i="2"/>
  <c r="AU31" i="6" s="1"/>
  <c r="N1157" i="2"/>
  <c r="AQ106" i="6" s="1"/>
  <c r="M1157" i="2"/>
  <c r="AQ23" i="6" s="1"/>
  <c r="N1156" i="2"/>
  <c r="AQ105" i="6" s="1"/>
  <c r="M1156" i="2"/>
  <c r="AQ22" i="6" s="1"/>
  <c r="N1155" i="2"/>
  <c r="M1155" i="2"/>
  <c r="N1154" i="2"/>
  <c r="M1154" i="2"/>
  <c r="AP32" i="6" s="1"/>
  <c r="N1153" i="2"/>
  <c r="M1153" i="2"/>
  <c r="AP31" i="6" s="1"/>
  <c r="N1105" i="2"/>
  <c r="AL106" i="6" s="1"/>
  <c r="M1105" i="2"/>
  <c r="AL23" i="6" s="1"/>
  <c r="N1104" i="2"/>
  <c r="AL105" i="6" s="1"/>
  <c r="M1104" i="2"/>
  <c r="AL22" i="6" s="1"/>
  <c r="N1103" i="2"/>
  <c r="M1103" i="2"/>
  <c r="N1102" i="2"/>
  <c r="M1102" i="2"/>
  <c r="AK32" i="6" s="1"/>
  <c r="N1101" i="2"/>
  <c r="M1101" i="2"/>
  <c r="AK31" i="6" s="1"/>
  <c r="N1053" i="2"/>
  <c r="AG106" i="6" s="1"/>
  <c r="M1053" i="2"/>
  <c r="AG23" i="6" s="1"/>
  <c r="N1052" i="2"/>
  <c r="AG105" i="6" s="1"/>
  <c r="M1052" i="2"/>
  <c r="AG22" i="6" s="1"/>
  <c r="N1051" i="2"/>
  <c r="M1051" i="2"/>
  <c r="N1050" i="2"/>
  <c r="M1050" i="2"/>
  <c r="AF32" i="6" s="1"/>
  <c r="N1049" i="2"/>
  <c r="M1049" i="2"/>
  <c r="AF31" i="6" s="1"/>
  <c r="N1001" i="2"/>
  <c r="AB106" i="6" s="1"/>
  <c r="M1001" i="2"/>
  <c r="AB23" i="6" s="1"/>
  <c r="N1000" i="2"/>
  <c r="AB105" i="6" s="1"/>
  <c r="M1000" i="2"/>
  <c r="AB22" i="6" s="1"/>
  <c r="N999" i="2"/>
  <c r="M999" i="2"/>
  <c r="AB21" i="6" s="1"/>
  <c r="N998" i="2"/>
  <c r="M998" i="2"/>
  <c r="AA32" i="6" s="1"/>
  <c r="N997" i="2"/>
  <c r="M997" i="2"/>
  <c r="AA31" i="6" s="1"/>
  <c r="N949" i="2"/>
  <c r="W106" i="6" s="1"/>
  <c r="M949" i="2"/>
  <c r="W23" i="6" s="1"/>
  <c r="N948" i="2"/>
  <c r="W105" i="6" s="1"/>
  <c r="M948" i="2"/>
  <c r="W22" i="6" s="1"/>
  <c r="N947" i="2"/>
  <c r="M947" i="2"/>
  <c r="W21" i="6" s="1"/>
  <c r="N946" i="2"/>
  <c r="M946" i="2"/>
  <c r="V32" i="6" s="1"/>
  <c r="N945" i="2"/>
  <c r="M945" i="2"/>
  <c r="V31" i="6" s="1"/>
  <c r="N890" i="2"/>
  <c r="R106" i="6" s="1"/>
  <c r="M890" i="2"/>
  <c r="R23" i="6" s="1"/>
  <c r="N889" i="2"/>
  <c r="R105" i="6" s="1"/>
  <c r="M889" i="2"/>
  <c r="R22" i="6" s="1"/>
  <c r="N888" i="2"/>
  <c r="R104" i="6" s="1"/>
  <c r="M888" i="2"/>
  <c r="R21" i="6" s="1"/>
  <c r="N887" i="2"/>
  <c r="M887" i="2"/>
  <c r="Q32" i="6" s="1"/>
  <c r="N886" i="2"/>
  <c r="M886" i="2"/>
  <c r="Q31" i="6" s="1"/>
  <c r="N838" i="2"/>
  <c r="M106" i="6" s="1"/>
  <c r="M838" i="2"/>
  <c r="M23" i="6" s="1"/>
  <c r="N837" i="2"/>
  <c r="M105" i="6" s="1"/>
  <c r="M837" i="2"/>
  <c r="M22" i="6" s="1"/>
  <c r="N836" i="2"/>
  <c r="M104" i="6" s="1"/>
  <c r="M836" i="2"/>
  <c r="M21" i="6" s="1"/>
  <c r="N835" i="2"/>
  <c r="M835" i="2"/>
  <c r="L32" i="6" s="1"/>
  <c r="N834" i="2"/>
  <c r="M834" i="2"/>
  <c r="L31" i="6" s="1"/>
  <c r="N786" i="2"/>
  <c r="H106" i="6" s="1"/>
  <c r="M786" i="2"/>
  <c r="N785" i="2"/>
  <c r="H105" i="6" s="1"/>
  <c r="M785" i="2"/>
  <c r="N784" i="2"/>
  <c r="M784" i="2"/>
  <c r="N783" i="2"/>
  <c r="M783" i="2"/>
  <c r="G32" i="6" s="1"/>
  <c r="N782" i="2"/>
  <c r="M782" i="2"/>
  <c r="G31" i="6" s="1"/>
  <c r="M730" i="2"/>
  <c r="B31" i="6" s="1"/>
  <c r="N730" i="2"/>
  <c r="B114" i="6" s="1"/>
  <c r="M731" i="2"/>
  <c r="B32" i="6" s="1"/>
  <c r="N731" i="2"/>
  <c r="B115" i="6" s="1"/>
  <c r="M732" i="2"/>
  <c r="C21" i="6" s="1"/>
  <c r="N732" i="2"/>
  <c r="C104" i="6" s="1"/>
  <c r="N1765" i="2"/>
  <c r="AQ128" i="6" s="1"/>
  <c r="M1765" i="2"/>
  <c r="AQ45" i="6" s="1"/>
  <c r="N1764" i="2"/>
  <c r="AQ127" i="6" s="1"/>
  <c r="M1764" i="2"/>
  <c r="AQ44" i="6" s="1"/>
  <c r="N1763" i="2"/>
  <c r="AQ126" i="6" s="1"/>
  <c r="M1763" i="2"/>
  <c r="AQ43" i="6" s="1"/>
  <c r="N1762" i="2"/>
  <c r="AQ125" i="6" s="1"/>
  <c r="M1762" i="2"/>
  <c r="AQ42" i="6" s="1"/>
  <c r="N1761" i="2"/>
  <c r="AQ124" i="6" s="1"/>
  <c r="M1761" i="2"/>
  <c r="AQ41" i="6" s="1"/>
  <c r="N1760" i="2"/>
  <c r="AQ123" i="6" s="1"/>
  <c r="M1760" i="2"/>
  <c r="AQ40" i="6" s="1"/>
  <c r="N1759" i="2"/>
  <c r="AQ122" i="6" s="1"/>
  <c r="M1759" i="2"/>
  <c r="AQ39" i="6" s="1"/>
  <c r="N1758" i="2"/>
  <c r="AQ121" i="6" s="1"/>
  <c r="M1758" i="2"/>
  <c r="AQ38" i="6" s="1"/>
  <c r="N1757" i="2"/>
  <c r="M1757" i="2"/>
  <c r="N1756" i="2"/>
  <c r="M1756" i="2"/>
  <c r="AP48" i="6" s="1"/>
  <c r="N1755" i="2"/>
  <c r="M1755" i="2"/>
  <c r="AP47" i="6" s="1"/>
  <c r="N1712" i="2"/>
  <c r="AL127" i="6" s="1"/>
  <c r="M1712" i="2"/>
  <c r="AL44" i="6" s="1"/>
  <c r="N1711" i="2"/>
  <c r="AL126" i="6" s="1"/>
  <c r="M1711" i="2"/>
  <c r="AL43" i="6" s="1"/>
  <c r="N1710" i="2"/>
  <c r="AL125" i="6" s="1"/>
  <c r="M1710" i="2"/>
  <c r="AL42" i="6" s="1"/>
  <c r="N1709" i="2"/>
  <c r="AL124" i="6" s="1"/>
  <c r="M1709" i="2"/>
  <c r="AL41" i="6" s="1"/>
  <c r="N1708" i="2"/>
  <c r="AL123" i="6" s="1"/>
  <c r="M1708" i="2"/>
  <c r="AL40" i="6" s="1"/>
  <c r="N1707" i="2"/>
  <c r="AL122" i="6" s="1"/>
  <c r="M1707" i="2"/>
  <c r="AL39" i="6" s="1"/>
  <c r="N1706" i="2"/>
  <c r="AL121" i="6" s="1"/>
  <c r="M1706" i="2"/>
  <c r="AL38" i="6" s="1"/>
  <c r="N1705" i="2"/>
  <c r="M1705" i="2"/>
  <c r="N1704" i="2"/>
  <c r="M1704" i="2"/>
  <c r="AK48" i="6" s="1"/>
  <c r="N1703" i="2"/>
  <c r="M1703" i="2"/>
  <c r="AK47" i="6" s="1"/>
  <c r="N1660" i="2"/>
  <c r="AG127" i="6" s="1"/>
  <c r="M1660" i="2"/>
  <c r="N1659" i="2"/>
  <c r="AG126" i="6" s="1"/>
  <c r="M1659" i="2"/>
  <c r="N1658" i="2"/>
  <c r="AG125" i="6" s="1"/>
  <c r="M1658" i="2"/>
  <c r="N1657" i="2"/>
  <c r="AG124" i="6" s="1"/>
  <c r="M1657" i="2"/>
  <c r="N1656" i="2"/>
  <c r="AG123" i="6" s="1"/>
  <c r="M1656" i="2"/>
  <c r="N1655" i="2"/>
  <c r="AG122" i="6" s="1"/>
  <c r="M1655" i="2"/>
  <c r="N1654" i="2"/>
  <c r="AG121" i="6" s="1"/>
  <c r="M1654" i="2"/>
  <c r="N1653" i="2"/>
  <c r="M1653" i="2"/>
  <c r="N1652" i="2"/>
  <c r="M1652" i="2"/>
  <c r="AF48" i="6" s="1"/>
  <c r="N1651" i="2"/>
  <c r="M1651" i="2"/>
  <c r="AF47" i="6" s="1"/>
  <c r="N1608" i="2"/>
  <c r="AB127" i="6" s="1"/>
  <c r="M1608" i="2"/>
  <c r="AB44" i="6" s="1"/>
  <c r="N1607" i="2"/>
  <c r="AB126" i="6" s="1"/>
  <c r="M1607" i="2"/>
  <c r="AB43" i="6" s="1"/>
  <c r="N1606" i="2"/>
  <c r="AB125" i="6" s="1"/>
  <c r="M1606" i="2"/>
  <c r="AB42" i="6" s="1"/>
  <c r="N1605" i="2"/>
  <c r="AB124" i="6" s="1"/>
  <c r="M1605" i="2"/>
  <c r="AB41" i="6" s="1"/>
  <c r="N1604" i="2"/>
  <c r="AB123" i="6" s="1"/>
  <c r="M1604" i="2"/>
  <c r="AB40" i="6" s="1"/>
  <c r="N1603" i="2"/>
  <c r="AB122" i="6" s="1"/>
  <c r="M1603" i="2"/>
  <c r="AB39" i="6" s="1"/>
  <c r="N1602" i="2"/>
  <c r="AB121" i="6" s="1"/>
  <c r="M1602" i="2"/>
  <c r="AB38" i="6" s="1"/>
  <c r="N1601" i="2"/>
  <c r="M1601" i="2"/>
  <c r="N1600" i="2"/>
  <c r="M1600" i="2"/>
  <c r="AA48" i="6" s="1"/>
  <c r="N1599" i="2"/>
  <c r="M1599" i="2"/>
  <c r="AA47" i="6" s="1"/>
  <c r="N1541" i="2"/>
  <c r="W127" i="6" s="1"/>
  <c r="M1541" i="2"/>
  <c r="W44" i="6" s="1"/>
  <c r="N1540" i="2"/>
  <c r="W126" i="6" s="1"/>
  <c r="M1540" i="2"/>
  <c r="W43" i="6" s="1"/>
  <c r="N1539" i="2"/>
  <c r="W125" i="6" s="1"/>
  <c r="M1539" i="2"/>
  <c r="W42" i="6" s="1"/>
  <c r="N1489" i="2"/>
  <c r="R127" i="6" s="1"/>
  <c r="M1489" i="2"/>
  <c r="R44" i="6" s="1"/>
  <c r="N1488" i="2"/>
  <c r="R126" i="6" s="1"/>
  <c r="M1488" i="2"/>
  <c r="R43" i="6" s="1"/>
  <c r="N1487" i="2"/>
  <c r="R125" i="6" s="1"/>
  <c r="M1487" i="2"/>
  <c r="R42" i="6" s="1"/>
  <c r="N1437" i="2"/>
  <c r="M127" i="6" s="1"/>
  <c r="M1437" i="2"/>
  <c r="M44" i="6" s="1"/>
  <c r="N1436" i="2"/>
  <c r="M126" i="6" s="1"/>
  <c r="M1436" i="2"/>
  <c r="M43" i="6" s="1"/>
  <c r="N1435" i="2"/>
  <c r="M125" i="6" s="1"/>
  <c r="M1435" i="2"/>
  <c r="M42" i="6" s="1"/>
  <c r="N1434" i="2"/>
  <c r="M124" i="6" s="1"/>
  <c r="M1434" i="2"/>
  <c r="M41" i="6" s="1"/>
  <c r="N1385" i="2"/>
  <c r="H127" i="6" s="1"/>
  <c r="M1385" i="2"/>
  <c r="N1384" i="2"/>
  <c r="H126" i="6" s="1"/>
  <c r="M1384" i="2"/>
  <c r="N1383" i="2"/>
  <c r="H125" i="6" s="1"/>
  <c r="M1383" i="2"/>
  <c r="N1382" i="2"/>
  <c r="H124" i="6" s="1"/>
  <c r="M1382" i="2"/>
  <c r="N1381" i="2"/>
  <c r="H123" i="6" s="1"/>
  <c r="M1381" i="2"/>
  <c r="N1333" i="2"/>
  <c r="C127" i="6" s="1"/>
  <c r="M1333" i="2"/>
  <c r="C44" i="6" s="1"/>
  <c r="N1332" i="2"/>
  <c r="C126" i="6" s="1"/>
  <c r="M1332" i="2"/>
  <c r="C43" i="6" s="1"/>
  <c r="N1331" i="2"/>
  <c r="C125" i="6" s="1"/>
  <c r="M1331" i="2"/>
  <c r="C42" i="6" s="1"/>
  <c r="N1330" i="2"/>
  <c r="C124" i="6" s="1"/>
  <c r="M1330" i="2"/>
  <c r="C41" i="6" s="1"/>
  <c r="N1329" i="2"/>
  <c r="C123" i="6" s="1"/>
  <c r="M1329" i="2"/>
  <c r="C40" i="6" s="1"/>
  <c r="N1281" i="2"/>
  <c r="BA111" i="6" s="1"/>
  <c r="M1281" i="2"/>
  <c r="BA28" i="6" s="1"/>
  <c r="N1280" i="2"/>
  <c r="BA110" i="6" s="1"/>
  <c r="M1280" i="2"/>
  <c r="BA27" i="6" s="1"/>
  <c r="N1279" i="2"/>
  <c r="BA109" i="6" s="1"/>
  <c r="M1279" i="2"/>
  <c r="BA26" i="6" s="1"/>
  <c r="N1278" i="2"/>
  <c r="BA108" i="6" s="1"/>
  <c r="M1278" i="2"/>
  <c r="BA25" i="6" s="1"/>
  <c r="N1277" i="2"/>
  <c r="BA107" i="6" s="1"/>
  <c r="M1277" i="2"/>
  <c r="BA24" i="6" s="1"/>
  <c r="N1214" i="2"/>
  <c r="AV111" i="6" s="1"/>
  <c r="M1214" i="2"/>
  <c r="AV28" i="6" s="1"/>
  <c r="N1213" i="2"/>
  <c r="AV110" i="6" s="1"/>
  <c r="M1213" i="2"/>
  <c r="AV27" i="6" s="1"/>
  <c r="N1212" i="2"/>
  <c r="AV109" i="6" s="1"/>
  <c r="M1212" i="2"/>
  <c r="AV26" i="6" s="1"/>
  <c r="N1211" i="2"/>
  <c r="AV108" i="6" s="1"/>
  <c r="M1211" i="2"/>
  <c r="AV25" i="6" s="1"/>
  <c r="N1210" i="2"/>
  <c r="AV107" i="6" s="1"/>
  <c r="M1210" i="2"/>
  <c r="AV24" i="6" s="1"/>
  <c r="N1162" i="2"/>
  <c r="AQ111" i="6" s="1"/>
  <c r="M1162" i="2"/>
  <c r="AQ28" i="6" s="1"/>
  <c r="N1161" i="2"/>
  <c r="AQ110" i="6" s="1"/>
  <c r="M1161" i="2"/>
  <c r="AQ27" i="6" s="1"/>
  <c r="N1160" i="2"/>
  <c r="AQ109" i="6" s="1"/>
  <c r="M1160" i="2"/>
  <c r="AQ26" i="6" s="1"/>
  <c r="N1159" i="2"/>
  <c r="AQ108" i="6" s="1"/>
  <c r="M1159" i="2"/>
  <c r="AQ25" i="6" s="1"/>
  <c r="N1158" i="2"/>
  <c r="AQ107" i="6" s="1"/>
  <c r="M1158" i="2"/>
  <c r="AQ24" i="6" s="1"/>
  <c r="N1110" i="2"/>
  <c r="AL111" i="6" s="1"/>
  <c r="M1110" i="2"/>
  <c r="AL28" i="6" s="1"/>
  <c r="N1109" i="2"/>
  <c r="AL110" i="6" s="1"/>
  <c r="M1109" i="2"/>
  <c r="AL27" i="6" s="1"/>
  <c r="N1108" i="2"/>
  <c r="AL109" i="6" s="1"/>
  <c r="M1108" i="2"/>
  <c r="AL26" i="6" s="1"/>
  <c r="N1107" i="2"/>
  <c r="AL108" i="6" s="1"/>
  <c r="M1107" i="2"/>
  <c r="AL25" i="6" s="1"/>
  <c r="N1106" i="2"/>
  <c r="AL107" i="6" s="1"/>
  <c r="M1106" i="2"/>
  <c r="AL24" i="6" s="1"/>
  <c r="N1058" i="2"/>
  <c r="AG111" i="6" s="1"/>
  <c r="M1058" i="2"/>
  <c r="AG28" i="6" s="1"/>
  <c r="N1057" i="2"/>
  <c r="AG110" i="6" s="1"/>
  <c r="M1057" i="2"/>
  <c r="AG27" i="6" s="1"/>
  <c r="N1056" i="2"/>
  <c r="AG109" i="6" s="1"/>
  <c r="M1056" i="2"/>
  <c r="AG26" i="6" s="1"/>
  <c r="N1055" i="2"/>
  <c r="AG108" i="6" s="1"/>
  <c r="M1055" i="2"/>
  <c r="AG25" i="6" s="1"/>
  <c r="N1054" i="2"/>
  <c r="AG107" i="6" s="1"/>
  <c r="M1054" i="2"/>
  <c r="AG24" i="6" s="1"/>
  <c r="N994" i="2"/>
  <c r="P994" i="2" s="1"/>
  <c r="M994" i="2"/>
  <c r="O994" i="2" s="1"/>
  <c r="N993" i="2"/>
  <c r="P993" i="2" s="1"/>
  <c r="M993" i="2"/>
  <c r="O993" i="2" s="1"/>
  <c r="N992" i="2"/>
  <c r="P992" i="2" s="1"/>
  <c r="M992" i="2"/>
  <c r="O992" i="2" s="1"/>
  <c r="N991" i="2"/>
  <c r="P991" i="2" s="1"/>
  <c r="M991" i="2"/>
  <c r="O991" i="2" s="1"/>
  <c r="N990" i="2"/>
  <c r="P990" i="2" s="1"/>
  <c r="M990" i="2"/>
  <c r="O990" i="2" s="1"/>
  <c r="N954" i="2"/>
  <c r="W111" i="6" s="1"/>
  <c r="M954" i="2"/>
  <c r="W28" i="6" s="1"/>
  <c r="N953" i="2"/>
  <c r="W110" i="6" s="1"/>
  <c r="M953" i="2"/>
  <c r="W27" i="6" s="1"/>
  <c r="N952" i="2"/>
  <c r="W109" i="6" s="1"/>
  <c r="M952" i="2"/>
  <c r="W26" i="6" s="1"/>
  <c r="N951" i="2"/>
  <c r="W108" i="6" s="1"/>
  <c r="M951" i="2"/>
  <c r="W25" i="6" s="1"/>
  <c r="N950" i="2"/>
  <c r="W107" i="6" s="1"/>
  <c r="M950" i="2"/>
  <c r="W24" i="6" s="1"/>
  <c r="N895" i="2"/>
  <c r="R111" i="6" s="1"/>
  <c r="M895" i="2"/>
  <c r="R28" i="6" s="1"/>
  <c r="N894" i="2"/>
  <c r="R110" i="6" s="1"/>
  <c r="M894" i="2"/>
  <c r="R27" i="6" s="1"/>
  <c r="N893" i="2"/>
  <c r="R109" i="6" s="1"/>
  <c r="M893" i="2"/>
  <c r="R26" i="6" s="1"/>
  <c r="N892" i="2"/>
  <c r="R108" i="6" s="1"/>
  <c r="M892" i="2"/>
  <c r="R25" i="6" s="1"/>
  <c r="N891" i="2"/>
  <c r="R107" i="6" s="1"/>
  <c r="M891" i="2"/>
  <c r="R24" i="6" s="1"/>
  <c r="N843" i="2"/>
  <c r="M111" i="6" s="1"/>
  <c r="M843" i="2"/>
  <c r="M28" i="6" s="1"/>
  <c r="N842" i="2"/>
  <c r="M110" i="6" s="1"/>
  <c r="M842" i="2"/>
  <c r="M27" i="6" s="1"/>
  <c r="N841" i="2"/>
  <c r="M109" i="6" s="1"/>
  <c r="M841" i="2"/>
  <c r="M26" i="6" s="1"/>
  <c r="N840" i="2"/>
  <c r="M108" i="6" s="1"/>
  <c r="M840" i="2"/>
  <c r="M25" i="6" s="1"/>
  <c r="N839" i="2"/>
  <c r="M107" i="6" s="1"/>
  <c r="M839" i="2"/>
  <c r="M24" i="6" s="1"/>
  <c r="N791" i="2"/>
  <c r="H111" i="6" s="1"/>
  <c r="M791" i="2"/>
  <c r="N790" i="2"/>
  <c r="H110" i="6" s="1"/>
  <c r="M790" i="2"/>
  <c r="N789" i="2"/>
  <c r="H109" i="6" s="1"/>
  <c r="M789" i="2"/>
  <c r="N788" i="2"/>
  <c r="H108" i="6" s="1"/>
  <c r="M788" i="2"/>
  <c r="N787" i="2"/>
  <c r="H107" i="6" s="1"/>
  <c r="M787" i="2"/>
  <c r="N739" i="2"/>
  <c r="C111" i="6" s="1"/>
  <c r="M739" i="2"/>
  <c r="C28" i="6" s="1"/>
  <c r="N738" i="2"/>
  <c r="C110" i="6" s="1"/>
  <c r="M738" i="2"/>
  <c r="C27" i="6" s="1"/>
  <c r="N737" i="2"/>
  <c r="C109" i="6" s="1"/>
  <c r="M737" i="2"/>
  <c r="C26" i="6" s="1"/>
  <c r="N736" i="2"/>
  <c r="C108" i="6" s="1"/>
  <c r="M736" i="2"/>
  <c r="C25" i="6" s="1"/>
  <c r="N735" i="2"/>
  <c r="C107" i="6" s="1"/>
  <c r="M735" i="2"/>
  <c r="C24" i="6" s="1"/>
  <c r="N734" i="2"/>
  <c r="C106" i="6" s="1"/>
  <c r="M734" i="2"/>
  <c r="C23" i="6" s="1"/>
  <c r="N733" i="2"/>
  <c r="C105" i="6" s="1"/>
  <c r="M733" i="2"/>
  <c r="C22" i="6" s="1"/>
  <c r="N687" i="2"/>
  <c r="BK95" i="6" s="1"/>
  <c r="M687" i="2"/>
  <c r="BK12" i="6" s="1"/>
  <c r="N686" i="2"/>
  <c r="BK94" i="6" s="1"/>
  <c r="M686" i="2"/>
  <c r="BK11" i="6" s="1"/>
  <c r="N685" i="2"/>
  <c r="BK93" i="6" s="1"/>
  <c r="M685" i="2"/>
  <c r="BK10" i="6" s="1"/>
  <c r="N684" i="2"/>
  <c r="BK92" i="6" s="1"/>
  <c r="M684" i="2"/>
  <c r="BK9" i="6" s="1"/>
  <c r="N683" i="2"/>
  <c r="BK91" i="6" s="1"/>
  <c r="M683" i="2"/>
  <c r="BK8" i="6" s="1"/>
  <c r="N682" i="2"/>
  <c r="BK90" i="6" s="1"/>
  <c r="M682" i="2"/>
  <c r="BK7" i="6" s="1"/>
  <c r="N681" i="2"/>
  <c r="BK89" i="6" s="1"/>
  <c r="M681" i="2"/>
  <c r="BK6" i="6" s="1"/>
  <c r="N680" i="2"/>
  <c r="BK88" i="6" s="1"/>
  <c r="M680" i="2"/>
  <c r="BK5" i="6" s="1"/>
  <c r="N679" i="2"/>
  <c r="M679" i="2"/>
  <c r="N678" i="2"/>
  <c r="M678" i="2"/>
  <c r="N607" i="2"/>
  <c r="BD95" i="6" s="1"/>
  <c r="M607" i="2"/>
  <c r="N606" i="2"/>
  <c r="BD94" i="6" s="1"/>
  <c r="M606" i="2"/>
  <c r="N605" i="2"/>
  <c r="BD93" i="6" s="1"/>
  <c r="M605" i="2"/>
  <c r="N604" i="2"/>
  <c r="BD92" i="6" s="1"/>
  <c r="M604" i="2"/>
  <c r="N603" i="2"/>
  <c r="BD91" i="6" s="1"/>
  <c r="M603" i="2"/>
  <c r="N602" i="2"/>
  <c r="BD90" i="6" s="1"/>
  <c r="M602" i="2"/>
  <c r="N601" i="2"/>
  <c r="BD89" i="6" s="1"/>
  <c r="M601" i="2"/>
  <c r="N600" i="2"/>
  <c r="BD88" i="6" s="1"/>
  <c r="M600" i="2"/>
  <c r="N599" i="2"/>
  <c r="M599" i="2"/>
  <c r="N598" i="2"/>
  <c r="M598" i="2"/>
  <c r="N519" i="2"/>
  <c r="AU95" i="6" s="1"/>
  <c r="M519" i="2"/>
  <c r="AU12" i="6" s="1"/>
  <c r="N518" i="2"/>
  <c r="AU94" i="6" s="1"/>
  <c r="M518" i="2"/>
  <c r="AU11" i="6" s="1"/>
  <c r="N517" i="2"/>
  <c r="AU93" i="6" s="1"/>
  <c r="M517" i="2"/>
  <c r="AU10" i="6" s="1"/>
  <c r="N516" i="2"/>
  <c r="AU92" i="6" s="1"/>
  <c r="M516" i="2"/>
  <c r="AU9" i="6" s="1"/>
  <c r="N515" i="2"/>
  <c r="AU91" i="6" s="1"/>
  <c r="M515" i="2"/>
  <c r="AU8" i="6" s="1"/>
  <c r="N514" i="2"/>
  <c r="AU90" i="6" s="1"/>
  <c r="M514" i="2"/>
  <c r="AU7" i="6" s="1"/>
  <c r="N513" i="2"/>
  <c r="AU89" i="6" s="1"/>
  <c r="M513" i="2"/>
  <c r="AU6" i="6" s="1"/>
  <c r="N512" i="2"/>
  <c r="AU88" i="6" s="1"/>
  <c r="M512" i="2"/>
  <c r="AU5" i="6" s="1"/>
  <c r="N511" i="2"/>
  <c r="M511" i="2"/>
  <c r="N510" i="2"/>
  <c r="M510" i="2"/>
  <c r="N428" i="2"/>
  <c r="AL95" i="6" s="1"/>
  <c r="M428" i="2"/>
  <c r="AL12" i="6" s="1"/>
  <c r="N427" i="2"/>
  <c r="AL94" i="6" s="1"/>
  <c r="M427" i="2"/>
  <c r="AL11" i="6" s="1"/>
  <c r="N426" i="2"/>
  <c r="AL93" i="6" s="1"/>
  <c r="M426" i="2"/>
  <c r="AL10" i="6" s="1"/>
  <c r="N425" i="2"/>
  <c r="AL92" i="6" s="1"/>
  <c r="M425" i="2"/>
  <c r="AL9" i="6" s="1"/>
  <c r="N424" i="2"/>
  <c r="AL91" i="6" s="1"/>
  <c r="M424" i="2"/>
  <c r="AL8" i="6" s="1"/>
  <c r="N423" i="2"/>
  <c r="AL90" i="6" s="1"/>
  <c r="M423" i="2"/>
  <c r="AL7" i="6" s="1"/>
  <c r="N422" i="2"/>
  <c r="AL89" i="6" s="1"/>
  <c r="M422" i="2"/>
  <c r="AL6" i="6" s="1"/>
  <c r="N421" i="2"/>
  <c r="AL88" i="6" s="1"/>
  <c r="M421" i="2"/>
  <c r="AL5" i="6" s="1"/>
  <c r="N420" i="2"/>
  <c r="M420" i="2"/>
  <c r="N419" i="2"/>
  <c r="M419" i="2"/>
  <c r="N316" i="2"/>
  <c r="AB95" i="6" s="1"/>
  <c r="M316" i="2"/>
  <c r="AB12" i="6" s="1"/>
  <c r="N315" i="2"/>
  <c r="AB94" i="6" s="1"/>
  <c r="M315" i="2"/>
  <c r="AB11" i="6" s="1"/>
  <c r="N314" i="2"/>
  <c r="AB93" i="6" s="1"/>
  <c r="M314" i="2"/>
  <c r="AB10" i="6" s="1"/>
  <c r="N313" i="2"/>
  <c r="AB92" i="6" s="1"/>
  <c r="M313" i="2"/>
  <c r="AB9" i="6" s="1"/>
  <c r="N312" i="2"/>
  <c r="AB91" i="6" s="1"/>
  <c r="M312" i="2"/>
  <c r="AB8" i="6" s="1"/>
  <c r="N311" i="2"/>
  <c r="AB90" i="6" s="1"/>
  <c r="M311" i="2"/>
  <c r="AB7" i="6" s="1"/>
  <c r="N310" i="2"/>
  <c r="AB89" i="6" s="1"/>
  <c r="M310" i="2"/>
  <c r="AB6" i="6" s="1"/>
  <c r="N309" i="2"/>
  <c r="AB88" i="6" s="1"/>
  <c r="M309" i="2"/>
  <c r="AB5" i="6" s="1"/>
  <c r="N308" i="2"/>
  <c r="M308" i="2"/>
  <c r="N307" i="2"/>
  <c r="M307" i="2"/>
  <c r="N201" i="2"/>
  <c r="M201" i="2"/>
  <c r="R12" i="6" s="1"/>
  <c r="N200" i="2"/>
  <c r="M200" i="2"/>
  <c r="R11" i="6" s="1"/>
  <c r="N199" i="2"/>
  <c r="M199" i="2"/>
  <c r="R10" i="6" s="1"/>
  <c r="N198" i="2"/>
  <c r="M198" i="2"/>
  <c r="R9" i="6" s="1"/>
  <c r="N197" i="2"/>
  <c r="M197" i="2"/>
  <c r="R8" i="6" s="1"/>
  <c r="N196" i="2"/>
  <c r="M196" i="2"/>
  <c r="R7" i="6" s="1"/>
  <c r="N195" i="2"/>
  <c r="M195" i="2"/>
  <c r="R6" i="6" s="1"/>
  <c r="N194" i="2"/>
  <c r="M194" i="2"/>
  <c r="R5" i="6" s="1"/>
  <c r="N193" i="2"/>
  <c r="M193" i="2"/>
  <c r="N192" i="2"/>
  <c r="M192" i="2"/>
  <c r="N89" i="2"/>
  <c r="M89" i="2"/>
  <c r="N88" i="2"/>
  <c r="M88" i="2"/>
  <c r="N87" i="2"/>
  <c r="M87" i="2"/>
  <c r="N86" i="2"/>
  <c r="M86" i="2"/>
  <c r="N85" i="2"/>
  <c r="M85" i="2"/>
  <c r="H8" i="6" s="1"/>
  <c r="N84" i="2"/>
  <c r="M84" i="2"/>
  <c r="N83" i="2"/>
  <c r="M83" i="2"/>
  <c r="N82" i="2"/>
  <c r="M82" i="2"/>
  <c r="N81" i="2"/>
  <c r="M81" i="2"/>
  <c r="N80" i="2"/>
  <c r="M80" i="2"/>
  <c r="AH80" i="6" l="1"/>
  <c r="AH79" i="6"/>
  <c r="O86" i="2"/>
  <c r="H9" i="6"/>
  <c r="O198" i="2"/>
  <c r="O315" i="2"/>
  <c r="O427" i="2"/>
  <c r="O516" i="2"/>
  <c r="O606" i="2"/>
  <c r="BD11" i="6"/>
  <c r="O684" i="2"/>
  <c r="O737" i="2"/>
  <c r="O788" i="2"/>
  <c r="H25" i="6"/>
  <c r="O841" i="2"/>
  <c r="O892" i="2"/>
  <c r="O954" i="2"/>
  <c r="O1056" i="2"/>
  <c r="O1107" i="2"/>
  <c r="O1162" i="2"/>
  <c r="O1213" i="2"/>
  <c r="O1279" i="2"/>
  <c r="O1330" i="2"/>
  <c r="O1383" i="2"/>
  <c r="H42" i="6"/>
  <c r="O1435" i="2"/>
  <c r="O1488" i="2"/>
  <c r="O1606" i="2"/>
  <c r="O1608" i="2"/>
  <c r="O1658" i="2"/>
  <c r="AG42" i="6"/>
  <c r="O1660" i="2"/>
  <c r="AG44" i="6"/>
  <c r="O1710" i="2"/>
  <c r="O1712" i="2"/>
  <c r="O1762" i="2"/>
  <c r="P86" i="2"/>
  <c r="H92" i="6"/>
  <c r="P200" i="2"/>
  <c r="R94" i="6"/>
  <c r="P315" i="2"/>
  <c r="P425" i="2"/>
  <c r="P518" i="2"/>
  <c r="P604" i="2"/>
  <c r="P686" i="2"/>
  <c r="P739" i="2"/>
  <c r="P790" i="2"/>
  <c r="P841" i="2"/>
  <c r="P892" i="2"/>
  <c r="P954" i="2"/>
  <c r="P1056" i="2"/>
  <c r="P1107" i="2"/>
  <c r="P1162" i="2"/>
  <c r="P1213" i="2"/>
  <c r="P1279" i="2"/>
  <c r="P1330" i="2"/>
  <c r="P1435" i="2"/>
  <c r="P1488" i="2"/>
  <c r="P1541" i="2"/>
  <c r="P1606" i="2"/>
  <c r="P1660" i="2"/>
  <c r="P1710" i="2"/>
  <c r="P1762" i="2"/>
  <c r="O87" i="2"/>
  <c r="H10" i="6"/>
  <c r="O199" i="2"/>
  <c r="O316" i="2"/>
  <c r="O426" i="2"/>
  <c r="O519" i="2"/>
  <c r="O607" i="2"/>
  <c r="BD12" i="6"/>
  <c r="O685" i="2"/>
  <c r="O687" i="2"/>
  <c r="O736" i="2"/>
  <c r="O738" i="2"/>
  <c r="O789" i="2"/>
  <c r="H26" i="6"/>
  <c r="O791" i="2"/>
  <c r="H28" i="6"/>
  <c r="O840" i="2"/>
  <c r="O842" i="2"/>
  <c r="O893" i="2"/>
  <c r="O895" i="2"/>
  <c r="O951" i="2"/>
  <c r="O953" i="2"/>
  <c r="O1055" i="2"/>
  <c r="O1057" i="2"/>
  <c r="O1108" i="2"/>
  <c r="O1110" i="2"/>
  <c r="O1159" i="2"/>
  <c r="O1161" i="2"/>
  <c r="O1212" i="2"/>
  <c r="O1214" i="2"/>
  <c r="O1278" i="2"/>
  <c r="O1280" i="2"/>
  <c r="O1331" i="2"/>
  <c r="O1333" i="2"/>
  <c r="O1382" i="2"/>
  <c r="H41" i="6"/>
  <c r="O1384" i="2"/>
  <c r="H43" i="6"/>
  <c r="O1434" i="2"/>
  <c r="O1436" i="2"/>
  <c r="O1487" i="2"/>
  <c r="O1489" i="2"/>
  <c r="O1540" i="2"/>
  <c r="O1605" i="2"/>
  <c r="O1607" i="2"/>
  <c r="O1657" i="2"/>
  <c r="AG41" i="6"/>
  <c r="O1659" i="2"/>
  <c r="AG43" i="6"/>
  <c r="O1709" i="2"/>
  <c r="O1711" i="2"/>
  <c r="O1761" i="2"/>
  <c r="O1763" i="2"/>
  <c r="O1765" i="2"/>
  <c r="O1486" i="2"/>
  <c r="O88" i="2"/>
  <c r="H11" i="6"/>
  <c r="O200" i="2"/>
  <c r="O313" i="2"/>
  <c r="O425" i="2"/>
  <c r="O518" i="2"/>
  <c r="O604" i="2"/>
  <c r="BD9" i="6"/>
  <c r="O686" i="2"/>
  <c r="O739" i="2"/>
  <c r="O790" i="2"/>
  <c r="H27" i="6"/>
  <c r="O843" i="2"/>
  <c r="O894" i="2"/>
  <c r="O952" i="2"/>
  <c r="O1058" i="2"/>
  <c r="O1109" i="2"/>
  <c r="O1160" i="2"/>
  <c r="O1211" i="2"/>
  <c r="O1281" i="2"/>
  <c r="O1332" i="2"/>
  <c r="O1385" i="2"/>
  <c r="H44" i="6"/>
  <c r="O1437" i="2"/>
  <c r="O1539" i="2"/>
  <c r="O1541" i="2"/>
  <c r="O1764" i="2"/>
  <c r="O1538" i="2"/>
  <c r="P88" i="2"/>
  <c r="H94" i="6"/>
  <c r="P198" i="2"/>
  <c r="R92" i="6"/>
  <c r="P313" i="2"/>
  <c r="P427" i="2"/>
  <c r="P516" i="2"/>
  <c r="P606" i="2"/>
  <c r="P684" i="2"/>
  <c r="P737" i="2"/>
  <c r="P788" i="2"/>
  <c r="P843" i="2"/>
  <c r="P894" i="2"/>
  <c r="P952" i="2"/>
  <c r="P1058" i="2"/>
  <c r="P1109" i="2"/>
  <c r="P1160" i="2"/>
  <c r="P1211" i="2"/>
  <c r="P1281" i="2"/>
  <c r="P1332" i="2"/>
  <c r="P1383" i="2"/>
  <c r="P1385" i="2"/>
  <c r="P1437" i="2"/>
  <c r="P1539" i="2"/>
  <c r="P1608" i="2"/>
  <c r="P1658" i="2"/>
  <c r="P1712" i="2"/>
  <c r="P1764" i="2"/>
  <c r="P1538" i="2"/>
  <c r="O89" i="2"/>
  <c r="H12" i="6"/>
  <c r="O201" i="2"/>
  <c r="O314" i="2"/>
  <c r="O428" i="2"/>
  <c r="O517" i="2"/>
  <c r="O605" i="2"/>
  <c r="BD10" i="6"/>
  <c r="P87" i="2"/>
  <c r="H93" i="6"/>
  <c r="P89" i="2"/>
  <c r="H95" i="6"/>
  <c r="P199" i="2"/>
  <c r="R93" i="6"/>
  <c r="P201" i="2"/>
  <c r="R95" i="6"/>
  <c r="P314" i="2"/>
  <c r="P316" i="2"/>
  <c r="P426" i="2"/>
  <c r="P428" i="2"/>
  <c r="P517" i="2"/>
  <c r="P519" i="2"/>
  <c r="P605" i="2"/>
  <c r="P607" i="2"/>
  <c r="P685" i="2"/>
  <c r="P687" i="2"/>
  <c r="P736" i="2"/>
  <c r="P738" i="2"/>
  <c r="P789" i="2"/>
  <c r="P791" i="2"/>
  <c r="P840" i="2"/>
  <c r="P842" i="2"/>
  <c r="P893" i="2"/>
  <c r="P895" i="2"/>
  <c r="P951" i="2"/>
  <c r="P953" i="2"/>
  <c r="P1055" i="2"/>
  <c r="P1057" i="2"/>
  <c r="P1108" i="2"/>
  <c r="P1110" i="2"/>
  <c r="P1159" i="2"/>
  <c r="P1161" i="2"/>
  <c r="P1212" i="2"/>
  <c r="P1214" i="2"/>
  <c r="P1278" i="2"/>
  <c r="P1280" i="2"/>
  <c r="P1331" i="2"/>
  <c r="P1333" i="2"/>
  <c r="P1382" i="2"/>
  <c r="P1384" i="2"/>
  <c r="P1434" i="2"/>
  <c r="P1436" i="2"/>
  <c r="P1487" i="2"/>
  <c r="P1489" i="2"/>
  <c r="P1540" i="2"/>
  <c r="P1605" i="2"/>
  <c r="P1607" i="2"/>
  <c r="P1657" i="2"/>
  <c r="P1659" i="2"/>
  <c r="P1709" i="2"/>
  <c r="P1711" i="2"/>
  <c r="P1761" i="2"/>
  <c r="P1763" i="2"/>
  <c r="P1765" i="2"/>
  <c r="P1486" i="2"/>
  <c r="O1760" i="2"/>
  <c r="P1760" i="2"/>
  <c r="O1708" i="2"/>
  <c r="P1708" i="2"/>
  <c r="O1656" i="2"/>
  <c r="AG40" i="6"/>
  <c r="P1656" i="2"/>
  <c r="O1604" i="2"/>
  <c r="P1604" i="2"/>
  <c r="O1537" i="2"/>
  <c r="P1537" i="2"/>
  <c r="P1485" i="2"/>
  <c r="O1485" i="2"/>
  <c r="P1433" i="2"/>
  <c r="O1433" i="2"/>
  <c r="O1381" i="2"/>
  <c r="H40" i="6"/>
  <c r="P1381" i="2"/>
  <c r="O1329" i="2"/>
  <c r="P1329" i="2"/>
  <c r="P1277" i="2"/>
  <c r="O1277" i="2"/>
  <c r="O1210" i="2"/>
  <c r="P1210" i="2"/>
  <c r="P1158" i="2"/>
  <c r="O1158" i="2"/>
  <c r="O1106" i="2"/>
  <c r="P1106" i="2"/>
  <c r="O1054" i="2"/>
  <c r="P1054" i="2"/>
  <c r="O950" i="2"/>
  <c r="P950" i="2"/>
  <c r="O891" i="2"/>
  <c r="P891" i="2"/>
  <c r="P839" i="2"/>
  <c r="O839" i="2"/>
  <c r="P787" i="2"/>
  <c r="O787" i="2"/>
  <c r="H24" i="6"/>
  <c r="O735" i="2"/>
  <c r="P735" i="2"/>
  <c r="O683" i="2"/>
  <c r="P683" i="2"/>
  <c r="O603" i="2"/>
  <c r="BD8" i="6"/>
  <c r="P603" i="2"/>
  <c r="O515" i="2"/>
  <c r="P515" i="2"/>
  <c r="O424" i="2"/>
  <c r="P424" i="2"/>
  <c r="O312" i="2"/>
  <c r="P312" i="2"/>
  <c r="O197" i="2"/>
  <c r="P197" i="2"/>
  <c r="R91" i="6"/>
  <c r="O85" i="2"/>
  <c r="P85" i="2"/>
  <c r="H91" i="6"/>
  <c r="O1759" i="2"/>
  <c r="P1759" i="2"/>
  <c r="O1707" i="2"/>
  <c r="P1707" i="2"/>
  <c r="O1655" i="2"/>
  <c r="AG39" i="6"/>
  <c r="P1655" i="2"/>
  <c r="O1603" i="2"/>
  <c r="P1603" i="2"/>
  <c r="P1536" i="2"/>
  <c r="O1536" i="2"/>
  <c r="O1484" i="2"/>
  <c r="P1484" i="2"/>
  <c r="O1432" i="2"/>
  <c r="P1432" i="2"/>
  <c r="P1380" i="2"/>
  <c r="O1380" i="2"/>
  <c r="H39" i="6"/>
  <c r="O1328" i="2"/>
  <c r="P1328" i="2"/>
  <c r="O1276" i="2"/>
  <c r="P1276" i="2"/>
  <c r="O1209" i="2"/>
  <c r="P1209" i="2"/>
  <c r="P1157" i="2"/>
  <c r="O1157" i="2"/>
  <c r="O1105" i="2"/>
  <c r="P1105" i="2"/>
  <c r="O1053" i="2"/>
  <c r="P1053" i="2"/>
  <c r="O1001" i="2"/>
  <c r="P1001" i="2"/>
  <c r="O949" i="2"/>
  <c r="P949" i="2"/>
  <c r="O890" i="2"/>
  <c r="P890" i="2"/>
  <c r="O838" i="2"/>
  <c r="P838" i="2"/>
  <c r="O786" i="2"/>
  <c r="H23" i="6"/>
  <c r="P786" i="2"/>
  <c r="O734" i="2"/>
  <c r="P734" i="2"/>
  <c r="P682" i="2"/>
  <c r="O682" i="2"/>
  <c r="O602" i="2"/>
  <c r="BD7" i="6"/>
  <c r="P602" i="2"/>
  <c r="O514" i="2"/>
  <c r="P514" i="2"/>
  <c r="O423" i="2"/>
  <c r="P423" i="2"/>
  <c r="O311" i="2"/>
  <c r="P311" i="2"/>
  <c r="O196" i="2"/>
  <c r="P196" i="2"/>
  <c r="R90" i="6"/>
  <c r="O84" i="2"/>
  <c r="H7" i="6"/>
  <c r="P84" i="2"/>
  <c r="H90" i="6"/>
  <c r="O1758" i="2"/>
  <c r="P1758" i="2"/>
  <c r="P1706" i="2"/>
  <c r="O1706" i="2"/>
  <c r="O1654" i="2"/>
  <c r="AG38" i="6"/>
  <c r="P1654" i="2"/>
  <c r="O1602" i="2"/>
  <c r="P1602" i="2"/>
  <c r="O1535" i="2"/>
  <c r="P1535" i="2"/>
  <c r="O1483" i="2"/>
  <c r="P1483" i="2"/>
  <c r="O1431" i="2"/>
  <c r="P1431" i="2"/>
  <c r="O1379" i="2"/>
  <c r="H38" i="6"/>
  <c r="P1379" i="2"/>
  <c r="P1327" i="2"/>
  <c r="O1327" i="2"/>
  <c r="O1275" i="2"/>
  <c r="P1275" i="2"/>
  <c r="O1208" i="2"/>
  <c r="P1208" i="2"/>
  <c r="O1156" i="2"/>
  <c r="P1156" i="2"/>
  <c r="O1104" i="2"/>
  <c r="P1104" i="2"/>
  <c r="O1052" i="2"/>
  <c r="P1052" i="2"/>
  <c r="O1000" i="2"/>
  <c r="P1000" i="2"/>
  <c r="O948" i="2"/>
  <c r="P948" i="2"/>
  <c r="O889" i="2"/>
  <c r="P889" i="2"/>
  <c r="O837" i="2"/>
  <c r="P837" i="2"/>
  <c r="P785" i="2"/>
  <c r="O785" i="2"/>
  <c r="H22" i="6"/>
  <c r="O733" i="2"/>
  <c r="P733" i="2"/>
  <c r="O681" i="2"/>
  <c r="P681" i="2"/>
  <c r="O601" i="2"/>
  <c r="BD6" i="6"/>
  <c r="P601" i="2"/>
  <c r="O513" i="2"/>
  <c r="P513" i="2"/>
  <c r="O422" i="2"/>
  <c r="P422" i="2"/>
  <c r="O310" i="2"/>
  <c r="P310" i="2"/>
  <c r="P195" i="2"/>
  <c r="R89" i="6"/>
  <c r="O195" i="2"/>
  <c r="O83" i="2"/>
  <c r="H6" i="6"/>
  <c r="P83" i="2"/>
  <c r="H89" i="6"/>
  <c r="P836" i="2"/>
  <c r="P947" i="2"/>
  <c r="W104" i="6"/>
  <c r="P1051" i="2"/>
  <c r="AG104" i="6"/>
  <c r="P1155" i="2"/>
  <c r="AQ104" i="6"/>
  <c r="P1274" i="2"/>
  <c r="BA104" i="6"/>
  <c r="P1378" i="2"/>
  <c r="H120" i="6"/>
  <c r="P1534" i="2"/>
  <c r="W120" i="6"/>
  <c r="P732" i="2"/>
  <c r="P1601" i="2"/>
  <c r="AB120" i="6"/>
  <c r="P1653" i="2"/>
  <c r="AG120" i="6"/>
  <c r="P1705" i="2"/>
  <c r="AL120" i="6"/>
  <c r="P1757" i="2"/>
  <c r="AQ120" i="6"/>
  <c r="P784" i="2"/>
  <c r="H104" i="6"/>
  <c r="P888" i="2"/>
  <c r="P999" i="2"/>
  <c r="AB104" i="6"/>
  <c r="P1103" i="2"/>
  <c r="AL104" i="6"/>
  <c r="P1207" i="2"/>
  <c r="AV104" i="6"/>
  <c r="P1326" i="2"/>
  <c r="C120" i="6"/>
  <c r="P1430" i="2"/>
  <c r="M120" i="6"/>
  <c r="P1482" i="2"/>
  <c r="R120" i="6"/>
  <c r="O947" i="2"/>
  <c r="O1274" i="2"/>
  <c r="BA21" i="6"/>
  <c r="P194" i="2"/>
  <c r="R88" i="6"/>
  <c r="P421" i="2"/>
  <c r="P600" i="2"/>
  <c r="P680" i="2"/>
  <c r="O1155" i="2"/>
  <c r="AQ21" i="6"/>
  <c r="O1601" i="2"/>
  <c r="AB37" i="6"/>
  <c r="O1653" i="2"/>
  <c r="AG37" i="6"/>
  <c r="O1705" i="2"/>
  <c r="AL37" i="6"/>
  <c r="O1757" i="2"/>
  <c r="AQ37" i="6"/>
  <c r="O1103" i="2"/>
  <c r="AL21" i="6"/>
  <c r="O1207" i="2"/>
  <c r="AV21" i="6"/>
  <c r="O1326" i="2"/>
  <c r="C37" i="6"/>
  <c r="O1430" i="2"/>
  <c r="M37" i="6"/>
  <c r="O1482" i="2"/>
  <c r="R37" i="6"/>
  <c r="O194" i="2"/>
  <c r="O1378" i="2"/>
  <c r="H37" i="6"/>
  <c r="O1534" i="2"/>
  <c r="W37" i="6"/>
  <c r="O732" i="2"/>
  <c r="O1051" i="2"/>
  <c r="AG21" i="6"/>
  <c r="O421" i="2"/>
  <c r="O600" i="2"/>
  <c r="BD5" i="6"/>
  <c r="O888" i="2"/>
  <c r="O784" i="2"/>
  <c r="H21" i="6"/>
  <c r="O836" i="2"/>
  <c r="O999" i="2"/>
  <c r="O680" i="2"/>
  <c r="P82" i="2"/>
  <c r="H88" i="6"/>
  <c r="P309" i="2"/>
  <c r="P512" i="2"/>
  <c r="O82" i="2"/>
  <c r="H5" i="6"/>
  <c r="O309" i="2"/>
  <c r="O512" i="2"/>
  <c r="P81" i="2"/>
  <c r="G99" i="6"/>
  <c r="P193" i="2"/>
  <c r="Q99" i="6"/>
  <c r="P308" i="2"/>
  <c r="AA99" i="6"/>
  <c r="P420" i="2"/>
  <c r="AK99" i="6"/>
  <c r="P511" i="2"/>
  <c r="AT99" i="6"/>
  <c r="P599" i="2"/>
  <c r="BC99" i="6"/>
  <c r="P679" i="2"/>
  <c r="BJ99" i="6"/>
  <c r="P835" i="2"/>
  <c r="P946" i="2"/>
  <c r="P1050" i="2"/>
  <c r="P1154" i="2"/>
  <c r="P1273" i="2"/>
  <c r="P1377" i="2"/>
  <c r="P1533" i="2"/>
  <c r="P731" i="2"/>
  <c r="P1600" i="2"/>
  <c r="P1652" i="2"/>
  <c r="P1704" i="2"/>
  <c r="P1756" i="2"/>
  <c r="P783" i="2"/>
  <c r="P887" i="2"/>
  <c r="P998" i="2"/>
  <c r="P1102" i="2"/>
  <c r="P1206" i="2"/>
  <c r="P1325" i="2"/>
  <c r="P1429" i="2"/>
  <c r="P1481" i="2"/>
  <c r="P1755" i="2"/>
  <c r="P1703" i="2"/>
  <c r="P1651" i="2"/>
  <c r="P1599" i="2"/>
  <c r="P1532" i="2"/>
  <c r="P1480" i="2"/>
  <c r="P1428" i="2"/>
  <c r="P1376" i="2"/>
  <c r="P1324" i="2"/>
  <c r="P1272" i="2"/>
  <c r="P1205" i="2"/>
  <c r="P1153" i="2"/>
  <c r="P1101" i="2"/>
  <c r="P1049" i="2"/>
  <c r="P997" i="2"/>
  <c r="P945" i="2"/>
  <c r="P886" i="2"/>
  <c r="P834" i="2"/>
  <c r="P782" i="2"/>
  <c r="P730" i="2"/>
  <c r="P678" i="2"/>
  <c r="BJ98" i="6"/>
  <c r="P598" i="2"/>
  <c r="BC98" i="6"/>
  <c r="P510" i="2"/>
  <c r="AT98" i="6"/>
  <c r="P419" i="2"/>
  <c r="AK98" i="6"/>
  <c r="P307" i="2"/>
  <c r="AA98" i="6"/>
  <c r="P192" i="2"/>
  <c r="Q98" i="6"/>
  <c r="P80" i="2"/>
  <c r="G98" i="6"/>
  <c r="O730" i="2"/>
  <c r="O81" i="2"/>
  <c r="O193" i="2"/>
  <c r="O308" i="2"/>
  <c r="O420" i="2"/>
  <c r="O511" i="2"/>
  <c r="O599" i="2"/>
  <c r="O679" i="2"/>
  <c r="O1599" i="2"/>
  <c r="O1651" i="2"/>
  <c r="O1703" i="2"/>
  <c r="O1755" i="2"/>
  <c r="O782" i="2"/>
  <c r="O835" i="2"/>
  <c r="O886" i="2"/>
  <c r="O946" i="2"/>
  <c r="O997" i="2"/>
  <c r="O1050" i="2"/>
  <c r="O1101" i="2"/>
  <c r="O1154" i="2"/>
  <c r="O1205" i="2"/>
  <c r="O1273" i="2"/>
  <c r="O1324" i="2"/>
  <c r="O1377" i="2"/>
  <c r="O1428" i="2"/>
  <c r="O1480" i="2"/>
  <c r="O1533" i="2"/>
  <c r="O731" i="2"/>
  <c r="O80" i="2"/>
  <c r="O192" i="2"/>
  <c r="O307" i="2"/>
  <c r="O419" i="2"/>
  <c r="O510" i="2"/>
  <c r="O598" i="2"/>
  <c r="O678" i="2"/>
  <c r="O1600" i="2"/>
  <c r="O1652" i="2"/>
  <c r="O1704" i="2"/>
  <c r="O1756" i="2"/>
  <c r="O783" i="2"/>
  <c r="O834" i="2"/>
  <c r="O887" i="2"/>
  <c r="O945" i="2"/>
  <c r="O998" i="2"/>
  <c r="O1049" i="2"/>
  <c r="O1102" i="2"/>
  <c r="O1153" i="2"/>
  <c r="O1206" i="2"/>
  <c r="O1272" i="2"/>
  <c r="O1325" i="2"/>
  <c r="O1376" i="2"/>
  <c r="O1429" i="2"/>
  <c r="O1481" i="2"/>
  <c r="O1532" i="2"/>
  <c r="N418" i="2"/>
  <c r="N1048" i="2"/>
  <c r="N1702" i="2"/>
  <c r="N1479" i="2"/>
  <c r="N1598" i="2"/>
  <c r="N1427" i="2"/>
  <c r="M79" i="2"/>
  <c r="M191" i="2"/>
  <c r="M306" i="2"/>
  <c r="M509" i="2"/>
  <c r="M677" i="2"/>
  <c r="M885" i="2"/>
  <c r="Q30" i="6" s="1"/>
  <c r="M996" i="2"/>
  <c r="M1204" i="2"/>
  <c r="AU30" i="6" s="1"/>
  <c r="M1323" i="2"/>
  <c r="B46" i="6" s="1"/>
  <c r="M1427" i="2"/>
  <c r="L46" i="6" s="1"/>
  <c r="M1598" i="2"/>
  <c r="AA46" i="6" s="1"/>
  <c r="N1323" i="2"/>
  <c r="N729" i="2"/>
  <c r="B113" i="6" s="1"/>
  <c r="N833" i="2"/>
  <c r="N1204" i="2"/>
  <c r="N1375" i="2"/>
  <c r="M1479" i="2"/>
  <c r="Q46" i="6" s="1"/>
  <c r="M1375" i="2"/>
  <c r="G46" i="6" s="1"/>
  <c r="M1650" i="2"/>
  <c r="AF46" i="6" s="1"/>
  <c r="N885" i="2"/>
  <c r="M1754" i="2"/>
  <c r="AP46" i="6" s="1"/>
  <c r="N306" i="2"/>
  <c r="N1100" i="2"/>
  <c r="N944" i="2"/>
  <c r="N677" i="2"/>
  <c r="N1650" i="2"/>
  <c r="N1152" i="2"/>
  <c r="N781" i="2"/>
  <c r="M1152" i="2"/>
  <c r="AP30" i="6" s="1"/>
  <c r="M1100" i="2"/>
  <c r="AK30" i="6" s="1"/>
  <c r="M1048" i="2"/>
  <c r="AF30" i="6" s="1"/>
  <c r="N509" i="2"/>
  <c r="N191" i="2"/>
  <c r="N597" i="2"/>
  <c r="M833" i="2"/>
  <c r="L30" i="6" s="1"/>
  <c r="M781" i="2"/>
  <c r="G30" i="6" s="1"/>
  <c r="N996" i="2"/>
  <c r="M1531" i="2"/>
  <c r="V46" i="6" s="1"/>
  <c r="M418" i="2"/>
  <c r="M597" i="2"/>
  <c r="M729" i="2"/>
  <c r="B30" i="6" s="1"/>
  <c r="M944" i="2"/>
  <c r="V30" i="6" s="1"/>
  <c r="M1271" i="2"/>
  <c r="AZ30" i="6" s="1"/>
  <c r="M1702" i="2"/>
  <c r="AK46" i="6" s="1"/>
  <c r="N1754" i="2"/>
  <c r="N1531" i="2"/>
  <c r="N1271" i="2"/>
  <c r="N79" i="2"/>
  <c r="M1713" i="2"/>
  <c r="AL45" i="6" s="1"/>
  <c r="N1661" i="2"/>
  <c r="AG128" i="6" s="1"/>
  <c r="N1713" i="2"/>
  <c r="AL128" i="6" s="1"/>
  <c r="N1542" i="2"/>
  <c r="W128" i="6" s="1"/>
  <c r="M1661" i="2"/>
  <c r="N1609" i="2"/>
  <c r="AB128" i="6" s="1"/>
  <c r="M1609" i="2"/>
  <c r="AB45" i="6" s="1"/>
  <c r="M1542" i="2"/>
  <c r="W45" i="6" s="1"/>
  <c r="M1490" i="2"/>
  <c r="R45" i="6" s="1"/>
  <c r="N1438" i="2"/>
  <c r="M128" i="6" s="1"/>
  <c r="N1490" i="2"/>
  <c r="R128" i="6" s="1"/>
  <c r="M1438" i="2"/>
  <c r="M45" i="6" s="1"/>
  <c r="N1386" i="2"/>
  <c r="H128" i="6" s="1"/>
  <c r="M1386" i="2"/>
  <c r="M1334" i="2"/>
  <c r="C45" i="6" s="1"/>
  <c r="N1334" i="2"/>
  <c r="C128" i="6" s="1"/>
  <c r="N1282" i="2"/>
  <c r="BA112" i="6" s="1"/>
  <c r="M1282" i="2"/>
  <c r="BA29" i="6" s="1"/>
  <c r="N1111" i="2"/>
  <c r="AL112" i="6" s="1"/>
  <c r="N1215" i="2"/>
  <c r="AV112" i="6" s="1"/>
  <c r="N1163" i="2"/>
  <c r="AQ112" i="6" s="1"/>
  <c r="M1215" i="2"/>
  <c r="AV29" i="6" s="1"/>
  <c r="M1163" i="2"/>
  <c r="AQ29" i="6" s="1"/>
  <c r="M1111" i="2"/>
  <c r="AL29" i="6" s="1"/>
  <c r="M1059" i="2"/>
  <c r="AG29" i="6" s="1"/>
  <c r="N1059" i="2"/>
  <c r="AG112" i="6" s="1"/>
  <c r="N955" i="2"/>
  <c r="W112" i="6" s="1"/>
  <c r="M896" i="2"/>
  <c r="R29" i="6" s="1"/>
  <c r="M955" i="2"/>
  <c r="W29" i="6" s="1"/>
  <c r="N792" i="2"/>
  <c r="H112" i="6" s="1"/>
  <c r="N896" i="2"/>
  <c r="R112" i="6" s="1"/>
  <c r="M844" i="2"/>
  <c r="M29" i="6" s="1"/>
  <c r="N740" i="2"/>
  <c r="C112" i="6" s="1"/>
  <c r="N844" i="2"/>
  <c r="M112" i="6" s="1"/>
  <c r="M792" i="2"/>
  <c r="H29" i="6" s="1"/>
  <c r="M740" i="2"/>
  <c r="C29" i="6" s="1"/>
  <c r="N688" i="2"/>
  <c r="BK96" i="6" s="1"/>
  <c r="M688" i="2"/>
  <c r="BK13" i="6" s="1"/>
  <c r="N608" i="2"/>
  <c r="BD96" i="6" s="1"/>
  <c r="M608" i="2"/>
  <c r="N520" i="2"/>
  <c r="AU96" i="6" s="1"/>
  <c r="M520" i="2"/>
  <c r="AU13" i="6" s="1"/>
  <c r="N90" i="2"/>
  <c r="N429" i="2"/>
  <c r="AL96" i="6" s="1"/>
  <c r="N202" i="2"/>
  <c r="M429" i="2"/>
  <c r="AL13" i="6" s="1"/>
  <c r="N317" i="2"/>
  <c r="AB96" i="6" s="1"/>
  <c r="M317" i="2"/>
  <c r="AB13" i="6" s="1"/>
  <c r="M90" i="2"/>
  <c r="M202" i="2"/>
  <c r="R13" i="6" s="1"/>
  <c r="N1752" i="2"/>
  <c r="P1752" i="2" s="1"/>
  <c r="M1752" i="2"/>
  <c r="O1752" i="2" s="1"/>
  <c r="N1751" i="2"/>
  <c r="M1751" i="2"/>
  <c r="O1751" i="2" s="1"/>
  <c r="N1750" i="2"/>
  <c r="M1750" i="2"/>
  <c r="O1750" i="2" s="1"/>
  <c r="N1749" i="2"/>
  <c r="M1749" i="2"/>
  <c r="O1749" i="2" s="1"/>
  <c r="N1748" i="2"/>
  <c r="M1748" i="2"/>
  <c r="O1748" i="2" s="1"/>
  <c r="N1747" i="2"/>
  <c r="M1747" i="2"/>
  <c r="O1747" i="2" s="1"/>
  <c r="N1746" i="2"/>
  <c r="M1746" i="2"/>
  <c r="O1746" i="2" s="1"/>
  <c r="N1745" i="2"/>
  <c r="M1745" i="2"/>
  <c r="O1745" i="2" s="1"/>
  <c r="N1744" i="2"/>
  <c r="P1744" i="2" s="1"/>
  <c r="M1744" i="2"/>
  <c r="O1744" i="2" s="1"/>
  <c r="N1743" i="2"/>
  <c r="P1743" i="2" s="1"/>
  <c r="M1743" i="2"/>
  <c r="O1743" i="2" s="1"/>
  <c r="N1742" i="2"/>
  <c r="M1742" i="2"/>
  <c r="AI70" i="6" l="1"/>
  <c r="AI71" i="6"/>
  <c r="AH163" i="6"/>
  <c r="AH162" i="6"/>
  <c r="P1742" i="2"/>
  <c r="O1742" i="2"/>
  <c r="AA30" i="6"/>
  <c r="AH78" i="6" s="1"/>
  <c r="O317" i="2"/>
  <c r="O608" i="2"/>
  <c r="O844" i="2"/>
  <c r="O1111" i="2"/>
  <c r="P1334" i="2"/>
  <c r="O1438" i="2"/>
  <c r="P1542" i="2"/>
  <c r="Q33" i="6"/>
  <c r="P90" i="2"/>
  <c r="H96" i="6"/>
  <c r="O792" i="2"/>
  <c r="P955" i="2"/>
  <c r="O1334" i="2"/>
  <c r="O1609" i="2"/>
  <c r="P1713" i="2"/>
  <c r="O202" i="2"/>
  <c r="O520" i="2"/>
  <c r="P792" i="2"/>
  <c r="O1215" i="2"/>
  <c r="O1386" i="2"/>
  <c r="H45" i="6"/>
  <c r="P1438" i="2"/>
  <c r="P1661" i="2"/>
  <c r="B33" i="6"/>
  <c r="V49" i="6"/>
  <c r="P429" i="2"/>
  <c r="O740" i="2"/>
  <c r="O896" i="2"/>
  <c r="P1215" i="2"/>
  <c r="O1542" i="2"/>
  <c r="AZ33" i="6"/>
  <c r="G33" i="6"/>
  <c r="AP49" i="6"/>
  <c r="L49" i="6"/>
  <c r="P317" i="2"/>
  <c r="P608" i="2"/>
  <c r="P896" i="2"/>
  <c r="O1163" i="2"/>
  <c r="P1111" i="2"/>
  <c r="P1490" i="2"/>
  <c r="V33" i="6"/>
  <c r="L33" i="6"/>
  <c r="AF33" i="6"/>
  <c r="AF49" i="6"/>
  <c r="B49" i="6"/>
  <c r="O429" i="2"/>
  <c r="O688" i="2"/>
  <c r="P844" i="2"/>
  <c r="P1059" i="2"/>
  <c r="O1282" i="2"/>
  <c r="P1609" i="2"/>
  <c r="AK33" i="6"/>
  <c r="G49" i="6"/>
  <c r="AU33" i="6"/>
  <c r="O90" i="2"/>
  <c r="H13" i="6"/>
  <c r="P202" i="2"/>
  <c r="R96" i="6"/>
  <c r="P520" i="2"/>
  <c r="P688" i="2"/>
  <c r="P740" i="2"/>
  <c r="O955" i="2"/>
  <c r="O1059" i="2"/>
  <c r="P1163" i="2"/>
  <c r="P1282" i="2"/>
  <c r="P1386" i="2"/>
  <c r="O1490" i="2"/>
  <c r="O1661" i="2"/>
  <c r="AG45" i="6"/>
  <c r="O1713" i="2"/>
  <c r="AK49" i="6"/>
  <c r="AP33" i="6"/>
  <c r="Q49" i="6"/>
  <c r="B116" i="6"/>
  <c r="AA49" i="6"/>
  <c r="AI154" i="6"/>
  <c r="AI153" i="6"/>
  <c r="AI69" i="6"/>
  <c r="AQ132" i="6"/>
  <c r="AI152" i="6"/>
  <c r="AQ49" i="6"/>
  <c r="P1754" i="2"/>
  <c r="P1702" i="2"/>
  <c r="P1650" i="2"/>
  <c r="P1598" i="2"/>
  <c r="P1531" i="2"/>
  <c r="P1479" i="2"/>
  <c r="P1427" i="2"/>
  <c r="P1375" i="2"/>
  <c r="P1323" i="2"/>
  <c r="P1271" i="2"/>
  <c r="P1204" i="2"/>
  <c r="P1152" i="2"/>
  <c r="P1100" i="2"/>
  <c r="P1048" i="2"/>
  <c r="P944" i="2"/>
  <c r="P885" i="2"/>
  <c r="P833" i="2"/>
  <c r="P781" i="2"/>
  <c r="P729" i="2"/>
  <c r="P677" i="2"/>
  <c r="BJ97" i="6"/>
  <c r="P597" i="2"/>
  <c r="BC97" i="6"/>
  <c r="P509" i="2"/>
  <c r="AT97" i="6"/>
  <c r="P418" i="2"/>
  <c r="AK97" i="6"/>
  <c r="P306" i="2"/>
  <c r="AA97" i="6"/>
  <c r="P191" i="2"/>
  <c r="Q97" i="6"/>
  <c r="P79" i="2"/>
  <c r="G97" i="6"/>
  <c r="P996" i="2"/>
  <c r="O944" i="2"/>
  <c r="O833" i="2"/>
  <c r="O1100" i="2"/>
  <c r="O509" i="2"/>
  <c r="O729" i="2"/>
  <c r="O1531" i="2"/>
  <c r="O1152" i="2"/>
  <c r="O1754" i="2"/>
  <c r="O1598" i="2"/>
  <c r="O996" i="2"/>
  <c r="O306" i="2"/>
  <c r="O1479" i="2"/>
  <c r="O1204" i="2"/>
  <c r="O1702" i="2"/>
  <c r="O597" i="2"/>
  <c r="O1650" i="2"/>
  <c r="O1427" i="2"/>
  <c r="O885" i="2"/>
  <c r="O191" i="2"/>
  <c r="O1271" i="2"/>
  <c r="O418" i="2"/>
  <c r="O781" i="2"/>
  <c r="O1048" i="2"/>
  <c r="O1375" i="2"/>
  <c r="O1323" i="2"/>
  <c r="O677" i="2"/>
  <c r="O79" i="2"/>
  <c r="P1748" i="2"/>
  <c r="P1750" i="2"/>
  <c r="P1746" i="2"/>
  <c r="P1747" i="2"/>
  <c r="P1751" i="2"/>
  <c r="P1745" i="2"/>
  <c r="P1749" i="2"/>
  <c r="N1753" i="2"/>
  <c r="N1790" i="2" s="1"/>
  <c r="M1753" i="2"/>
  <c r="M1790" i="2" s="1"/>
  <c r="BK100" i="6" l="1"/>
  <c r="BK17" i="6"/>
  <c r="AH161" i="6"/>
  <c r="C132" i="6"/>
  <c r="AV116" i="6"/>
  <c r="AA33" i="6"/>
  <c r="AH81" i="6"/>
  <c r="AU17" i="6"/>
  <c r="AV33" i="6"/>
  <c r="AB17" i="6"/>
  <c r="C33" i="6"/>
  <c r="W132" i="6"/>
  <c r="M33" i="6"/>
  <c r="H17" i="6"/>
  <c r="AQ116" i="6"/>
  <c r="H132" i="6"/>
  <c r="AB100" i="6"/>
  <c r="R100" i="6"/>
  <c r="R116" i="6"/>
  <c r="AL116" i="6"/>
  <c r="AG116" i="6"/>
  <c r="M116" i="6"/>
  <c r="BA116" i="6"/>
  <c r="AG33" i="6"/>
  <c r="AG49" i="6"/>
  <c r="AB132" i="6"/>
  <c r="M132" i="6"/>
  <c r="W33" i="6"/>
  <c r="AL17" i="6"/>
  <c r="AL33" i="6"/>
  <c r="R49" i="6"/>
  <c r="AL132" i="6"/>
  <c r="H33" i="6"/>
  <c r="BD100" i="6"/>
  <c r="BA33" i="6"/>
  <c r="AL49" i="6"/>
  <c r="C49" i="6"/>
  <c r="BD17" i="6"/>
  <c r="M49" i="6"/>
  <c r="AU100" i="6"/>
  <c r="H100" i="6"/>
  <c r="AB49" i="6"/>
  <c r="AQ33" i="6"/>
  <c r="W49" i="6"/>
  <c r="H49" i="6"/>
  <c r="W116" i="6"/>
  <c r="AG132" i="6"/>
  <c r="H116" i="6"/>
  <c r="R33" i="6"/>
  <c r="R17" i="6"/>
  <c r="AL100" i="6"/>
  <c r="C116" i="6"/>
  <c r="R132" i="6"/>
  <c r="AK100" i="6"/>
  <c r="AT100" i="6"/>
  <c r="BJ100" i="6"/>
  <c r="G100" i="6"/>
  <c r="BC100" i="6"/>
  <c r="AA100" i="6"/>
  <c r="Q100" i="6"/>
  <c r="AA17" i="6"/>
  <c r="AT17" i="6"/>
  <c r="AK17" i="6"/>
  <c r="Q17" i="6"/>
  <c r="BC17" i="6"/>
  <c r="BJ17" i="6"/>
  <c r="G17" i="6"/>
  <c r="O1753" i="2"/>
  <c r="O1790" i="2" s="1"/>
  <c r="P1753" i="2"/>
  <c r="P1790" i="2" s="1"/>
  <c r="N1701" i="2"/>
  <c r="P1701" i="2" s="1"/>
  <c r="M1701" i="2"/>
  <c r="N1699" i="2"/>
  <c r="P1699" i="2" s="1"/>
  <c r="M1699" i="2"/>
  <c r="O1699" i="2" s="1"/>
  <c r="N1698" i="2"/>
  <c r="M1698" i="2"/>
  <c r="O1698" i="2" s="1"/>
  <c r="N1697" i="2"/>
  <c r="M1697" i="2"/>
  <c r="O1697" i="2" s="1"/>
  <c r="N1696" i="2"/>
  <c r="M1696" i="2"/>
  <c r="O1696" i="2" s="1"/>
  <c r="N1695" i="2"/>
  <c r="P1695" i="2" s="1"/>
  <c r="M1695" i="2"/>
  <c r="O1695" i="2" s="1"/>
  <c r="N1694" i="2"/>
  <c r="P1694" i="2" s="1"/>
  <c r="M1694" i="2"/>
  <c r="O1694" i="2" s="1"/>
  <c r="N1693" i="2"/>
  <c r="P1693" i="2" s="1"/>
  <c r="M1693" i="2"/>
  <c r="O1693" i="2" s="1"/>
  <c r="N1692" i="2"/>
  <c r="P1692" i="2" s="1"/>
  <c r="M1692" i="2"/>
  <c r="O1692" i="2" s="1"/>
  <c r="N1691" i="2"/>
  <c r="P1691" i="2" s="1"/>
  <c r="M1691" i="2"/>
  <c r="O1691" i="2" s="1"/>
  <c r="N1690" i="2"/>
  <c r="M1690" i="2"/>
  <c r="AH164" i="6" l="1"/>
  <c r="P1690" i="2"/>
  <c r="O1690" i="2"/>
  <c r="P1698" i="2"/>
  <c r="P1697" i="2"/>
  <c r="P1696" i="2"/>
  <c r="O1701" i="2"/>
  <c r="M1700" i="2"/>
  <c r="M1738" i="2" s="1"/>
  <c r="N1700" i="2"/>
  <c r="N1738" i="2" s="1"/>
  <c r="N1649" i="2"/>
  <c r="P1649" i="2" s="1"/>
  <c r="M1649" i="2"/>
  <c r="N1648" i="2"/>
  <c r="M1648" i="2"/>
  <c r="N1646" i="2"/>
  <c r="P1646" i="2" s="1"/>
  <c r="M1646" i="2"/>
  <c r="O1646" i="2" s="1"/>
  <c r="N1645" i="2"/>
  <c r="P1645" i="2" s="1"/>
  <c r="M1645" i="2"/>
  <c r="O1645" i="2" s="1"/>
  <c r="N1644" i="2"/>
  <c r="P1644" i="2" s="1"/>
  <c r="M1644" i="2"/>
  <c r="O1644" i="2" s="1"/>
  <c r="N1643" i="2"/>
  <c r="P1643" i="2" s="1"/>
  <c r="M1643" i="2"/>
  <c r="O1643" i="2" s="1"/>
  <c r="N1642" i="2"/>
  <c r="P1642" i="2" s="1"/>
  <c r="M1642" i="2"/>
  <c r="O1642" i="2" s="1"/>
  <c r="N1641" i="2"/>
  <c r="P1641" i="2" s="1"/>
  <c r="M1641" i="2"/>
  <c r="O1641" i="2" s="1"/>
  <c r="N1640" i="2"/>
  <c r="P1640" i="2" s="1"/>
  <c r="M1640" i="2"/>
  <c r="O1640" i="2" s="1"/>
  <c r="N1639" i="2"/>
  <c r="P1639" i="2" s="1"/>
  <c r="M1639" i="2"/>
  <c r="O1639" i="2" s="1"/>
  <c r="N1638" i="2"/>
  <c r="M1638" i="2"/>
  <c r="O1638" i="2" l="1"/>
  <c r="P1638" i="2"/>
  <c r="O1649" i="2"/>
  <c r="O1700" i="2"/>
  <c r="O1738" i="2" s="1"/>
  <c r="P1700" i="2"/>
  <c r="P1738" i="2" s="1"/>
  <c r="O1648" i="2"/>
  <c r="P1648" i="2"/>
  <c r="M1647" i="2"/>
  <c r="M1686" i="2" s="1"/>
  <c r="N1647" i="2"/>
  <c r="N1686" i="2" s="1"/>
  <c r="P1252" i="2"/>
  <c r="P1579" i="2"/>
  <c r="N1597" i="2"/>
  <c r="M1597" i="2"/>
  <c r="N1596" i="2"/>
  <c r="M1596" i="2"/>
  <c r="N1595" i="2"/>
  <c r="M1595" i="2"/>
  <c r="O1595" i="2" s="1"/>
  <c r="N1593" i="2"/>
  <c r="P1593" i="2" s="1"/>
  <c r="M1593" i="2"/>
  <c r="O1593" i="2" s="1"/>
  <c r="N1592" i="2"/>
  <c r="P1592" i="2" s="1"/>
  <c r="M1592" i="2"/>
  <c r="O1592" i="2" s="1"/>
  <c r="N1591" i="2"/>
  <c r="P1591" i="2" s="1"/>
  <c r="M1591" i="2"/>
  <c r="O1591" i="2" s="1"/>
  <c r="N1590" i="2"/>
  <c r="P1590" i="2" s="1"/>
  <c r="M1590" i="2"/>
  <c r="O1590" i="2" s="1"/>
  <c r="N1589" i="2"/>
  <c r="P1589" i="2" s="1"/>
  <c r="M1589" i="2"/>
  <c r="O1589" i="2" s="1"/>
  <c r="N1588" i="2"/>
  <c r="P1588" i="2" s="1"/>
  <c r="M1588" i="2"/>
  <c r="O1588" i="2" s="1"/>
  <c r="N1587" i="2"/>
  <c r="P1587" i="2" s="1"/>
  <c r="M1587" i="2"/>
  <c r="O1587" i="2" s="1"/>
  <c r="N1586" i="2"/>
  <c r="M1586" i="2"/>
  <c r="P1586" i="2" l="1"/>
  <c r="O1586" i="2"/>
  <c r="P1597" i="2"/>
  <c r="P1596" i="2"/>
  <c r="O1596" i="2"/>
  <c r="O1597" i="2"/>
  <c r="P1647" i="2"/>
  <c r="P1686" i="2" s="1"/>
  <c r="O1647" i="2"/>
  <c r="O1686" i="2" s="1"/>
  <c r="P1595" i="2"/>
  <c r="M1594" i="2"/>
  <c r="M1634" i="2" s="1"/>
  <c r="N1594" i="2"/>
  <c r="N1634" i="2" s="1"/>
  <c r="O1594" i="2" l="1"/>
  <c r="O1634" i="2" s="1"/>
  <c r="P1594" i="2"/>
  <c r="P1634" i="2" s="1"/>
  <c r="N1529" i="2" l="1"/>
  <c r="M1529" i="2"/>
  <c r="N1528" i="2"/>
  <c r="M1528" i="2"/>
  <c r="N1527" i="2"/>
  <c r="P1527" i="2" s="1"/>
  <c r="M1527" i="2"/>
  <c r="O1527" i="2" s="1"/>
  <c r="N1477" i="2"/>
  <c r="P1477" i="2" s="1"/>
  <c r="M1477" i="2"/>
  <c r="N1476" i="2"/>
  <c r="P1476" i="2" s="1"/>
  <c r="M1476" i="2"/>
  <c r="N1475" i="2"/>
  <c r="P1475" i="2" s="1"/>
  <c r="M1475" i="2"/>
  <c r="O1475" i="2" s="1"/>
  <c r="N1425" i="2"/>
  <c r="P1425" i="2" s="1"/>
  <c r="M1425" i="2"/>
  <c r="N1424" i="2"/>
  <c r="P1424" i="2" s="1"/>
  <c r="M1424" i="2"/>
  <c r="N1423" i="2"/>
  <c r="P1423" i="2" s="1"/>
  <c r="M1423" i="2"/>
  <c r="O1423" i="2" s="1"/>
  <c r="O1529" i="2" l="1"/>
  <c r="O1425" i="2"/>
  <c r="O1477" i="2"/>
  <c r="O1528" i="2"/>
  <c r="O1476" i="2"/>
  <c r="O1424" i="2"/>
  <c r="P1528" i="2"/>
  <c r="P1529" i="2"/>
  <c r="M1526" i="2"/>
  <c r="M1567" i="2" s="1"/>
  <c r="N1526" i="2"/>
  <c r="N1567" i="2" s="1"/>
  <c r="N1474" i="2"/>
  <c r="N1515" i="2" s="1"/>
  <c r="N1422" i="2"/>
  <c r="N1463" i="2" s="1"/>
  <c r="M1474" i="2"/>
  <c r="M1515" i="2" s="1"/>
  <c r="M1422" i="2"/>
  <c r="M1463" i="2" s="1"/>
  <c r="P1474" i="2" l="1"/>
  <c r="P1515" i="2" s="1"/>
  <c r="O1422" i="2"/>
  <c r="O1463" i="2" s="1"/>
  <c r="P1526" i="2"/>
  <c r="P1567" i="2" s="1"/>
  <c r="O1474" i="2"/>
  <c r="O1515" i="2" s="1"/>
  <c r="P1422" i="2"/>
  <c r="P1463" i="2" s="1"/>
  <c r="O1526" i="2"/>
  <c r="O1567" i="2" s="1"/>
  <c r="N1373" i="2" l="1"/>
  <c r="M1373" i="2"/>
  <c r="N1372" i="2"/>
  <c r="M1372" i="2"/>
  <c r="N1371" i="2"/>
  <c r="M1371" i="2"/>
  <c r="N1370" i="2"/>
  <c r="M1370" i="2"/>
  <c r="N1321" i="2"/>
  <c r="M1321" i="2"/>
  <c r="N1320" i="2"/>
  <c r="M1320" i="2"/>
  <c r="N1319" i="2"/>
  <c r="M1319" i="2"/>
  <c r="N1318" i="2"/>
  <c r="M1318" i="2"/>
  <c r="N1269" i="2"/>
  <c r="M1269" i="2"/>
  <c r="N1268" i="2"/>
  <c r="M1268" i="2"/>
  <c r="N1267" i="2"/>
  <c r="M1267" i="2"/>
  <c r="N1266" i="2"/>
  <c r="M1266" i="2"/>
  <c r="N1202" i="2"/>
  <c r="M1202" i="2"/>
  <c r="N1201" i="2"/>
  <c r="M1201" i="2"/>
  <c r="N1200" i="2"/>
  <c r="M1200" i="2"/>
  <c r="N1199" i="2"/>
  <c r="M1199" i="2"/>
  <c r="N1150" i="2"/>
  <c r="M1150" i="2"/>
  <c r="N1149" i="2"/>
  <c r="M1149" i="2"/>
  <c r="N1148" i="2"/>
  <c r="M1148" i="2"/>
  <c r="N1147" i="2"/>
  <c r="M1147" i="2"/>
  <c r="N1098" i="2"/>
  <c r="M1098" i="2"/>
  <c r="N1097" i="2"/>
  <c r="M1097" i="2"/>
  <c r="N1096" i="2"/>
  <c r="M1096" i="2"/>
  <c r="N1095" i="2"/>
  <c r="M1095" i="2"/>
  <c r="N1046" i="2"/>
  <c r="M1046" i="2"/>
  <c r="N1045" i="2"/>
  <c r="M1045" i="2"/>
  <c r="N1044" i="2"/>
  <c r="M1044" i="2"/>
  <c r="N1043" i="2"/>
  <c r="M1043" i="2"/>
  <c r="N1007" i="2"/>
  <c r="M1007" i="2"/>
  <c r="N1006" i="2"/>
  <c r="M1006" i="2"/>
  <c r="N1005" i="2"/>
  <c r="M1005" i="2"/>
  <c r="N1004" i="2"/>
  <c r="M1004" i="2"/>
  <c r="N1003" i="2"/>
  <c r="M1003" i="2"/>
  <c r="AB109" i="6" l="1"/>
  <c r="AB111" i="6"/>
  <c r="AB108" i="6"/>
  <c r="AB110" i="6"/>
  <c r="AI158" i="6" s="1"/>
  <c r="AB112" i="6"/>
  <c r="AB25" i="6"/>
  <c r="AB26" i="6"/>
  <c r="AB28" i="6"/>
  <c r="AB27" i="6"/>
  <c r="AB29" i="6"/>
  <c r="O1046" i="2"/>
  <c r="O1150" i="2"/>
  <c r="O1269" i="2"/>
  <c r="O1045" i="2"/>
  <c r="O1320" i="2"/>
  <c r="O1268" i="2"/>
  <c r="O1371" i="2"/>
  <c r="O1319" i="2"/>
  <c r="O1267" i="2"/>
  <c r="O1007" i="2"/>
  <c r="O1200" i="2"/>
  <c r="P1267" i="2"/>
  <c r="P1268" i="2"/>
  <c r="P1269" i="2"/>
  <c r="O1373" i="2"/>
  <c r="O1006" i="2"/>
  <c r="O1321" i="2"/>
  <c r="O1372" i="2"/>
  <c r="O1199" i="2"/>
  <c r="O1266" i="2"/>
  <c r="P1266" i="2"/>
  <c r="O1147" i="2"/>
  <c r="O1318" i="2"/>
  <c r="O1370" i="2"/>
  <c r="O1003" i="2"/>
  <c r="P1006" i="2"/>
  <c r="P1045" i="2"/>
  <c r="P1199" i="2"/>
  <c r="P1044" i="2"/>
  <c r="P1149" i="2"/>
  <c r="P1202" i="2"/>
  <c r="P1005" i="2"/>
  <c r="P1004" i="2"/>
  <c r="O1005" i="2"/>
  <c r="P1043" i="2"/>
  <c r="O1044" i="2"/>
  <c r="O1095" i="2"/>
  <c r="O1096" i="2"/>
  <c r="O1097" i="2"/>
  <c r="O1098" i="2"/>
  <c r="P1148" i="2"/>
  <c r="O1149" i="2"/>
  <c r="P1201" i="2"/>
  <c r="O1202" i="2"/>
  <c r="P1318" i="2"/>
  <c r="P1319" i="2"/>
  <c r="P1320" i="2"/>
  <c r="P1321" i="2"/>
  <c r="P1370" i="2"/>
  <c r="P1371" i="2"/>
  <c r="P1372" i="2"/>
  <c r="P1373" i="2"/>
  <c r="P1150" i="2"/>
  <c r="P1003" i="2"/>
  <c r="O1004" i="2"/>
  <c r="P1007" i="2"/>
  <c r="O1043" i="2"/>
  <c r="P1046" i="2"/>
  <c r="P1095" i="2"/>
  <c r="P1096" i="2"/>
  <c r="P1097" i="2"/>
  <c r="P1098" i="2"/>
  <c r="P1147" i="2"/>
  <c r="O1148" i="2"/>
  <c r="P1200" i="2"/>
  <c r="O1201" i="2"/>
  <c r="N1369" i="2"/>
  <c r="N1411" i="2" s="1"/>
  <c r="M1369" i="2"/>
  <c r="M1411" i="2" s="1"/>
  <c r="N1317" i="2"/>
  <c r="N1359" i="2" s="1"/>
  <c r="M1317" i="2"/>
  <c r="M1359" i="2" s="1"/>
  <c r="N1198" i="2"/>
  <c r="N1240" i="2" s="1"/>
  <c r="N1146" i="2"/>
  <c r="N1188" i="2" s="1"/>
  <c r="N1042" i="2"/>
  <c r="N1084" i="2" s="1"/>
  <c r="N1002" i="2"/>
  <c r="M1265" i="2"/>
  <c r="M1307" i="2" s="1"/>
  <c r="N1265" i="2"/>
  <c r="N1307" i="2" s="1"/>
  <c r="M1198" i="2"/>
  <c r="M1240" i="2" s="1"/>
  <c r="M1146" i="2"/>
  <c r="M1188" i="2" s="1"/>
  <c r="M1094" i="2"/>
  <c r="M1136" i="2" s="1"/>
  <c r="N1094" i="2"/>
  <c r="N1136" i="2" s="1"/>
  <c r="M1042" i="2"/>
  <c r="M1084" i="2" s="1"/>
  <c r="M1002" i="2"/>
  <c r="AI157" i="6" l="1"/>
  <c r="AI156" i="6"/>
  <c r="AI160" i="6"/>
  <c r="AI74" i="6"/>
  <c r="AI159" i="6"/>
  <c r="AI77" i="6"/>
  <c r="AI73" i="6"/>
  <c r="AI75" i="6"/>
  <c r="N1032" i="2"/>
  <c r="AB107" i="6"/>
  <c r="AI76" i="6"/>
  <c r="M1032" i="2"/>
  <c r="AB24" i="6"/>
  <c r="AI72" i="6" s="1"/>
  <c r="O1198" i="2"/>
  <c r="O1240" i="2" s="1"/>
  <c r="O1094" i="2"/>
  <c r="O1136" i="2" s="1"/>
  <c r="P1094" i="2"/>
  <c r="P1136" i="2" s="1"/>
  <c r="P1198" i="2"/>
  <c r="P1240" i="2" s="1"/>
  <c r="O1042" i="2"/>
  <c r="O1084" i="2" s="1"/>
  <c r="O1146" i="2"/>
  <c r="O1188" i="2" s="1"/>
  <c r="P1265" i="2"/>
  <c r="P1307" i="2" s="1"/>
  <c r="P1042" i="2"/>
  <c r="P1084" i="2" s="1"/>
  <c r="P1369" i="2"/>
  <c r="P1411" i="2" s="1"/>
  <c r="O1002" i="2"/>
  <c r="O1032" i="2" s="1"/>
  <c r="P1002" i="2"/>
  <c r="P1032" i="2" s="1"/>
  <c r="O1369" i="2"/>
  <c r="O1411" i="2" s="1"/>
  <c r="O1265" i="2"/>
  <c r="O1307" i="2" s="1"/>
  <c r="P1146" i="2"/>
  <c r="P1188" i="2" s="1"/>
  <c r="P1317" i="2"/>
  <c r="P1359" i="2" s="1"/>
  <c r="O1317" i="2"/>
  <c r="O1359" i="2" s="1"/>
  <c r="AI155" i="6" l="1"/>
  <c r="AB116" i="6"/>
  <c r="AB33" i="6"/>
  <c r="P925" i="2"/>
  <c r="N942" i="2"/>
  <c r="M942" i="2"/>
  <c r="N941" i="2"/>
  <c r="M941" i="2"/>
  <c r="N940" i="2"/>
  <c r="M940" i="2"/>
  <c r="N939" i="2"/>
  <c r="M939" i="2"/>
  <c r="N938" i="2"/>
  <c r="M938" i="2"/>
  <c r="N883" i="2"/>
  <c r="M883" i="2"/>
  <c r="N882" i="2"/>
  <c r="M882" i="2"/>
  <c r="N881" i="2"/>
  <c r="M881" i="2"/>
  <c r="N880" i="2"/>
  <c r="M880" i="2"/>
  <c r="N879" i="2"/>
  <c r="M879" i="2"/>
  <c r="N831" i="2"/>
  <c r="M831" i="2"/>
  <c r="N830" i="2"/>
  <c r="M830" i="2"/>
  <c r="N829" i="2"/>
  <c r="M829" i="2"/>
  <c r="N828" i="2"/>
  <c r="M828" i="2"/>
  <c r="N827" i="2"/>
  <c r="M827" i="2"/>
  <c r="AI164" i="6" l="1"/>
  <c r="AI81" i="6"/>
  <c r="P883" i="2"/>
  <c r="O939" i="2"/>
  <c r="P942" i="2"/>
  <c r="P828" i="2"/>
  <c r="P830" i="2"/>
  <c r="O880" i="2"/>
  <c r="O882" i="2"/>
  <c r="P939" i="2"/>
  <c r="P941" i="2"/>
  <c r="O828" i="2"/>
  <c r="P879" i="2"/>
  <c r="O827" i="2"/>
  <c r="O831" i="2"/>
  <c r="P882" i="2"/>
  <c r="O941" i="2"/>
  <c r="O830" i="2"/>
  <c r="P881" i="2"/>
  <c r="O829" i="2"/>
  <c r="P880" i="2"/>
  <c r="P827" i="2"/>
  <c r="P829" i="2"/>
  <c r="P831" i="2"/>
  <c r="O881" i="2"/>
  <c r="P938" i="2"/>
  <c r="P940" i="2"/>
  <c r="O879" i="2"/>
  <c r="O938" i="2"/>
  <c r="M826" i="2"/>
  <c r="M869" i="2" s="1"/>
  <c r="N937" i="2"/>
  <c r="N980" i="2" s="1"/>
  <c r="O942" i="2"/>
  <c r="O883" i="2"/>
  <c r="O940" i="2"/>
  <c r="N878" i="2"/>
  <c r="N921" i="2" s="1"/>
  <c r="N826" i="2"/>
  <c r="N869" i="2" s="1"/>
  <c r="M878" i="2"/>
  <c r="M921" i="2" s="1"/>
  <c r="M937" i="2"/>
  <c r="M980" i="2" s="1"/>
  <c r="P937" i="2" l="1"/>
  <c r="P980" i="2" s="1"/>
  <c r="O826" i="2"/>
  <c r="O869" i="2" s="1"/>
  <c r="O937" i="2"/>
  <c r="O980" i="2" s="1"/>
  <c r="O878" i="2"/>
  <c r="O921" i="2" s="1"/>
  <c r="P878" i="2"/>
  <c r="P921" i="2" s="1"/>
  <c r="P826" i="2"/>
  <c r="P869" i="2" s="1"/>
  <c r="P635" i="2" l="1"/>
  <c r="N773" i="2"/>
  <c r="M773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28" i="2"/>
  <c r="M728" i="2"/>
  <c r="N727" i="2"/>
  <c r="M727" i="2"/>
  <c r="N726" i="2"/>
  <c r="M726" i="2"/>
  <c r="N725" i="2"/>
  <c r="M725" i="2"/>
  <c r="N669" i="2"/>
  <c r="N298" i="2"/>
  <c r="N501" i="2"/>
  <c r="N589" i="2"/>
  <c r="N71" i="2"/>
  <c r="N183" i="2"/>
  <c r="M183" i="2"/>
  <c r="M71" i="2"/>
  <c r="N653" i="2"/>
  <c r="M646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N645" i="2"/>
  <c r="M645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41" i="2"/>
  <c r="M41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M765" i="2" l="1"/>
  <c r="N342" i="2"/>
  <c r="M633" i="2"/>
  <c r="N713" i="2"/>
  <c r="M817" i="2"/>
  <c r="N817" i="2"/>
  <c r="N765" i="2"/>
  <c r="N633" i="2"/>
  <c r="M545" i="2"/>
  <c r="N545" i="2"/>
  <c r="M454" i="2"/>
  <c r="M342" i="2"/>
  <c r="O727" i="2"/>
  <c r="O774" i="2"/>
  <c r="O776" i="2"/>
  <c r="O778" i="2"/>
  <c r="O773" i="2"/>
  <c r="P777" i="2"/>
  <c r="P774" i="2"/>
  <c r="P776" i="2"/>
  <c r="P778" i="2"/>
  <c r="P773" i="2"/>
  <c r="P775" i="2"/>
  <c r="P779" i="2"/>
  <c r="O726" i="2"/>
  <c r="O728" i="2"/>
  <c r="O775" i="2"/>
  <c r="P726" i="2"/>
  <c r="O777" i="2"/>
  <c r="P728" i="2"/>
  <c r="P725" i="2"/>
  <c r="P727" i="2"/>
  <c r="O779" i="2"/>
  <c r="O725" i="2"/>
  <c r="N410" i="2"/>
  <c r="N454" i="2" s="1"/>
  <c r="M669" i="2"/>
  <c r="M713" i="2" s="1"/>
  <c r="AJ161" i="6" l="1"/>
  <c r="AL161" i="6" s="1"/>
  <c r="I116" i="6"/>
  <c r="K116" i="6" s="1"/>
  <c r="BE17" i="6"/>
  <c r="BG17" i="6" s="1"/>
  <c r="AJ78" i="6"/>
  <c r="AL78" i="6" s="1"/>
  <c r="BL17" i="6"/>
  <c r="BN17" i="6" s="1"/>
  <c r="P817" i="2"/>
  <c r="O817" i="2"/>
  <c r="P765" i="2"/>
  <c r="O765" i="2"/>
  <c r="O300" i="2"/>
  <c r="P663" i="2"/>
  <c r="P295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8" i="2"/>
  <c r="O668" i="2"/>
  <c r="P667" i="2"/>
  <c r="O667" i="2"/>
  <c r="P666" i="2"/>
  <c r="P665" i="2"/>
  <c r="O665" i="2"/>
  <c r="P596" i="2"/>
  <c r="O596" i="2"/>
  <c r="P595" i="2"/>
  <c r="O595" i="2"/>
  <c r="P594" i="2"/>
  <c r="O594" i="2"/>
  <c r="P593" i="2"/>
  <c r="O593" i="2"/>
  <c r="P592" i="2"/>
  <c r="O592" i="2"/>
  <c r="P591" i="2"/>
  <c r="P590" i="2"/>
  <c r="O590" i="2"/>
  <c r="O589" i="2"/>
  <c r="P587" i="2"/>
  <c r="O587" i="2"/>
  <c r="P586" i="2"/>
  <c r="O586" i="2"/>
  <c r="P585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P500" i="2"/>
  <c r="P499" i="2"/>
  <c r="P498" i="2"/>
  <c r="O498" i="2"/>
  <c r="P497" i="2"/>
  <c r="O497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09" i="2"/>
  <c r="P408" i="2"/>
  <c r="O408" i="2"/>
  <c r="P407" i="2"/>
  <c r="O407" i="2"/>
  <c r="P406" i="2"/>
  <c r="O406" i="2"/>
  <c r="P305" i="2"/>
  <c r="O305" i="2"/>
  <c r="P304" i="2"/>
  <c r="O304" i="2"/>
  <c r="P303" i="2"/>
  <c r="O303" i="2"/>
  <c r="P302" i="2"/>
  <c r="O302" i="2"/>
  <c r="P301" i="2"/>
  <c r="O301" i="2"/>
  <c r="P300" i="2"/>
  <c r="P299" i="2"/>
  <c r="O299" i="2"/>
  <c r="P298" i="2"/>
  <c r="O296" i="2"/>
  <c r="O295" i="2"/>
  <c r="P294" i="2"/>
  <c r="O294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O183" i="2"/>
  <c r="O182" i="2"/>
  <c r="P181" i="2"/>
  <c r="O181" i="2"/>
  <c r="P180" i="2"/>
  <c r="O180" i="2"/>
  <c r="P179" i="2"/>
  <c r="O179" i="2"/>
  <c r="P78" i="2"/>
  <c r="O78" i="2"/>
  <c r="P77" i="2"/>
  <c r="O77" i="2"/>
  <c r="P76" i="2"/>
  <c r="O76" i="2"/>
  <c r="P75" i="2"/>
  <c r="O75" i="2"/>
  <c r="P74" i="2"/>
  <c r="O74" i="2"/>
  <c r="P73" i="2"/>
  <c r="O73" i="2"/>
  <c r="O72" i="2"/>
  <c r="P70" i="2"/>
  <c r="O70" i="2"/>
  <c r="O69" i="2"/>
  <c r="P67" i="2"/>
  <c r="O67" i="2"/>
  <c r="O68" i="2"/>
  <c r="O494" i="2"/>
  <c r="O491" i="2"/>
  <c r="O400" i="2"/>
  <c r="O177" i="2"/>
  <c r="O173" i="2"/>
  <c r="O172" i="2"/>
  <c r="O582" i="2"/>
  <c r="O291" i="2"/>
  <c r="O176" i="2"/>
  <c r="O403" i="2"/>
  <c r="O662" i="2"/>
  <c r="O493" i="2"/>
  <c r="O290" i="2"/>
  <c r="O63" i="2"/>
  <c r="O174" i="2"/>
  <c r="O401" i="2"/>
  <c r="O492" i="2"/>
  <c r="O660" i="2"/>
  <c r="P662" i="2"/>
  <c r="P660" i="2"/>
  <c r="P582" i="2"/>
  <c r="P581" i="2"/>
  <c r="P580" i="2"/>
  <c r="P494" i="2"/>
  <c r="P492" i="2"/>
  <c r="P491" i="2"/>
  <c r="P403" i="2"/>
  <c r="P402" i="2"/>
  <c r="P401" i="2"/>
  <c r="P400" i="2"/>
  <c r="P291" i="2"/>
  <c r="P289" i="2"/>
  <c r="P177" i="2"/>
  <c r="P176" i="2"/>
  <c r="P175" i="2"/>
  <c r="P174" i="2"/>
  <c r="P63" i="2"/>
  <c r="P60" i="2"/>
  <c r="O65" i="2"/>
  <c r="O60" i="2"/>
  <c r="P654" i="2"/>
  <c r="P487" i="2"/>
  <c r="O396" i="2"/>
  <c r="O394" i="2"/>
  <c r="O169" i="2"/>
  <c r="O167" i="2"/>
  <c r="P65" i="2"/>
  <c r="O64" i="2"/>
  <c r="P62" i="2"/>
  <c r="O61" i="2"/>
  <c r="O56" i="2"/>
  <c r="P55" i="2"/>
  <c r="P66" i="2"/>
  <c r="P178" i="2"/>
  <c r="P287" i="2"/>
  <c r="P288" i="2"/>
  <c r="P399" i="2"/>
  <c r="P404" i="2"/>
  <c r="P405" i="2"/>
  <c r="P490" i="2"/>
  <c r="P495" i="2"/>
  <c r="P578" i="2"/>
  <c r="P579" i="2"/>
  <c r="P583" i="2"/>
  <c r="P584" i="2"/>
  <c r="P658" i="2"/>
  <c r="P664" i="2"/>
  <c r="O287" i="2"/>
  <c r="O293" i="2"/>
  <c r="O399" i="2"/>
  <c r="O404" i="2"/>
  <c r="O405" i="2"/>
  <c r="O490" i="2"/>
  <c r="O495" i="2"/>
  <c r="O496" i="2"/>
  <c r="O578" i="2"/>
  <c r="O583" i="2"/>
  <c r="O584" i="2"/>
  <c r="O659" i="2"/>
  <c r="O663" i="2"/>
  <c r="O657" i="2"/>
  <c r="P577" i="2"/>
  <c r="O577" i="2"/>
  <c r="P489" i="2"/>
  <c r="O489" i="2"/>
  <c r="P398" i="2"/>
  <c r="O398" i="2"/>
  <c r="P286" i="2"/>
  <c r="O286" i="2"/>
  <c r="P171" i="2"/>
  <c r="O171" i="2"/>
  <c r="O59" i="2"/>
  <c r="P59" i="2"/>
  <c r="O58" i="2"/>
  <c r="P170" i="2"/>
  <c r="P285" i="2"/>
  <c r="P397" i="2"/>
  <c r="P488" i="2"/>
  <c r="P656" i="2"/>
  <c r="P58" i="2"/>
  <c r="O170" i="2"/>
  <c r="O285" i="2"/>
  <c r="O397" i="2"/>
  <c r="O488" i="2"/>
  <c r="O576" i="2"/>
  <c r="O656" i="2"/>
  <c r="P655" i="2"/>
  <c r="O655" i="2"/>
  <c r="P575" i="2"/>
  <c r="O575" i="2"/>
  <c r="O487" i="2"/>
  <c r="P396" i="2"/>
  <c r="P284" i="2"/>
  <c r="O284" i="2"/>
  <c r="P169" i="2"/>
  <c r="O57" i="2"/>
  <c r="P57" i="2"/>
  <c r="P168" i="2"/>
  <c r="P283" i="2"/>
  <c r="P395" i="2"/>
  <c r="P486" i="2"/>
  <c r="P574" i="2"/>
  <c r="P56" i="2"/>
  <c r="O168" i="2"/>
  <c r="O283" i="2"/>
  <c r="O395" i="2"/>
  <c r="O486" i="2"/>
  <c r="O574" i="2"/>
  <c r="O654" i="2"/>
  <c r="P167" i="2"/>
  <c r="P282" i="2"/>
  <c r="P573" i="2"/>
  <c r="P485" i="2"/>
  <c r="P653" i="2"/>
  <c r="O55" i="2"/>
  <c r="O282" i="2"/>
  <c r="O573" i="2"/>
  <c r="O485" i="2"/>
  <c r="O653" i="2"/>
  <c r="P651" i="2"/>
  <c r="O651" i="2"/>
  <c r="O652" i="2"/>
  <c r="O571" i="2"/>
  <c r="O484" i="2"/>
  <c r="O392" i="2"/>
  <c r="O393" i="2"/>
  <c r="O281" i="2"/>
  <c r="O165" i="2"/>
  <c r="P280" i="2"/>
  <c r="O280" i="2"/>
  <c r="P571" i="2"/>
  <c r="P483" i="2"/>
  <c r="P165" i="2"/>
  <c r="O483" i="2"/>
  <c r="O572" i="2"/>
  <c r="O166" i="2"/>
  <c r="P53" i="2"/>
  <c r="P166" i="2"/>
  <c r="P484" i="2"/>
  <c r="P393" i="2"/>
  <c r="P281" i="2"/>
  <c r="P54" i="2"/>
  <c r="P648" i="2"/>
  <c r="O648" i="2"/>
  <c r="P647" i="2"/>
  <c r="O647" i="2"/>
  <c r="P646" i="2"/>
  <c r="O646" i="2"/>
  <c r="P645" i="2"/>
  <c r="O645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391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28" i="2"/>
  <c r="P455" i="2" s="1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O122" i="2"/>
  <c r="O234" i="2"/>
  <c r="O279" i="2"/>
  <c r="O346" i="2"/>
  <c r="O549" i="2"/>
  <c r="P52" i="2"/>
  <c r="P122" i="2"/>
  <c r="O461" i="2"/>
  <c r="O482" i="2"/>
  <c r="O164" i="2"/>
  <c r="P234" i="2"/>
  <c r="P461" i="2"/>
  <c r="P549" i="2"/>
  <c r="P570" i="2"/>
  <c r="O52" i="2"/>
  <c r="P482" i="2"/>
  <c r="P650" i="2"/>
  <c r="O650" i="2"/>
  <c r="O391" i="2"/>
  <c r="P279" i="2"/>
  <c r="AJ81" i="6" l="1"/>
  <c r="AL81" i="6" s="1"/>
  <c r="O53" i="2"/>
  <c r="P61" i="2"/>
  <c r="P64" i="2"/>
  <c r="P68" i="2"/>
  <c r="O71" i="2"/>
  <c r="O66" i="2"/>
  <c r="O62" i="2"/>
  <c r="P69" i="2"/>
  <c r="O54" i="2"/>
  <c r="P72" i="2"/>
  <c r="P164" i="2"/>
  <c r="P172" i="2"/>
  <c r="O178" i="2"/>
  <c r="P173" i="2"/>
  <c r="O175" i="2"/>
  <c r="P183" i="2"/>
  <c r="P293" i="2"/>
  <c r="P290" i="2"/>
  <c r="P296" i="2"/>
  <c r="O292" i="2"/>
  <c r="P292" i="2"/>
  <c r="O289" i="2"/>
  <c r="O297" i="2"/>
  <c r="O288" i="2"/>
  <c r="P297" i="2"/>
  <c r="P394" i="2"/>
  <c r="O409" i="2"/>
  <c r="P392" i="2"/>
  <c r="O402" i="2"/>
  <c r="P493" i="2"/>
  <c r="O500" i="2"/>
  <c r="P496" i="2"/>
  <c r="O499" i="2"/>
  <c r="O570" i="2"/>
  <c r="P572" i="2"/>
  <c r="O581" i="2"/>
  <c r="O580" i="2"/>
  <c r="P588" i="2"/>
  <c r="O591" i="2"/>
  <c r="O579" i="2"/>
  <c r="P576" i="2"/>
  <c r="O585" i="2"/>
  <c r="P657" i="2"/>
  <c r="O666" i="2"/>
  <c r="O664" i="2"/>
  <c r="P652" i="2"/>
  <c r="O658" i="2"/>
  <c r="P659" i="2"/>
  <c r="O661" i="2"/>
  <c r="P661" i="2"/>
  <c r="P410" i="2"/>
  <c r="O410" i="2"/>
  <c r="O669" i="2"/>
  <c r="P669" i="2"/>
  <c r="O588" i="2"/>
  <c r="P589" i="2"/>
  <c r="O501" i="2"/>
  <c r="O298" i="2"/>
  <c r="P182" i="2"/>
  <c r="P71" i="2"/>
  <c r="P713" i="2" l="1"/>
  <c r="P545" i="2"/>
  <c r="O713" i="2"/>
  <c r="O633" i="2"/>
  <c r="P633" i="2"/>
  <c r="O545" i="2"/>
  <c r="P342" i="2"/>
  <c r="O454" i="2"/>
  <c r="P454" i="2"/>
  <c r="O342" i="2"/>
  <c r="N100" i="2"/>
  <c r="P100" i="2" l="1"/>
  <c r="I94" i="6"/>
  <c r="AJ158" i="6" l="1"/>
  <c r="K94" i="6"/>
  <c r="I100" i="6"/>
  <c r="K100" i="6" s="1"/>
  <c r="AM167" i="6" l="1"/>
  <c r="AL158" i="6"/>
  <c r="AL167" i="6"/>
  <c r="AJ164" i="6"/>
  <c r="AL164" i="6" s="1"/>
</calcChain>
</file>

<file path=xl/sharedStrings.xml><?xml version="1.0" encoding="utf-8"?>
<sst xmlns="http://schemas.openxmlformats.org/spreadsheetml/2006/main" count="3332" uniqueCount="289">
  <si>
    <t>・予約件数ベース</t>
    <rPh sb="1" eb="3">
      <t>ヨヤク</t>
    </rPh>
    <rPh sb="3" eb="5">
      <t>ケンスウ</t>
    </rPh>
    <phoneticPr fontId="29"/>
  </si>
  <si>
    <t>路線</t>
    <rPh sb="0" eb="2">
      <t>ロセン</t>
    </rPh>
    <phoneticPr fontId="29"/>
  </si>
  <si>
    <t>富士山五合目</t>
    <rPh sb="0" eb="3">
      <t>フジサン</t>
    </rPh>
    <rPh sb="3" eb="6">
      <t>ゴゴウメ</t>
    </rPh>
    <phoneticPr fontId="29"/>
  </si>
  <si>
    <t>松本</t>
    <rPh sb="0" eb="2">
      <t>マツモト</t>
    </rPh>
    <phoneticPr fontId="29"/>
  </si>
  <si>
    <t>長野</t>
    <rPh sb="0" eb="2">
      <t>ナガノ</t>
    </rPh>
    <phoneticPr fontId="29"/>
  </si>
  <si>
    <t>合計</t>
    <rPh sb="0" eb="2">
      <t>ゴウケイ</t>
    </rPh>
    <phoneticPr fontId="29"/>
  </si>
  <si>
    <t>月╲年度</t>
    <rPh sb="0" eb="1">
      <t>ツキ</t>
    </rPh>
    <rPh sb="2" eb="4">
      <t>ネンド</t>
    </rPh>
    <phoneticPr fontId="29"/>
  </si>
  <si>
    <t>2012年度</t>
    <rPh sb="4" eb="6">
      <t>ネンド</t>
    </rPh>
    <phoneticPr fontId="29"/>
  </si>
  <si>
    <t>2013年度</t>
    <rPh sb="4" eb="6">
      <t>ネンド</t>
    </rPh>
    <phoneticPr fontId="29"/>
  </si>
  <si>
    <t>2014年度</t>
    <rPh sb="4" eb="6">
      <t>ネンド</t>
    </rPh>
    <phoneticPr fontId="29"/>
  </si>
  <si>
    <t>2015年度</t>
    <rPh sb="4" eb="6">
      <t>ネンド</t>
    </rPh>
    <phoneticPr fontId="29"/>
  </si>
  <si>
    <t>増加率</t>
    <rPh sb="0" eb="2">
      <t>ゾウカ</t>
    </rPh>
    <rPh sb="2" eb="3">
      <t>リツ</t>
    </rPh>
    <phoneticPr fontId="29"/>
  </si>
  <si>
    <t>4月</t>
  </si>
  <si>
    <t>5月</t>
  </si>
  <si>
    <t>6月</t>
    <rPh sb="1" eb="2">
      <t>ガツ</t>
    </rPh>
    <phoneticPr fontId="29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</si>
  <si>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</si>
  <si>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</si>
  <si>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</si>
  <si>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</si>
  <si>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</si>
  <si>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</si>
  <si>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</si>
  <si>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</si>
  <si>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9"/>
  </si>
  <si>
    <t>・乗車人数ベース</t>
    <rPh sb="1" eb="3">
      <t>ジョウシャ</t>
    </rPh>
    <rPh sb="3" eb="5">
      <t>ニンズウ</t>
    </rPh>
    <phoneticPr fontId="29"/>
  </si>
  <si>
    <t>2011年5月開設 ハイウェイバスドットコム外国語サイトデータ</t>
    <rPh sb="22" eb="25">
      <t>ガイコクゴ</t>
    </rPh>
    <phoneticPr fontId="29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</si>
  <si>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9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</si>
  <si>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9"/>
  </si>
  <si>
    <t>新宿富士五湖線</t>
    <rPh sb="0" eb="2">
      <t>シンジュク</t>
    </rPh>
    <rPh sb="2" eb="6">
      <t>フジゴコ</t>
    </rPh>
    <rPh sb="6" eb="7">
      <t>セン</t>
    </rPh>
    <phoneticPr fontId="29"/>
  </si>
  <si>
    <t>英語</t>
    <phoneticPr fontId="29"/>
  </si>
  <si>
    <t>韓国語</t>
    <phoneticPr fontId="29"/>
  </si>
  <si>
    <t>中国語（繁体）</t>
    <phoneticPr fontId="29"/>
  </si>
  <si>
    <t>中国語（繁体）</t>
    <phoneticPr fontId="29"/>
  </si>
  <si>
    <t>1日平均</t>
    <rPh sb="1" eb="2">
      <t>ニチ</t>
    </rPh>
    <rPh sb="2" eb="4">
      <t>ヘイキン</t>
    </rPh>
    <phoneticPr fontId="29"/>
  </si>
  <si>
    <t>予約件数</t>
    <rPh sb="0" eb="2">
      <t>ヨヤク</t>
    </rPh>
    <rPh sb="2" eb="4">
      <t>ケンスウ</t>
    </rPh>
    <phoneticPr fontId="29"/>
  </si>
  <si>
    <t>乗車人員</t>
    <rPh sb="0" eb="2">
      <t>ジョウシャ</t>
    </rPh>
    <rPh sb="2" eb="4">
      <t>ジンイン</t>
    </rPh>
    <phoneticPr fontId="29"/>
  </si>
  <si>
    <t>新宿富士五湖線</t>
  </si>
  <si>
    <t>新宿～五合目線</t>
  </si>
  <si>
    <t>新宿飛騨高山線</t>
  </si>
  <si>
    <t>新宿～白馬線</t>
  </si>
  <si>
    <t>新宿～松本線</t>
  </si>
  <si>
    <t>新宿～長野線</t>
  </si>
  <si>
    <t>渋谷河口湖線</t>
  </si>
  <si>
    <t>-</t>
    <phoneticPr fontId="29"/>
  </si>
  <si>
    <t>高山濃飛バスターミナル</t>
    <rPh sb="0" eb="2">
      <t>タカヤマ</t>
    </rPh>
    <rPh sb="2" eb="4">
      <t>ノウヒ</t>
    </rPh>
    <phoneticPr fontId="29"/>
  </si>
  <si>
    <t>白馬八方</t>
    <rPh sb="0" eb="2">
      <t>ハクバ</t>
    </rPh>
    <rPh sb="2" eb="4">
      <t>ハッポウ</t>
    </rPh>
    <phoneticPr fontId="29"/>
  </si>
  <si>
    <t>渋谷-河口湖</t>
    <rPh sb="0" eb="2">
      <t>シブヤ</t>
    </rPh>
    <rPh sb="3" eb="6">
      <t>カワグチコ</t>
    </rPh>
    <phoneticPr fontId="29"/>
  </si>
  <si>
    <t>韓国語</t>
    <phoneticPr fontId="29"/>
  </si>
  <si>
    <t>2016年度</t>
    <rPh sb="4" eb="6">
      <t>ネンド</t>
    </rPh>
    <phoneticPr fontId="29"/>
  </si>
  <si>
    <t>簡体字</t>
  </si>
  <si>
    <t>繁体字</t>
  </si>
  <si>
    <t>韓国語</t>
  </si>
  <si>
    <t>英語</t>
  </si>
  <si>
    <t>乗車</t>
  </si>
  <si>
    <t>予約</t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</si>
  <si>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9"/>
  </si>
  <si>
    <t>2017年度</t>
    <rPh sb="4" eb="6">
      <t>ネンド</t>
    </rPh>
    <phoneticPr fontId="29"/>
  </si>
  <si>
    <t>タイ語</t>
    <rPh sb="2" eb="3">
      <t>ゴ</t>
    </rPh>
    <phoneticPr fontId="29"/>
  </si>
  <si>
    <t>中国語（简体）</t>
  </si>
  <si>
    <t>予約件数</t>
  </si>
  <si>
    <t>乗車人員</t>
  </si>
  <si>
    <t>-</t>
  </si>
  <si>
    <t>伊那飯田</t>
    <rPh sb="0" eb="2">
      <t>イナ</t>
    </rPh>
    <rPh sb="2" eb="4">
      <t>イイダ</t>
    </rPh>
    <phoneticPr fontId="29"/>
  </si>
  <si>
    <t>上高地</t>
    <rPh sb="0" eb="3">
      <t>カミコウチ</t>
    </rPh>
    <phoneticPr fontId="29"/>
  </si>
  <si>
    <t>新宿～上高地線</t>
  </si>
  <si>
    <t>新宿伊那飯田線</t>
  </si>
  <si>
    <t>新宿～甲府線</t>
    <rPh sb="3" eb="5">
      <t>コウフ</t>
    </rPh>
    <phoneticPr fontId="29"/>
  </si>
  <si>
    <t>多摩河口湖線</t>
  </si>
  <si>
    <t>新宿～身延線</t>
  </si>
  <si>
    <t>タイ語</t>
  </si>
  <si>
    <t>新宿～甲府線</t>
  </si>
  <si>
    <t>渋谷軽井沢草津</t>
  </si>
  <si>
    <t>新宿～名古屋線</t>
  </si>
  <si>
    <t>新宿諏訪岡谷線</t>
  </si>
  <si>
    <t>長野～上高地線</t>
  </si>
  <si>
    <t>名古屋～伊那線</t>
  </si>
  <si>
    <t>名古屋～飯田線</t>
  </si>
  <si>
    <t>名古屋松本長野</t>
  </si>
  <si>
    <t>新宿木曽福島線</t>
  </si>
  <si>
    <t>渋谷軽井沢草津</t>
    <phoneticPr fontId="29"/>
  </si>
  <si>
    <t>新宿～名古屋線</t>
    <phoneticPr fontId="29"/>
  </si>
  <si>
    <t>新宿諏訪岡谷線</t>
    <phoneticPr fontId="29"/>
  </si>
  <si>
    <t>長野～上高地線</t>
    <phoneticPr fontId="29"/>
  </si>
  <si>
    <t>名古屋～伊那線</t>
    <phoneticPr fontId="29"/>
  </si>
  <si>
    <t>名古屋～飯田線</t>
    <phoneticPr fontId="29"/>
  </si>
  <si>
    <t>名古屋松本長野</t>
    <phoneticPr fontId="29"/>
  </si>
  <si>
    <t>新宿木曽福島線</t>
    <phoneticPr fontId="29"/>
  </si>
  <si>
    <t>渋谷軽井沢草津</t>
    <phoneticPr fontId="28"/>
  </si>
  <si>
    <t>渋谷～上高地線</t>
  </si>
  <si>
    <t>松本～扇沢線</t>
  </si>
  <si>
    <t>新宿大阪梅田線</t>
  </si>
  <si>
    <t>渋谷～上高地線</t>
    <phoneticPr fontId="29"/>
  </si>
  <si>
    <t>松本～扇沢線</t>
    <phoneticPr fontId="29"/>
  </si>
  <si>
    <t>新宿大阪梅田線</t>
    <phoneticPr fontId="29"/>
  </si>
  <si>
    <t>名古屋～飯田線</t>
    <rPh sb="4" eb="6">
      <t>イイダ</t>
    </rPh>
    <phoneticPr fontId="29"/>
  </si>
  <si>
    <t>名古屋松本長野</t>
    <rPh sb="3" eb="5">
      <t>マツモト</t>
    </rPh>
    <rPh sb="5" eb="7">
      <t>ナガノ</t>
    </rPh>
    <phoneticPr fontId="29"/>
  </si>
  <si>
    <t>東京～上高地線</t>
    <phoneticPr fontId="29"/>
  </si>
  <si>
    <t>CTRL+C→1行落としてCTRL+V</t>
    <rPh sb="8" eb="9">
      <t>ギョウ</t>
    </rPh>
    <rPh sb="9" eb="10">
      <t>オ</t>
    </rPh>
    <phoneticPr fontId="29"/>
  </si>
  <si>
    <t>新宿神戸姫路線</t>
  </si>
  <si>
    <t>新宿神戸姫路線</t>
    <phoneticPr fontId="29"/>
  </si>
  <si>
    <t>東京～白馬線</t>
    <rPh sb="0" eb="2">
      <t>トウキョウ</t>
    </rPh>
    <rPh sb="3" eb="5">
      <t>ハクバ</t>
    </rPh>
    <phoneticPr fontId="29"/>
  </si>
  <si>
    <t>東京～白馬</t>
    <rPh sb="0" eb="2">
      <t>トウキョウ</t>
    </rPh>
    <rPh sb="3" eb="5">
      <t>ハクバ</t>
    </rPh>
    <phoneticPr fontId="29"/>
  </si>
  <si>
    <t>松本～白馬線</t>
  </si>
  <si>
    <t>松本～白馬線</t>
    <phoneticPr fontId="29"/>
  </si>
  <si>
    <t>松本～白馬線</t>
    <rPh sb="0" eb="2">
      <t>マツモト</t>
    </rPh>
    <rPh sb="3" eb="5">
      <t>ハクバ</t>
    </rPh>
    <phoneticPr fontId="29"/>
  </si>
  <si>
    <t>新宿三島沼津線</t>
  </si>
  <si>
    <t>新宿三島沼津線</t>
    <phoneticPr fontId="29"/>
  </si>
  <si>
    <t>高山富士五湖線</t>
  </si>
  <si>
    <t>高山富士五湖線</t>
    <phoneticPr fontId="29"/>
  </si>
  <si>
    <t>高山富士五湖</t>
    <phoneticPr fontId="28"/>
  </si>
  <si>
    <t>2018年度</t>
    <rPh sb="4" eb="6">
      <t>ネンド</t>
    </rPh>
    <phoneticPr fontId="29"/>
  </si>
  <si>
    <t>2018年度</t>
  </si>
  <si>
    <t>新宿三島沼津</t>
    <rPh sb="0" eb="2">
      <t>シンジュク</t>
    </rPh>
    <phoneticPr fontId="28"/>
  </si>
  <si>
    <t>新宿神戸姫路</t>
    <rPh sb="0" eb="2">
      <t>シンジュク</t>
    </rPh>
    <phoneticPr fontId="28"/>
  </si>
  <si>
    <t>新宿大阪梅田</t>
    <rPh sb="0" eb="2">
      <t>シンジュク</t>
    </rPh>
    <phoneticPr fontId="28"/>
  </si>
  <si>
    <t>名古屋松本長野</t>
    <rPh sb="0" eb="3">
      <t>ナゴヤ</t>
    </rPh>
    <phoneticPr fontId="28"/>
  </si>
  <si>
    <t>新宿渋谷静岡線</t>
  </si>
  <si>
    <t>名古屋～福島線</t>
  </si>
  <si>
    <t>新宿渋谷浜松線</t>
  </si>
  <si>
    <t>高山～扇沢線</t>
  </si>
  <si>
    <t>新宿富士五湖</t>
    <rPh sb="0" eb="2">
      <t>シンジュク</t>
    </rPh>
    <rPh sb="2" eb="6">
      <t>フジゴコ</t>
    </rPh>
    <phoneticPr fontId="29"/>
  </si>
  <si>
    <t>新宿～五合目</t>
    <phoneticPr fontId="29"/>
  </si>
  <si>
    <t>新宿飛騨高山</t>
    <rPh sb="0" eb="2">
      <t>シンジュク</t>
    </rPh>
    <rPh sb="2" eb="4">
      <t>ヒダ</t>
    </rPh>
    <rPh sb="4" eb="6">
      <t>タカヤマ</t>
    </rPh>
    <phoneticPr fontId="29"/>
  </si>
  <si>
    <t>新宿～白馬</t>
    <rPh sb="0" eb="2">
      <t>シンジュク</t>
    </rPh>
    <rPh sb="3" eb="5">
      <t>ハクバ</t>
    </rPh>
    <phoneticPr fontId="29"/>
  </si>
  <si>
    <t>新宿～松本</t>
    <rPh sb="0" eb="2">
      <t>シンジュク</t>
    </rPh>
    <rPh sb="3" eb="5">
      <t>マツモト</t>
    </rPh>
    <phoneticPr fontId="29"/>
  </si>
  <si>
    <t>渋谷河口湖</t>
    <rPh sb="0" eb="2">
      <t>シブヤ</t>
    </rPh>
    <rPh sb="2" eb="5">
      <t>カワグチコ</t>
    </rPh>
    <phoneticPr fontId="29"/>
  </si>
  <si>
    <t>新宿～長野</t>
    <rPh sb="0" eb="2">
      <t>シンジュク</t>
    </rPh>
    <rPh sb="3" eb="5">
      <t>ナガノ</t>
    </rPh>
    <phoneticPr fontId="29"/>
  </si>
  <si>
    <t>新宿伊那飯田</t>
    <rPh sb="0" eb="2">
      <t>シンジュク</t>
    </rPh>
    <rPh sb="2" eb="4">
      <t>イナ</t>
    </rPh>
    <rPh sb="4" eb="6">
      <t>イイダ</t>
    </rPh>
    <phoneticPr fontId="28"/>
  </si>
  <si>
    <t>新宿～上高地</t>
    <rPh sb="0" eb="2">
      <t>シンジュク</t>
    </rPh>
    <rPh sb="3" eb="6">
      <t>カミコウチ</t>
    </rPh>
    <phoneticPr fontId="28"/>
  </si>
  <si>
    <t>新宿～甲府</t>
    <rPh sb="0" eb="2">
      <t>シンジュク</t>
    </rPh>
    <rPh sb="3" eb="5">
      <t>コウフ</t>
    </rPh>
    <phoneticPr fontId="28"/>
  </si>
  <si>
    <t>新宿～身延</t>
    <rPh sb="0" eb="2">
      <t>シンジュク</t>
    </rPh>
    <rPh sb="3" eb="5">
      <t>ミノブ</t>
    </rPh>
    <phoneticPr fontId="28"/>
  </si>
  <si>
    <t>多摩河口湖</t>
    <rPh sb="0" eb="2">
      <t>タマ</t>
    </rPh>
    <rPh sb="2" eb="4">
      <t>カワグチ</t>
    </rPh>
    <rPh sb="4" eb="5">
      <t>コ</t>
    </rPh>
    <phoneticPr fontId="28"/>
  </si>
  <si>
    <t>新宿～名古屋</t>
    <phoneticPr fontId="28"/>
  </si>
  <si>
    <t>新宿～名古屋</t>
    <phoneticPr fontId="28"/>
  </si>
  <si>
    <t>新宿諏訪岡谷</t>
    <phoneticPr fontId="28"/>
  </si>
  <si>
    <t>長野～上高地</t>
    <phoneticPr fontId="28"/>
  </si>
  <si>
    <t>長野～上高地</t>
    <phoneticPr fontId="28"/>
  </si>
  <si>
    <t>名古屋～伊那</t>
    <phoneticPr fontId="28"/>
  </si>
  <si>
    <t>名古屋～飯田</t>
    <phoneticPr fontId="28"/>
  </si>
  <si>
    <t>新宿木曽福島</t>
    <rPh sb="0" eb="2">
      <t>シンジュク</t>
    </rPh>
    <rPh sb="2" eb="4">
      <t>キソ</t>
    </rPh>
    <rPh sb="4" eb="6">
      <t>フクシマ</t>
    </rPh>
    <phoneticPr fontId="28"/>
  </si>
  <si>
    <t>渋谷～上高地</t>
    <phoneticPr fontId="28"/>
  </si>
  <si>
    <t>松本～扇沢</t>
    <phoneticPr fontId="28"/>
  </si>
  <si>
    <t>東京～上高地</t>
    <phoneticPr fontId="28"/>
  </si>
  <si>
    <t>東京～上高地</t>
    <phoneticPr fontId="28"/>
  </si>
  <si>
    <t>東京～白馬</t>
    <rPh sb="0" eb="2">
      <t>トウキョウ</t>
    </rPh>
    <rPh sb="3" eb="5">
      <t>ハクバ</t>
    </rPh>
    <phoneticPr fontId="28"/>
  </si>
  <si>
    <t>松本～白馬</t>
    <rPh sb="0" eb="2">
      <t>マツモト</t>
    </rPh>
    <rPh sb="3" eb="5">
      <t>ハクバ</t>
    </rPh>
    <phoneticPr fontId="28"/>
  </si>
  <si>
    <t>新宿渋谷静岡</t>
    <phoneticPr fontId="28"/>
  </si>
  <si>
    <t>名古屋～福島</t>
    <phoneticPr fontId="28"/>
  </si>
  <si>
    <t>新宿渋谷浜松</t>
    <phoneticPr fontId="28"/>
  </si>
  <si>
    <t>高山～扇沢</t>
    <phoneticPr fontId="28"/>
  </si>
  <si>
    <t>新宿渋谷静岡線</t>
    <phoneticPr fontId="29"/>
  </si>
  <si>
    <t>名古屋～福島線</t>
    <phoneticPr fontId="29"/>
  </si>
  <si>
    <t>新宿渋谷浜松線</t>
    <phoneticPr fontId="29"/>
  </si>
  <si>
    <t>高山～扇沢線</t>
    <phoneticPr fontId="29"/>
  </si>
  <si>
    <t>新宿～五合目線</t>
    <rPh sb="0" eb="2">
      <t>シンジュク</t>
    </rPh>
    <rPh sb="3" eb="6">
      <t>ゴゴウメ</t>
    </rPh>
    <rPh sb="6" eb="7">
      <t>セン</t>
    </rPh>
    <phoneticPr fontId="29"/>
  </si>
  <si>
    <t>新宿～白馬線</t>
    <rPh sb="0" eb="2">
      <t>シンジュク</t>
    </rPh>
    <rPh sb="3" eb="5">
      <t>ハクバ</t>
    </rPh>
    <rPh sb="5" eb="6">
      <t>セン</t>
    </rPh>
    <phoneticPr fontId="29"/>
  </si>
  <si>
    <t>新宿～松本線</t>
    <rPh sb="0" eb="2">
      <t>シンジュク</t>
    </rPh>
    <rPh sb="3" eb="5">
      <t>マツモト</t>
    </rPh>
    <rPh sb="5" eb="6">
      <t>セン</t>
    </rPh>
    <phoneticPr fontId="29"/>
  </si>
  <si>
    <t>新宿～長野線</t>
    <rPh sb="0" eb="2">
      <t>シンジュク</t>
    </rPh>
    <rPh sb="3" eb="5">
      <t>ナガノ</t>
    </rPh>
    <rPh sb="5" eb="6">
      <t>セン</t>
    </rPh>
    <phoneticPr fontId="29"/>
  </si>
  <si>
    <t>渋谷河口湖線</t>
    <phoneticPr fontId="29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</si>
  <si>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9"/>
  </si>
  <si>
    <t>新宿～上高地線</t>
    <rPh sb="0" eb="2">
      <t>シンジュク</t>
    </rPh>
    <rPh sb="3" eb="6">
      <t>カミコウチ</t>
    </rPh>
    <rPh sb="6" eb="7">
      <t>セン</t>
    </rPh>
    <phoneticPr fontId="29"/>
  </si>
  <si>
    <t>岐阜～高山線</t>
  </si>
  <si>
    <t>岐阜～高山線</t>
    <phoneticPr fontId="28"/>
  </si>
  <si>
    <t>東京～上高地線</t>
  </si>
  <si>
    <t>東京～白馬線</t>
  </si>
  <si>
    <t>旧＋新</t>
  </si>
  <si>
    <t>計</t>
  </si>
  <si>
    <t>新</t>
  </si>
  <si>
    <t>旧</t>
  </si>
  <si>
    <t>岐阜～高山線</t>
    <phoneticPr fontId="29"/>
  </si>
  <si>
    <t>南アルプス市線</t>
  </si>
  <si>
    <t>名古屋上高地線</t>
  </si>
  <si>
    <t>南アルプス市線</t>
    <phoneticPr fontId="28"/>
  </si>
  <si>
    <t>南アルプス市線</t>
    <phoneticPr fontId="29"/>
  </si>
  <si>
    <t>名古屋上高地線</t>
    <phoneticPr fontId="28"/>
  </si>
  <si>
    <t>南アルプス市線</t>
    <phoneticPr fontId="28"/>
  </si>
  <si>
    <t>名古屋上高地線</t>
    <phoneticPr fontId="29"/>
  </si>
  <si>
    <t>名古屋上高地線</t>
    <phoneticPr fontId="28"/>
  </si>
  <si>
    <t>名古屋郡上線</t>
  </si>
  <si>
    <t>名古屋郡上線</t>
    <phoneticPr fontId="28"/>
  </si>
  <si>
    <t>名古屋郡上線</t>
    <phoneticPr fontId="28"/>
  </si>
  <si>
    <t>名古屋郡上線</t>
    <phoneticPr fontId="29"/>
  </si>
  <si>
    <t>名古屋郡上線</t>
    <rPh sb="0" eb="3">
      <t>ナゴヤ</t>
    </rPh>
    <rPh sb="3" eb="5">
      <t>グジョウ</t>
    </rPh>
    <rPh sb="5" eb="6">
      <t>セン</t>
    </rPh>
    <phoneticPr fontId="29"/>
  </si>
  <si>
    <t>新宿～身延線</t>
    <phoneticPr fontId="29"/>
  </si>
  <si>
    <t>多摩河口湖線</t>
    <phoneticPr fontId="29"/>
  </si>
  <si>
    <t>東京～上高地線</t>
    <phoneticPr fontId="29"/>
  </si>
  <si>
    <t>立川飯田線</t>
  </si>
  <si>
    <t>立川飯田線</t>
    <phoneticPr fontId="28"/>
  </si>
  <si>
    <t>立川飯田線</t>
    <phoneticPr fontId="29"/>
  </si>
  <si>
    <t>大阪カジュアル</t>
  </si>
  <si>
    <t>大阪カジュアル</t>
    <phoneticPr fontId="28"/>
  </si>
  <si>
    <t>大阪カジュアル</t>
    <phoneticPr fontId="29"/>
  </si>
  <si>
    <t>大阪カジュアル</t>
    <phoneticPr fontId="28"/>
  </si>
  <si>
    <t>大阪カジュアル</t>
    <rPh sb="0" eb="2">
      <t>オオサカ</t>
    </rPh>
    <phoneticPr fontId="29"/>
  </si>
  <si>
    <t>立川飯田線</t>
    <rPh sb="0" eb="2">
      <t>タチカワ</t>
    </rPh>
    <rPh sb="2" eb="5">
      <t>イイダセン</t>
    </rPh>
    <phoneticPr fontId="29"/>
  </si>
  <si>
    <t>羽田空港～調布</t>
  </si>
  <si>
    <t>成田空港～調布</t>
    <phoneticPr fontId="28"/>
  </si>
  <si>
    <t>大阪ツインクル</t>
    <phoneticPr fontId="28"/>
  </si>
  <si>
    <t>羽田空港八王子</t>
  </si>
  <si>
    <t>羽田空港～調布</t>
    <phoneticPr fontId="28"/>
  </si>
  <si>
    <t>羽田空港～調布</t>
    <phoneticPr fontId="29"/>
  </si>
  <si>
    <t>大阪ツインクル</t>
    <phoneticPr fontId="29"/>
  </si>
  <si>
    <t>成田空港～調布</t>
    <phoneticPr fontId="29"/>
  </si>
  <si>
    <t>大阪ツインクル</t>
    <phoneticPr fontId="29"/>
  </si>
  <si>
    <t>大阪ツインクル</t>
    <phoneticPr fontId="28"/>
  </si>
  <si>
    <t>羽田空港～調布</t>
    <phoneticPr fontId="28"/>
  </si>
  <si>
    <t>羽田空港八王子</t>
    <phoneticPr fontId="29"/>
  </si>
  <si>
    <t>羽田空港八王子</t>
    <phoneticPr fontId="28"/>
  </si>
  <si>
    <t>成田空港～調布</t>
    <phoneticPr fontId="28"/>
  </si>
  <si>
    <t>羽田空多摩セン</t>
  </si>
  <si>
    <t>八王子金沢線夜</t>
    <phoneticPr fontId="28"/>
  </si>
  <si>
    <t>成田空多摩セン</t>
    <phoneticPr fontId="28"/>
  </si>
  <si>
    <t>仙台松島平泉線</t>
    <phoneticPr fontId="28"/>
  </si>
  <si>
    <t>羽田空多摩セン</t>
    <phoneticPr fontId="28"/>
  </si>
  <si>
    <t>成田空多摩セン</t>
    <phoneticPr fontId="29"/>
  </si>
  <si>
    <t>八王子金沢線夜</t>
    <phoneticPr fontId="29"/>
  </si>
  <si>
    <t>仙台松島平泉線</t>
    <phoneticPr fontId="29"/>
  </si>
  <si>
    <t>羽田空多摩セン</t>
    <phoneticPr fontId="29"/>
  </si>
  <si>
    <t>羽田空多摩セン</t>
    <phoneticPr fontId="28"/>
  </si>
  <si>
    <t>八王子金沢線夜</t>
    <phoneticPr fontId="28"/>
  </si>
  <si>
    <t>仙台松島平泉線</t>
    <phoneticPr fontId="28"/>
  </si>
  <si>
    <t>2019年度</t>
    <rPh sb="4" eb="6">
      <t>ネンド</t>
    </rPh>
    <phoneticPr fontId="29"/>
  </si>
  <si>
    <t>2019年度</t>
  </si>
  <si>
    <t>2019年度</t>
    <phoneticPr fontId="28"/>
  </si>
  <si>
    <t>2019年度</t>
    <phoneticPr fontId="28"/>
  </si>
  <si>
    <t>予約件数　合計</t>
    <rPh sb="0" eb="2">
      <t>ヨヤク</t>
    </rPh>
    <rPh sb="2" eb="4">
      <t>ケンスウ</t>
    </rPh>
    <rPh sb="5" eb="7">
      <t>ゴウケイ</t>
    </rPh>
    <phoneticPr fontId="29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</si>
  <si>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9"/>
  </si>
  <si>
    <t>盛岡宮古１０６</t>
    <phoneticPr fontId="28"/>
  </si>
  <si>
    <t>盛岡宮古１０６</t>
    <phoneticPr fontId="28"/>
  </si>
  <si>
    <t>盛岡宮古１０６</t>
    <phoneticPr fontId="29"/>
  </si>
  <si>
    <t>南アルプス市線</t>
    <phoneticPr fontId="29"/>
  </si>
  <si>
    <t>新宿横浜～高松</t>
    <phoneticPr fontId="28"/>
  </si>
  <si>
    <t>新宿横浜～高松</t>
    <phoneticPr fontId="29"/>
  </si>
  <si>
    <t>新宿横浜～高松</t>
    <phoneticPr fontId="28"/>
  </si>
  <si>
    <t>新宿横浜～高松</t>
    <phoneticPr fontId="28"/>
  </si>
  <si>
    <t>新宿～三沢むつ</t>
    <phoneticPr fontId="28"/>
  </si>
  <si>
    <t>名古屋～伊那線</t>
    <phoneticPr fontId="28"/>
  </si>
  <si>
    <t>新宿～三沢むつ</t>
    <phoneticPr fontId="29"/>
  </si>
  <si>
    <t>新宿～三沢むつ</t>
    <phoneticPr fontId="28"/>
  </si>
  <si>
    <t>新宿～三沢むつ</t>
    <phoneticPr fontId="28"/>
  </si>
  <si>
    <t>総合計</t>
    <rPh sb="0" eb="1">
      <t>ソウ</t>
    </rPh>
    <rPh sb="1" eb="3">
      <t>ゴウケイ</t>
    </rPh>
    <phoneticPr fontId="29"/>
  </si>
  <si>
    <t>増加率</t>
    <rPh sb="0" eb="2">
      <t>ゾウカ</t>
    </rPh>
    <rPh sb="2" eb="3">
      <t>リツ</t>
    </rPh>
    <phoneticPr fontId="28"/>
  </si>
  <si>
    <t>対前年実績・増加率</t>
    <rPh sb="0" eb="1">
      <t>タイ</t>
    </rPh>
    <rPh sb="1" eb="3">
      <t>ゼンネン</t>
    </rPh>
    <rPh sb="3" eb="5">
      <t>ジッセキ</t>
    </rPh>
    <rPh sb="6" eb="8">
      <t>ゾウカ</t>
    </rPh>
    <rPh sb="8" eb="9">
      <t>リツ</t>
    </rPh>
    <phoneticPr fontId="28"/>
  </si>
  <si>
    <t>旧　合計（オート）</t>
    <rPh sb="0" eb="1">
      <t>キュウ</t>
    </rPh>
    <rPh sb="2" eb="4">
      <t>ゴウケイ</t>
    </rPh>
    <phoneticPr fontId="28"/>
  </si>
  <si>
    <t>旧　合計（手入力）</t>
    <rPh sb="0" eb="1">
      <t>キュウ</t>
    </rPh>
    <rPh sb="2" eb="4">
      <t>ゴウケイ</t>
    </rPh>
    <rPh sb="5" eb="6">
      <t>テ</t>
    </rPh>
    <rPh sb="6" eb="8">
      <t>ニュウリョク</t>
    </rPh>
    <phoneticPr fontId="28"/>
  </si>
  <si>
    <t>旧＋新　合計（オート）</t>
    <rPh sb="4" eb="6">
      <t>ゴウケイ</t>
    </rPh>
    <phoneticPr fontId="28"/>
  </si>
  <si>
    <t>総合計</t>
    <rPh sb="0" eb="1">
      <t>ソウ</t>
    </rPh>
    <rPh sb="1" eb="3">
      <t>ゴウケイ</t>
    </rPh>
    <phoneticPr fontId="28"/>
  </si>
  <si>
    <t>池袋～長野線</t>
    <phoneticPr fontId="28"/>
  </si>
  <si>
    <t>池袋～長野線</t>
    <phoneticPr fontId="29"/>
  </si>
  <si>
    <t>路線名</t>
    <phoneticPr fontId="28"/>
  </si>
  <si>
    <t>新宿渋谷～浜松</t>
  </si>
  <si>
    <t>盛宮１０６特急</t>
  </si>
  <si>
    <t>新宿～飛騨高山</t>
    <phoneticPr fontId="28"/>
  </si>
  <si>
    <t>新宿渋谷～静岡</t>
    <phoneticPr fontId="28"/>
  </si>
  <si>
    <t>←取込開始対象日を入れてください。</t>
    <rPh sb="1" eb="3">
      <t>トリコミ</t>
    </rPh>
    <rPh sb="3" eb="5">
      <t>カイシ</t>
    </rPh>
    <rPh sb="5" eb="7">
      <t>タイショウ</t>
    </rPh>
    <rPh sb="7" eb="8">
      <t>ビ</t>
    </rPh>
    <rPh sb="9" eb="10">
      <t>イ</t>
    </rPh>
    <phoneticPr fontId="28"/>
  </si>
  <si>
    <t>新宿～白馬線</t>
    <phoneticPr fontId="28"/>
  </si>
  <si>
    <t>新宿飛騨高山線</t>
    <phoneticPr fontId="28"/>
  </si>
  <si>
    <t>新宿～長野線</t>
    <phoneticPr fontId="28"/>
  </si>
  <si>
    <t>新宿～五合目線</t>
    <phoneticPr fontId="28"/>
  </si>
  <si>
    <t>取込済み期間</t>
    <rPh sb="0" eb="2">
      <t>トリコミ</t>
    </rPh>
    <rPh sb="2" eb="3">
      <t>ズ</t>
    </rPh>
    <rPh sb="4" eb="6">
      <t>キカン</t>
    </rPh>
    <phoneticPr fontId="28"/>
  </si>
  <si>
    <t>取込済み期間の行分下にセルが移動します</t>
    <rPh sb="0" eb="2">
      <t>トリコミ</t>
    </rPh>
    <rPh sb="2" eb="3">
      <t>ズ</t>
    </rPh>
    <rPh sb="4" eb="6">
      <t>キカン</t>
    </rPh>
    <rPh sb="7" eb="8">
      <t>ギョウ</t>
    </rPh>
    <rPh sb="8" eb="9">
      <t>ブン</t>
    </rPh>
    <rPh sb="9" eb="10">
      <t>シタ</t>
    </rPh>
    <rPh sb="14" eb="16">
      <t>イドウ</t>
    </rPh>
    <phoneticPr fontId="28"/>
  </si>
  <si>
    <t>(割合は新旧合算</t>
    <rPh sb="1" eb="3">
      <t>ワリアイ</t>
    </rPh>
    <rPh sb="4" eb="5">
      <t>シン</t>
    </rPh>
    <rPh sb="5" eb="6">
      <t>キュウ</t>
    </rPh>
    <rPh sb="6" eb="8">
      <t>ガッサン</t>
    </rPh>
    <phoneticPr fontId="28"/>
  </si>
  <si>
    <t>新宿飛騨高山</t>
    <rPh sb="0" eb="2">
      <t>シンジュク</t>
    </rPh>
    <rPh sb="2" eb="4">
      <t>ヒダ</t>
    </rPh>
    <rPh sb="4" eb="6">
      <t>タカヤマ</t>
    </rPh>
    <phoneticPr fontId="28"/>
  </si>
  <si>
    <t>新宿～白馬</t>
    <rPh sb="0" eb="2">
      <t>シンジュク</t>
    </rPh>
    <rPh sb="3" eb="5">
      <t>ハクバ</t>
    </rPh>
    <phoneticPr fontId="28"/>
  </si>
  <si>
    <t>新宿～松本</t>
    <rPh sb="0" eb="2">
      <t>シンジュク</t>
    </rPh>
    <rPh sb="3" eb="5">
      <t>マツモト</t>
    </rPh>
    <phoneticPr fontId="28"/>
  </si>
  <si>
    <t>新宿～長野</t>
    <rPh sb="0" eb="2">
      <t>シンジュク</t>
    </rPh>
    <rPh sb="3" eb="5">
      <t>ナガノ</t>
    </rPh>
    <phoneticPr fontId="28"/>
  </si>
  <si>
    <t>新宿渋谷～浜松線</t>
    <phoneticPr fontId="29"/>
  </si>
  <si>
    <t>新宿～三島沼津</t>
    <phoneticPr fontId="28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</si>
  <si>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9"/>
  </si>
  <si>
    <t>新宿～神戸姫路</t>
    <phoneticPr fontId="28"/>
  </si>
  <si>
    <t>新宿～神戸姫路線</t>
    <phoneticPr fontId="29"/>
  </si>
  <si>
    <t>新宿～大阪梅田</t>
    <phoneticPr fontId="28"/>
  </si>
  <si>
    <t>新宿～大阪梅田線</t>
    <phoneticPr fontId="29"/>
  </si>
  <si>
    <t>新宿～木曽福島</t>
    <phoneticPr fontId="28"/>
  </si>
  <si>
    <t>新宿～木曽福島線</t>
    <phoneticPr fontId="29"/>
  </si>
  <si>
    <t>新宿～諏訪岡谷</t>
    <phoneticPr fontId="28"/>
  </si>
  <si>
    <t>新宿～諏訪岡谷線</t>
    <phoneticPr fontId="29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</si>
  <si>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9"/>
  </si>
  <si>
    <t>←再取込するとき以外、消さないでください。</t>
    <rPh sb="1" eb="4">
      <t>サイトリコミ</t>
    </rPh>
    <rPh sb="8" eb="10">
      <t>イガイ</t>
    </rPh>
    <rPh sb="11" eb="12">
      <t>ケ</t>
    </rPh>
    <phoneticPr fontId="28"/>
  </si>
  <si>
    <t>前期累計</t>
    <rPh sb="0" eb="2">
      <t>ゼンキ</t>
    </rPh>
    <rPh sb="2" eb="4">
      <t>ルイケイ</t>
    </rPh>
    <phoneticPr fontId="28"/>
  </si>
  <si>
    <t>当期累計</t>
    <rPh sb="0" eb="2">
      <t>トウキ</t>
    </rPh>
    <rPh sb="2" eb="4">
      <t>ルイケイ</t>
    </rPh>
    <phoneticPr fontId="28"/>
  </si>
  <si>
    <t>前年対比</t>
    <rPh sb="0" eb="2">
      <t>ゼンネン</t>
    </rPh>
    <rPh sb="2" eb="4">
      <t>タイヒ</t>
    </rPh>
    <phoneticPr fontId="28"/>
  </si>
  <si>
    <t>前年差</t>
    <rPh sb="0" eb="2">
      <t>ゼンネン</t>
    </rPh>
    <rPh sb="2" eb="3">
      <t>サ</t>
    </rPh>
    <phoneticPr fontId="28"/>
  </si>
  <si>
    <t>予約総合計</t>
    <rPh sb="0" eb="2">
      <t>ヨヤク</t>
    </rPh>
    <rPh sb="2" eb="3">
      <t>ソウ</t>
    </rPh>
    <rPh sb="3" eb="5">
      <t>ゴウケイ</t>
    </rPh>
    <phoneticPr fontId="28"/>
  </si>
  <si>
    <t>乗車総合計</t>
    <rPh sb="0" eb="2">
      <t>ジョウシャ</t>
    </rPh>
    <rPh sb="2" eb="3">
      <t>ソウ</t>
    </rPh>
    <rPh sb="3" eb="5">
      <t>ゴウケイ</t>
    </rPh>
    <phoneticPr fontId="28"/>
  </si>
  <si>
    <t>新宿池袋長野線</t>
    <phoneticPr fontId="28"/>
  </si>
  <si>
    <t>2020年度</t>
    <rPh sb="4" eb="6">
      <t>ネンド</t>
    </rPh>
    <phoneticPr fontId="29"/>
  </si>
  <si>
    <t>2020年度</t>
  </si>
  <si>
    <t>未設定路線があります！！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</si>
</sst>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60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FF0000"/>
      <name val="ＭＳ Ｐゴシック"/>
      <family val="2"/>
      <scheme val="minor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1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38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2">
    <xf numFmtId="0" fontId="0" fillId="0" borderId="0" xfId="0"/>
    <xf numFmtId="0" fontId="31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3" fillId="0" borderId="0" xfId="0" applyFont="1" applyFill="1" applyAlignment="1">
      <alignment vertical="center"/>
    </xf>
    <xf numFmtId="0" fontId="31" fillId="0" borderId="0" xfId="0" applyFont="1" applyFill="1" applyBorder="1" applyAlignment="1">
      <alignment vertical="center"/>
    </xf>
    <xf numFmtId="0" fontId="33" fillId="0" borderId="0" xfId="0" applyFont="1" applyFill="1" applyBorder="1" applyAlignment="1">
      <alignment vertical="center"/>
    </xf>
    <xf numFmtId="31" fontId="31" fillId="0" borderId="0" xfId="0" quotePrefix="1" applyNumberFormat="1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/>
    </xf>
    <xf numFmtId="180" fontId="32" fillId="0" borderId="0" xfId="0" applyNumberFormat="1" applyFont="1" applyFill="1" applyBorder="1" applyAlignment="1">
      <alignment vertical="center"/>
    </xf>
    <xf numFmtId="181" fontId="32" fillId="0" borderId="0" xfId="0" applyNumberFormat="1" applyFont="1" applyFill="1" applyBorder="1" applyAlignment="1">
      <alignment vertical="center"/>
    </xf>
    <xf numFmtId="180" fontId="31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31" fillId="0" borderId="0" xfId="0" applyNumberFormat="1" applyFont="1" applyFill="1" applyAlignment="1">
      <alignment vertical="center"/>
    </xf>
    <xf numFmtId="180" fontId="31" fillId="0" borderId="25" xfId="0" applyNumberFormat="1" applyFont="1" applyFill="1" applyBorder="1" applyAlignment="1">
      <alignment horizontal="center" vertical="center"/>
    </xf>
    <xf numFmtId="180" fontId="31" fillId="0" borderId="27" xfId="0" applyNumberFormat="1" applyFont="1" applyFill="1" applyBorder="1" applyAlignment="1">
      <alignment horizontal="center" vertical="center"/>
    </xf>
    <xf numFmtId="180" fontId="31" fillId="0" borderId="33" xfId="0" applyNumberFormat="1" applyFont="1" applyFill="1" applyBorder="1" applyAlignment="1">
      <alignment horizontal="center" vertical="center"/>
    </xf>
    <xf numFmtId="0" fontId="0" fillId="0" borderId="19" xfId="0" applyBorder="1"/>
    <xf numFmtId="49" fontId="34" fillId="0" borderId="19" xfId="0" applyNumberFormat="1" applyFont="1" applyBorder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31" fillId="0" borderId="58" xfId="0" applyFont="1" applyFill="1" applyBorder="1" applyAlignment="1">
      <alignment horizontal="center" vertical="center" textRotation="255" shrinkToFit="1"/>
    </xf>
    <xf numFmtId="0" fontId="35" fillId="0" borderId="19" xfId="0" applyFont="1" applyBorder="1"/>
    <xf numFmtId="0" fontId="31" fillId="0" borderId="49" xfId="0" applyFont="1" applyFill="1" applyBorder="1" applyAlignment="1">
      <alignment horizontal="center" vertical="center"/>
    </xf>
    <xf numFmtId="0" fontId="0" fillId="0" borderId="49" xfId="0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vertical="center" shrinkToFit="1"/>
    </xf>
    <xf numFmtId="0" fontId="37" fillId="0" borderId="0" xfId="0" applyFont="1" applyAlignment="1">
      <alignment vertical="center"/>
    </xf>
    <xf numFmtId="0" fontId="36" fillId="0" borderId="0" xfId="0" applyFont="1" applyFill="1" applyAlignment="1">
      <alignment vertical="center"/>
    </xf>
    <xf numFmtId="0" fontId="36" fillId="3" borderId="0" xfId="0" applyFont="1" applyFill="1" applyAlignment="1">
      <alignment vertical="center"/>
    </xf>
    <xf numFmtId="0" fontId="36" fillId="3" borderId="0" xfId="0" applyFont="1" applyFill="1" applyAlignment="1">
      <alignment vertical="center" shrinkToFit="1"/>
    </xf>
    <xf numFmtId="0" fontId="39" fillId="0" borderId="0" xfId="0" applyFont="1" applyAlignment="1">
      <alignment vertical="center"/>
    </xf>
    <xf numFmtId="0" fontId="39" fillId="0" borderId="0" xfId="0" applyFont="1" applyAlignment="1">
      <alignment vertical="center" shrinkToFit="1"/>
    </xf>
    <xf numFmtId="0" fontId="40" fillId="2" borderId="0" xfId="0" applyFont="1" applyFill="1" applyBorder="1" applyAlignment="1">
      <alignment horizontal="left" vertical="center"/>
    </xf>
    <xf numFmtId="0" fontId="40" fillId="2" borderId="0" xfId="0" applyFont="1" applyFill="1" applyBorder="1" applyAlignment="1">
      <alignment horizontal="left" vertical="center" shrinkToFit="1"/>
    </xf>
    <xf numFmtId="0" fontId="41" fillId="0" borderId="0" xfId="0" applyFont="1" applyAlignment="1">
      <alignment vertical="center"/>
    </xf>
    <xf numFmtId="0" fontId="41" fillId="0" borderId="0" xfId="0" applyFont="1" applyAlignment="1">
      <alignment vertical="center" shrinkToFit="1"/>
    </xf>
    <xf numFmtId="0" fontId="41" fillId="4" borderId="2" xfId="0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 shrinkToFit="1"/>
    </xf>
    <xf numFmtId="0" fontId="41" fillId="0" borderId="36" xfId="0" applyFont="1" applyBorder="1" applyAlignment="1">
      <alignment horizontal="center" vertical="center" shrinkToFit="1"/>
    </xf>
    <xf numFmtId="0" fontId="41" fillId="0" borderId="16" xfId="0" applyFont="1" applyBorder="1" applyAlignment="1">
      <alignment horizontal="center" vertical="center" shrinkToFit="1"/>
    </xf>
    <xf numFmtId="0" fontId="41" fillId="4" borderId="15" xfId="0" applyFont="1" applyFill="1" applyBorder="1" applyAlignment="1">
      <alignment horizontal="center" vertical="center" shrinkToFit="1"/>
    </xf>
    <xf numFmtId="0" fontId="41" fillId="0" borderId="14" xfId="0" applyFont="1" applyBorder="1" applyAlignment="1">
      <alignment horizontal="center" vertical="center" shrinkToFit="1"/>
    </xf>
    <xf numFmtId="0" fontId="41" fillId="0" borderId="12" xfId="0" applyFont="1" applyBorder="1" applyAlignment="1">
      <alignment horizontal="center" vertical="center" shrinkToFit="1"/>
    </xf>
    <xf numFmtId="0" fontId="41" fillId="4" borderId="13" xfId="0" applyFont="1" applyFill="1" applyBorder="1" applyAlignment="1">
      <alignment horizontal="center" vertical="center" shrinkToFit="1"/>
    </xf>
    <xf numFmtId="0" fontId="41" fillId="3" borderId="12" xfId="0" applyFont="1" applyFill="1" applyBorder="1" applyAlignment="1">
      <alignment horizontal="center" vertical="center" shrinkToFit="1"/>
    </xf>
    <xf numFmtId="0" fontId="41" fillId="3" borderId="16" xfId="0" applyFont="1" applyFill="1" applyBorder="1" applyAlignment="1">
      <alignment horizontal="center" vertical="center" shrinkToFit="1"/>
    </xf>
    <xf numFmtId="0" fontId="43" fillId="0" borderId="0" xfId="0" applyFont="1" applyAlignment="1">
      <alignment vertical="center"/>
    </xf>
    <xf numFmtId="0" fontId="41" fillId="0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vertical="center" shrinkToFit="1"/>
    </xf>
    <xf numFmtId="38" fontId="41" fillId="2" borderId="0" xfId="1" applyFont="1" applyFill="1" applyAlignment="1">
      <alignment vertical="center" shrinkToFit="1"/>
    </xf>
    <xf numFmtId="0" fontId="41" fillId="0" borderId="61" xfId="0" applyFont="1" applyBorder="1" applyAlignment="1">
      <alignment horizontal="center" vertical="center" shrinkToFit="1"/>
    </xf>
    <xf numFmtId="0" fontId="41" fillId="6" borderId="11" xfId="0" applyFont="1" applyFill="1" applyBorder="1" applyAlignment="1">
      <alignment horizontal="center" vertical="center" shrinkToFit="1"/>
    </xf>
    <xf numFmtId="0" fontId="41" fillId="6" borderId="12" xfId="0" applyFont="1" applyFill="1" applyBorder="1" applyAlignment="1">
      <alignment horizontal="center" vertical="center" shrinkToFit="1"/>
    </xf>
    <xf numFmtId="0" fontId="40" fillId="0" borderId="0" xfId="0" applyFont="1" applyFill="1" applyBorder="1" applyAlignment="1">
      <alignment horizontal="center" vertical="center" shrinkToFit="1"/>
    </xf>
    <xf numFmtId="38" fontId="42" fillId="0" borderId="0" xfId="1" applyFont="1" applyFill="1" applyBorder="1" applyAlignment="1">
      <alignment horizontal="right" vertical="center" shrinkToFit="1"/>
    </xf>
    <xf numFmtId="177" fontId="40" fillId="0" borderId="0" xfId="0" applyNumberFormat="1" applyFont="1" applyFill="1" applyBorder="1" applyAlignment="1">
      <alignment vertical="center" shrinkToFit="1"/>
    </xf>
    <xf numFmtId="38" fontId="42" fillId="0" borderId="0" xfId="1" applyFont="1" applyFill="1" applyBorder="1" applyAlignment="1">
      <alignment vertical="center" shrinkToFit="1"/>
    </xf>
    <xf numFmtId="0" fontId="42" fillId="0" borderId="0" xfId="1" applyNumberFormat="1" applyFont="1" applyFill="1" applyBorder="1" applyAlignment="1">
      <alignment vertical="center" shrinkToFit="1"/>
    </xf>
    <xf numFmtId="38" fontId="40" fillId="2" borderId="0" xfId="1" applyFont="1" applyFill="1" applyBorder="1" applyAlignment="1">
      <alignment horizontal="left" vertical="center" shrinkToFit="1"/>
    </xf>
    <xf numFmtId="0" fontId="41" fillId="0" borderId="11" xfId="0" applyFont="1" applyBorder="1" applyAlignment="1">
      <alignment horizontal="center" vertical="center" shrinkToFit="1"/>
    </xf>
    <xf numFmtId="0" fontId="41" fillId="3" borderId="30" xfId="0" applyFont="1" applyFill="1" applyBorder="1" applyAlignment="1">
      <alignment vertical="center" shrinkToFit="1"/>
    </xf>
    <xf numFmtId="0" fontId="41" fillId="3" borderId="36" xfId="0" applyFont="1" applyFill="1" applyBorder="1" applyAlignment="1">
      <alignment horizontal="center" vertical="center" shrinkToFit="1"/>
    </xf>
    <xf numFmtId="38" fontId="41" fillId="0" borderId="0" xfId="1" applyFont="1" applyAlignment="1">
      <alignment vertical="center" shrinkToFit="1"/>
    </xf>
    <xf numFmtId="0" fontId="41" fillId="5" borderId="11" xfId="0" applyFont="1" applyFill="1" applyBorder="1" applyAlignment="1">
      <alignment horizontal="center" vertical="center" shrinkToFit="1"/>
    </xf>
    <xf numFmtId="0" fontId="41" fillId="5" borderId="12" xfId="0" applyFont="1" applyFill="1" applyBorder="1" applyAlignment="1">
      <alignment horizontal="center" vertical="center" shrinkToFit="1"/>
    </xf>
    <xf numFmtId="0" fontId="44" fillId="0" borderId="14" xfId="0" applyFont="1" applyBorder="1" applyAlignment="1">
      <alignment horizontal="center" vertical="center" shrinkToFit="1"/>
    </xf>
    <xf numFmtId="0" fontId="44" fillId="0" borderId="12" xfId="0" applyFont="1" applyBorder="1" applyAlignment="1">
      <alignment horizontal="center" vertical="center" shrinkToFit="1"/>
    </xf>
    <xf numFmtId="38" fontId="48" fillId="6" borderId="3" xfId="1" applyFont="1" applyFill="1" applyBorder="1" applyAlignment="1">
      <alignment vertical="center" shrinkToFit="1"/>
    </xf>
    <xf numFmtId="38" fontId="48" fillId="6" borderId="4" xfId="1" applyFont="1" applyFill="1" applyBorder="1" applyAlignment="1">
      <alignment vertical="center" shrinkToFit="1"/>
    </xf>
    <xf numFmtId="38" fontId="48" fillId="6" borderId="5" xfId="1" applyFont="1" applyFill="1" applyBorder="1" applyAlignment="1">
      <alignment vertical="center" shrinkToFit="1"/>
    </xf>
    <xf numFmtId="0" fontId="50" fillId="0" borderId="17" xfId="0" applyFont="1" applyBorder="1" applyAlignment="1">
      <alignment horizontal="center" vertical="center"/>
    </xf>
    <xf numFmtId="0" fontId="48" fillId="0" borderId="17" xfId="0" applyFont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50" fillId="0" borderId="2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 shrinkToFit="1"/>
    </xf>
    <xf numFmtId="38" fontId="48" fillId="0" borderId="4" xfId="1" applyFont="1" applyBorder="1" applyAlignment="1">
      <alignment vertical="center" shrinkToFit="1"/>
    </xf>
    <xf numFmtId="179" fontId="48" fillId="3" borderId="4" xfId="0" applyNumberFormat="1" applyFont="1" applyFill="1" applyBorder="1" applyAlignment="1">
      <alignment horizontal="right" vertical="center" shrinkToFit="1"/>
    </xf>
    <xf numFmtId="0" fontId="48" fillId="3" borderId="4" xfId="0" applyNumberFormat="1" applyFont="1" applyFill="1" applyBorder="1" applyAlignment="1">
      <alignment horizontal="right" vertical="center" shrinkToFit="1"/>
    </xf>
    <xf numFmtId="38" fontId="48" fillId="3" borderId="4" xfId="0" applyNumberFormat="1" applyFont="1" applyFill="1" applyBorder="1" applyAlignment="1">
      <alignment horizontal="right" vertical="center" shrinkToFit="1"/>
    </xf>
    <xf numFmtId="38" fontId="50" fillId="0" borderId="21" xfId="1" applyFont="1" applyFill="1" applyBorder="1" applyAlignment="1">
      <alignment horizontal="right" vertical="center" shrinkToFit="1"/>
    </xf>
    <xf numFmtId="38" fontId="49" fillId="0" borderId="19" xfId="1" applyFont="1" applyFill="1" applyBorder="1" applyAlignment="1">
      <alignment horizontal="right" vertical="center" shrinkToFit="1"/>
    </xf>
    <xf numFmtId="38" fontId="48" fillId="0" borderId="21" xfId="1" applyFont="1" applyFill="1" applyBorder="1" applyAlignment="1">
      <alignment horizontal="right" vertical="center" shrinkToFit="1"/>
    </xf>
    <xf numFmtId="38" fontId="49" fillId="0" borderId="21" xfId="1" applyFont="1" applyFill="1" applyBorder="1" applyAlignment="1">
      <alignment horizontal="right" vertical="center" shrinkToFit="1"/>
    </xf>
    <xf numFmtId="38" fontId="49" fillId="0" borderId="44" xfId="1" applyFont="1" applyFill="1" applyBorder="1" applyAlignment="1">
      <alignment horizontal="right" vertical="center" shrinkToFit="1"/>
    </xf>
    <xf numFmtId="38" fontId="48" fillId="0" borderId="7" xfId="1" applyFont="1" applyFill="1" applyBorder="1" applyAlignment="1">
      <alignment horizontal="right" vertical="center" shrinkToFit="1"/>
    </xf>
    <xf numFmtId="38" fontId="48" fillId="0" borderId="4" xfId="1" applyFont="1" applyFill="1" applyBorder="1" applyAlignment="1">
      <alignment horizontal="right" vertical="center" shrinkToFit="1"/>
    </xf>
    <xf numFmtId="177" fontId="50" fillId="4" borderId="20" xfId="0" applyNumberFormat="1" applyFont="1" applyFill="1" applyBorder="1" applyAlignment="1">
      <alignment vertical="center" shrinkToFit="1"/>
    </xf>
    <xf numFmtId="38" fontId="49" fillId="0" borderId="57" xfId="1" applyFont="1" applyFill="1" applyBorder="1" applyAlignment="1">
      <alignment horizontal="right" vertical="center" shrinkToFit="1"/>
    </xf>
    <xf numFmtId="38" fontId="48" fillId="0" borderId="29" xfId="1" applyFont="1" applyFill="1" applyBorder="1" applyAlignment="1">
      <alignment horizontal="right" vertical="center" shrinkToFit="1"/>
    </xf>
    <xf numFmtId="38" fontId="48" fillId="0" borderId="19" xfId="1" applyFont="1" applyFill="1" applyBorder="1" applyAlignment="1">
      <alignment horizontal="right" vertical="center" shrinkToFit="1"/>
    </xf>
    <xf numFmtId="176" fontId="50" fillId="0" borderId="19" xfId="1" applyNumberFormat="1" applyFont="1" applyBorder="1" applyAlignment="1">
      <alignment horizontal="right" vertical="center" shrinkToFit="1"/>
    </xf>
    <xf numFmtId="38" fontId="48" fillId="0" borderId="44" xfId="1" applyFont="1" applyFill="1" applyBorder="1" applyAlignment="1">
      <alignment horizontal="right" vertical="center" shrinkToFit="1"/>
    </xf>
    <xf numFmtId="38" fontId="50" fillId="0" borderId="7" xfId="1" applyFont="1" applyBorder="1" applyAlignment="1">
      <alignment vertical="center" shrinkToFit="1"/>
    </xf>
    <xf numFmtId="38" fontId="50" fillId="0" borderId="4" xfId="1" applyFont="1" applyBorder="1" applyAlignment="1">
      <alignment vertical="center" shrinkToFit="1"/>
    </xf>
    <xf numFmtId="176" fontId="50" fillId="0" borderId="4" xfId="1" applyNumberFormat="1" applyFont="1" applyBorder="1" applyAlignment="1">
      <alignment vertical="center" shrinkToFit="1"/>
    </xf>
    <xf numFmtId="0" fontId="48" fillId="3" borderId="7" xfId="0" applyNumberFormat="1" applyFont="1" applyFill="1" applyBorder="1" applyAlignment="1">
      <alignment horizontal="right" vertical="center" shrinkToFit="1"/>
    </xf>
    <xf numFmtId="38" fontId="48" fillId="5" borderId="3" xfId="1" applyFont="1" applyFill="1" applyBorder="1" applyAlignment="1">
      <alignment vertical="center" shrinkToFit="1"/>
    </xf>
    <xf numFmtId="38" fontId="48" fillId="5" borderId="4" xfId="1" applyFont="1" applyFill="1" applyBorder="1" applyAlignment="1">
      <alignment vertical="center" shrinkToFit="1"/>
    </xf>
    <xf numFmtId="38" fontId="48" fillId="5" borderId="5" xfId="1" applyFont="1" applyFill="1" applyBorder="1" applyAlignment="1">
      <alignment vertical="center" shrinkToFit="1"/>
    </xf>
    <xf numFmtId="176" fontId="50" fillId="0" borderId="22" xfId="1" applyNumberFormat="1" applyFont="1" applyBorder="1" applyAlignment="1">
      <alignment horizontal="right" vertical="center" shrinkToFit="1"/>
    </xf>
    <xf numFmtId="176" fontId="50" fillId="0" borderId="19" xfId="1" applyNumberFormat="1" applyFont="1" applyFill="1" applyBorder="1" applyAlignment="1">
      <alignment horizontal="right" vertical="center" shrinkToFit="1"/>
    </xf>
    <xf numFmtId="176" fontId="49" fillId="0" borderId="19" xfId="1" applyNumberFormat="1" applyFont="1" applyBorder="1" applyAlignment="1">
      <alignment horizontal="right" vertical="center" shrinkToFit="1"/>
    </xf>
    <xf numFmtId="176" fontId="49" fillId="0" borderId="22" xfId="1" applyNumberFormat="1" applyFont="1" applyBorder="1" applyAlignment="1">
      <alignment horizontal="right" vertical="center" shrinkToFit="1"/>
    </xf>
    <xf numFmtId="176" fontId="49" fillId="0" borderId="19" xfId="1" applyNumberFormat="1" applyFont="1" applyFill="1" applyBorder="1" applyAlignment="1">
      <alignment horizontal="right" vertical="center" shrinkToFit="1"/>
    </xf>
    <xf numFmtId="0" fontId="0" fillId="7" borderId="19" xfId="0" applyFill="1" applyBorder="1"/>
    <xf numFmtId="0" fontId="0" fillId="8" borderId="19" xfId="0" applyFill="1" applyBorder="1"/>
    <xf numFmtId="0" fontId="0" fillId="9" borderId="19" xfId="0" applyFill="1" applyBorder="1"/>
    <xf numFmtId="0" fontId="0" fillId="10" borderId="19" xfId="0" applyFill="1" applyBorder="1"/>
    <xf numFmtId="0" fontId="0" fillId="4" borderId="19" xfId="0" applyFill="1" applyBorder="1"/>
    <xf numFmtId="177" fontId="0" fillId="0" borderId="19" xfId="2" applyNumberFormat="1" applyFont="1" applyBorder="1" applyAlignment="1"/>
    <xf numFmtId="10" fontId="0" fillId="0" borderId="19" xfId="2" applyNumberFormat="1" applyFont="1" applyBorder="1" applyAlignment="1"/>
    <xf numFmtId="0" fontId="0" fillId="0" borderId="22" xfId="0" applyBorder="1"/>
    <xf numFmtId="0" fontId="0" fillId="0" borderId="36" xfId="0" applyFill="1" applyBorder="1"/>
    <xf numFmtId="0" fontId="0" fillId="0" borderId="15" xfId="0" applyBorder="1"/>
    <xf numFmtId="0" fontId="0" fillId="0" borderId="21" xfId="0" applyBorder="1"/>
    <xf numFmtId="177" fontId="0" fillId="0" borderId="20" xfId="2" applyNumberFormat="1" applyFont="1" applyBorder="1" applyAlignment="1"/>
    <xf numFmtId="0" fontId="0" fillId="0" borderId="21" xfId="0" applyFill="1" applyBorder="1"/>
    <xf numFmtId="10" fontId="0" fillId="0" borderId="20" xfId="2" applyNumberFormat="1" applyFont="1" applyBorder="1" applyAlignment="1"/>
    <xf numFmtId="0" fontId="0" fillId="0" borderId="43" xfId="0" applyBorder="1"/>
    <xf numFmtId="55" fontId="0" fillId="0" borderId="19" xfId="0" applyNumberFormat="1" applyBorder="1" applyAlignment="1">
      <alignment horizontal="left"/>
    </xf>
    <xf numFmtId="0" fontId="51" fillId="0" borderId="19" xfId="0" applyFont="1" applyBorder="1"/>
    <xf numFmtId="31" fontId="32" fillId="0" borderId="0" xfId="0" quotePrefix="1" applyNumberFormat="1" applyFont="1" applyFill="1" applyBorder="1" applyAlignment="1">
      <alignment horizontal="right" vertical="center"/>
    </xf>
    <xf numFmtId="0" fontId="32" fillId="0" borderId="0" xfId="0" applyFont="1" applyFill="1" applyBorder="1" applyAlignment="1">
      <alignment vertical="center"/>
    </xf>
    <xf numFmtId="180" fontId="31" fillId="0" borderId="0" xfId="0" applyNumberFormat="1" applyFont="1" applyFill="1" applyBorder="1" applyAlignment="1">
      <alignment horizontal="right" vertical="center"/>
    </xf>
    <xf numFmtId="180" fontId="31" fillId="0" borderId="31" xfId="0" applyNumberFormat="1" applyFont="1" applyFill="1" applyBorder="1" applyAlignment="1">
      <alignment horizontal="right" vertical="center"/>
    </xf>
    <xf numFmtId="0" fontId="33" fillId="0" borderId="18" xfId="0" applyFont="1" applyFill="1" applyBorder="1" applyAlignment="1">
      <alignment horizontal="center" vertical="center"/>
    </xf>
    <xf numFmtId="180" fontId="33" fillId="0" borderId="19" xfId="0" applyNumberFormat="1" applyFont="1" applyFill="1" applyBorder="1" applyAlignment="1">
      <alignment horizontal="right" vertical="center"/>
    </xf>
    <xf numFmtId="180" fontId="33" fillId="0" borderId="20" xfId="0" applyNumberFormat="1" applyFont="1" applyFill="1" applyBorder="1" applyAlignment="1">
      <alignment horizontal="right" vertical="center"/>
    </xf>
    <xf numFmtId="180" fontId="33" fillId="0" borderId="21" xfId="0" applyNumberFormat="1" applyFont="1" applyFill="1" applyBorder="1" applyAlignment="1">
      <alignment horizontal="right" vertical="center"/>
    </xf>
    <xf numFmtId="181" fontId="33" fillId="0" borderId="19" xfId="0" applyNumberFormat="1" applyFont="1" applyFill="1" applyBorder="1" applyAlignment="1">
      <alignment horizontal="right" vertical="center"/>
    </xf>
    <xf numFmtId="181" fontId="33" fillId="0" borderId="20" xfId="0" applyNumberFormat="1" applyFont="1" applyFill="1" applyBorder="1" applyAlignment="1">
      <alignment horizontal="right" vertical="center"/>
    </xf>
    <xf numFmtId="180" fontId="33" fillId="0" borderId="25" xfId="0" applyNumberFormat="1" applyFont="1" applyFill="1" applyBorder="1" applyAlignment="1">
      <alignment horizontal="right" vertical="center"/>
    </xf>
    <xf numFmtId="180" fontId="33" fillId="0" borderId="27" xfId="0" applyNumberFormat="1" applyFont="1" applyFill="1" applyBorder="1" applyAlignment="1">
      <alignment horizontal="right" vertical="center"/>
    </xf>
    <xf numFmtId="180" fontId="33" fillId="0" borderId="44" xfId="0" applyNumberFormat="1" applyFont="1" applyFill="1" applyBorder="1" applyAlignment="1">
      <alignment horizontal="right" vertical="center"/>
    </xf>
    <xf numFmtId="181" fontId="33" fillId="0" borderId="25" xfId="0" applyNumberFormat="1" applyFont="1" applyFill="1" applyBorder="1" applyAlignment="1">
      <alignment horizontal="right" vertical="center"/>
    </xf>
    <xf numFmtId="181" fontId="33" fillId="0" borderId="27" xfId="0" applyNumberFormat="1" applyFont="1" applyFill="1" applyBorder="1" applyAlignment="1">
      <alignment horizontal="right" vertical="center"/>
    </xf>
    <xf numFmtId="180" fontId="33" fillId="0" borderId="32" xfId="0" applyNumberFormat="1" applyFont="1" applyFill="1" applyBorder="1" applyAlignment="1">
      <alignment horizontal="right" vertical="center"/>
    </xf>
    <xf numFmtId="180" fontId="33" fillId="0" borderId="46" xfId="0" applyNumberFormat="1" applyFont="1" applyFill="1" applyBorder="1" applyAlignment="1">
      <alignment horizontal="right" vertical="center"/>
    </xf>
    <xf numFmtId="180" fontId="33" fillId="0" borderId="45" xfId="0" applyNumberFormat="1" applyFont="1" applyFill="1" applyBorder="1" applyAlignment="1">
      <alignment horizontal="right" vertical="center"/>
    </xf>
    <xf numFmtId="181" fontId="33" fillId="0" borderId="32" xfId="0" applyNumberFormat="1" applyFont="1" applyFill="1" applyBorder="1" applyAlignment="1">
      <alignment horizontal="right" vertical="center"/>
    </xf>
    <xf numFmtId="181" fontId="33" fillId="0" borderId="46" xfId="0" applyNumberFormat="1" applyFont="1" applyFill="1" applyBorder="1" applyAlignment="1">
      <alignment horizontal="right" vertical="center"/>
    </xf>
    <xf numFmtId="180" fontId="33" fillId="0" borderId="47" xfId="0" applyNumberFormat="1" applyFont="1" applyFill="1" applyBorder="1" applyAlignment="1">
      <alignment horizontal="right" vertical="center"/>
    </xf>
    <xf numFmtId="180" fontId="33" fillId="0" borderId="28" xfId="0" applyNumberFormat="1" applyFont="1" applyFill="1" applyBorder="1" applyAlignment="1">
      <alignment horizontal="right" vertical="center"/>
    </xf>
    <xf numFmtId="180" fontId="33" fillId="0" borderId="33" xfId="0" applyNumberFormat="1" applyFont="1" applyFill="1" applyBorder="1" applyAlignment="1">
      <alignment horizontal="right" vertical="center"/>
    </xf>
    <xf numFmtId="180" fontId="33" fillId="0" borderId="18" xfId="0" applyNumberFormat="1" applyFont="1" applyFill="1" applyBorder="1" applyAlignment="1">
      <alignment horizontal="right" vertical="center"/>
    </xf>
    <xf numFmtId="180" fontId="31" fillId="0" borderId="19" xfId="0" applyNumberFormat="1" applyFont="1" applyFill="1" applyBorder="1" applyAlignment="1">
      <alignment horizontal="right" vertical="center"/>
    </xf>
    <xf numFmtId="180" fontId="31" fillId="0" borderId="20" xfId="0" applyNumberFormat="1" applyFont="1" applyFill="1" applyBorder="1" applyAlignment="1">
      <alignment horizontal="right" vertical="center"/>
    </xf>
    <xf numFmtId="180" fontId="31" fillId="0" borderId="21" xfId="0" applyNumberFormat="1" applyFont="1" applyFill="1" applyBorder="1" applyAlignment="1">
      <alignment horizontal="right" vertical="center"/>
    </xf>
    <xf numFmtId="180" fontId="31" fillId="0" borderId="18" xfId="0" applyNumberFormat="1" applyFont="1" applyFill="1" applyBorder="1" applyAlignment="1">
      <alignment horizontal="right" vertical="center"/>
    </xf>
    <xf numFmtId="181" fontId="31" fillId="0" borderId="19" xfId="0" applyNumberFormat="1" applyFont="1" applyFill="1" applyBorder="1" applyAlignment="1">
      <alignment horizontal="right" vertical="center"/>
    </xf>
    <xf numFmtId="181" fontId="31" fillId="0" borderId="20" xfId="0" applyNumberFormat="1" applyFont="1" applyFill="1" applyBorder="1" applyAlignment="1">
      <alignment horizontal="right" vertical="center"/>
    </xf>
    <xf numFmtId="180" fontId="31" fillId="0" borderId="32" xfId="0" applyNumberFormat="1" applyFont="1" applyFill="1" applyBorder="1" applyAlignment="1">
      <alignment horizontal="right" vertical="center"/>
    </xf>
    <xf numFmtId="180" fontId="31" fillId="0" borderId="44" xfId="0" applyNumberFormat="1" applyFont="1" applyFill="1" applyBorder="1" applyAlignment="1">
      <alignment horizontal="right" vertical="center"/>
    </xf>
    <xf numFmtId="180" fontId="31" fillId="0" borderId="33" xfId="0" applyNumberFormat="1" applyFont="1" applyFill="1" applyBorder="1" applyAlignment="1">
      <alignment horizontal="right" vertical="center"/>
    </xf>
    <xf numFmtId="181" fontId="31" fillId="0" borderId="25" xfId="0" applyNumberFormat="1" applyFont="1" applyFill="1" applyBorder="1" applyAlignment="1">
      <alignment horizontal="right" vertical="center"/>
    </xf>
    <xf numFmtId="181" fontId="31" fillId="0" borderId="27" xfId="0" applyNumberFormat="1" applyFont="1" applyFill="1" applyBorder="1" applyAlignment="1">
      <alignment horizontal="right" vertical="center"/>
    </xf>
    <xf numFmtId="180" fontId="31" fillId="0" borderId="25" xfId="0" applyNumberFormat="1" applyFont="1" applyFill="1" applyBorder="1" applyAlignment="1">
      <alignment horizontal="right" vertical="center"/>
    </xf>
    <xf numFmtId="180" fontId="31" fillId="0" borderId="28" xfId="0" applyNumberFormat="1" applyFont="1" applyFill="1" applyBorder="1" applyAlignment="1">
      <alignment horizontal="right" vertical="center"/>
    </xf>
    <xf numFmtId="0" fontId="32" fillId="0" borderId="7" xfId="0" applyFont="1" applyFill="1" applyBorder="1" applyAlignment="1">
      <alignment horizontal="center" vertical="center"/>
    </xf>
    <xf numFmtId="180" fontId="32" fillId="0" borderId="4" xfId="0" applyNumberFormat="1" applyFont="1" applyFill="1" applyBorder="1" applyAlignment="1">
      <alignment vertical="center"/>
    </xf>
    <xf numFmtId="180" fontId="32" fillId="0" borderId="29" xfId="0" applyNumberFormat="1" applyFont="1" applyFill="1" applyBorder="1" applyAlignment="1">
      <alignment vertical="center"/>
    </xf>
    <xf numFmtId="180" fontId="31" fillId="0" borderId="41" xfId="0" applyNumberFormat="1" applyFont="1" applyFill="1" applyBorder="1" applyAlignment="1">
      <alignment horizontal="center" vertical="center"/>
    </xf>
    <xf numFmtId="180" fontId="33" fillId="0" borderId="22" xfId="0" applyNumberFormat="1" applyFont="1" applyFill="1" applyBorder="1" applyAlignment="1">
      <alignment horizontal="right" vertical="center"/>
    </xf>
    <xf numFmtId="181" fontId="33" fillId="0" borderId="18" xfId="0" applyNumberFormat="1" applyFont="1" applyFill="1" applyBorder="1" applyAlignment="1">
      <alignment horizontal="right" vertical="center"/>
    </xf>
    <xf numFmtId="181" fontId="33" fillId="0" borderId="33" xfId="0" applyNumberFormat="1" applyFont="1" applyFill="1" applyBorder="1" applyAlignment="1">
      <alignment horizontal="right" vertical="center"/>
    </xf>
    <xf numFmtId="181" fontId="31" fillId="0" borderId="18" xfId="0" applyNumberFormat="1" applyFont="1" applyFill="1" applyBorder="1" applyAlignment="1">
      <alignment horizontal="right" vertical="center"/>
    </xf>
    <xf numFmtId="181" fontId="31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2" fillId="0" borderId="7" xfId="0" applyNumberFormat="1" applyFont="1" applyFill="1" applyBorder="1" applyAlignment="1">
      <alignment vertical="center"/>
    </xf>
    <xf numFmtId="180" fontId="32" fillId="0" borderId="6" xfId="0" applyNumberFormat="1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31" fontId="32" fillId="0" borderId="0" xfId="0" applyNumberFormat="1" applyFont="1" applyFill="1" applyBorder="1" applyAlignment="1">
      <alignment horizontal="right" vertical="center"/>
    </xf>
    <xf numFmtId="180" fontId="31" fillId="0" borderId="22" xfId="0" applyNumberFormat="1" applyFont="1" applyFill="1" applyBorder="1" applyAlignment="1">
      <alignment horizontal="right" vertical="center"/>
    </xf>
    <xf numFmtId="0" fontId="31" fillId="0" borderId="31" xfId="0" applyFont="1" applyFill="1" applyBorder="1" applyAlignment="1">
      <alignment vertical="center"/>
    </xf>
    <xf numFmtId="180" fontId="31" fillId="0" borderId="27" xfId="0" applyNumberFormat="1" applyFont="1" applyFill="1" applyBorder="1" applyAlignment="1">
      <alignment horizontal="right" vertical="center"/>
    </xf>
    <xf numFmtId="180" fontId="31" fillId="0" borderId="55" xfId="0" applyNumberFormat="1" applyFont="1" applyFill="1" applyBorder="1" applyAlignment="1">
      <alignment horizontal="right" vertical="center"/>
    </xf>
    <xf numFmtId="0" fontId="32" fillId="0" borderId="56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textRotation="255" shrinkToFit="1"/>
    </xf>
    <xf numFmtId="0" fontId="31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3" fillId="0" borderId="41" xfId="0" applyNumberFormat="1" applyFont="1" applyFill="1" applyBorder="1" applyAlignment="1">
      <alignment horizontal="right" vertical="center"/>
    </xf>
    <xf numFmtId="180" fontId="33" fillId="0" borderId="42" xfId="0" applyNumberFormat="1" applyFont="1" applyFill="1" applyBorder="1" applyAlignment="1">
      <alignment horizontal="right" vertical="center"/>
    </xf>
    <xf numFmtId="180" fontId="33" fillId="0" borderId="43" xfId="0" applyNumberFormat="1" applyFont="1" applyFill="1" applyBorder="1" applyAlignment="1">
      <alignment horizontal="right" vertical="center"/>
    </xf>
    <xf numFmtId="181" fontId="33" fillId="0" borderId="41" xfId="0" applyNumberFormat="1" applyFont="1" applyFill="1" applyBorder="1" applyAlignment="1">
      <alignment horizontal="right" vertical="center"/>
    </xf>
    <xf numFmtId="181" fontId="33" fillId="0" borderId="42" xfId="0" applyNumberFormat="1" applyFont="1" applyFill="1" applyBorder="1" applyAlignment="1">
      <alignment horizontal="right" vertical="center"/>
    </xf>
    <xf numFmtId="180" fontId="31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31" fillId="0" borderId="42" xfId="0" applyNumberFormat="1" applyFont="1" applyFill="1" applyBorder="1" applyAlignment="1">
      <alignment horizontal="right" vertical="center"/>
    </xf>
    <xf numFmtId="180" fontId="31" fillId="0" borderId="43" xfId="0" applyNumberFormat="1" applyFont="1" applyFill="1" applyBorder="1" applyAlignment="1">
      <alignment horizontal="right" vertical="center"/>
    </xf>
    <xf numFmtId="180" fontId="31" fillId="0" borderId="40" xfId="0" applyNumberFormat="1" applyFont="1" applyFill="1" applyBorder="1" applyAlignment="1">
      <alignment horizontal="right" vertical="center"/>
    </xf>
    <xf numFmtId="181" fontId="31" fillId="0" borderId="40" xfId="0" applyNumberFormat="1" applyFont="1" applyFill="1" applyBorder="1" applyAlignment="1">
      <alignment horizontal="right" vertical="center"/>
    </xf>
    <xf numFmtId="181" fontId="31" fillId="0" borderId="42" xfId="0" applyNumberFormat="1" applyFont="1" applyFill="1" applyBorder="1" applyAlignment="1">
      <alignment horizontal="right" vertical="center"/>
    </xf>
    <xf numFmtId="180" fontId="52" fillId="0" borderId="25" xfId="0" applyNumberFormat="1" applyFont="1" applyFill="1" applyBorder="1" applyAlignment="1">
      <alignment horizontal="right" vertical="center"/>
    </xf>
    <xf numFmtId="180" fontId="52" fillId="0" borderId="41" xfId="0" applyNumberFormat="1" applyFont="1" applyFill="1" applyBorder="1" applyAlignment="1">
      <alignment horizontal="right" vertical="center"/>
    </xf>
    <xf numFmtId="180" fontId="33" fillId="0" borderId="55" xfId="0" applyNumberFormat="1" applyFont="1" applyFill="1" applyBorder="1" applyAlignment="1">
      <alignment horizontal="right" vertical="center"/>
    </xf>
    <xf numFmtId="0" fontId="0" fillId="0" borderId="44" xfId="0" applyFill="1" applyBorder="1"/>
    <xf numFmtId="0" fontId="41" fillId="0" borderId="62" xfId="0" applyFont="1" applyBorder="1" applyAlignment="1">
      <alignment horizontal="center" vertical="center" shrinkToFit="1"/>
    </xf>
    <xf numFmtId="0" fontId="50" fillId="0" borderId="17" xfId="0" applyFont="1" applyBorder="1" applyAlignment="1">
      <alignment horizontal="center" vertical="center" shrinkToFit="1"/>
    </xf>
    <xf numFmtId="0" fontId="46" fillId="0" borderId="21" xfId="0" applyFont="1" applyBorder="1" applyAlignment="1">
      <alignment horizontal="right" vertical="center" shrinkToFit="1"/>
    </xf>
    <xf numFmtId="0" fontId="46" fillId="0" borderId="19" xfId="0" applyFont="1" applyBorder="1" applyAlignment="1">
      <alignment horizontal="right" vertical="center" shrinkToFit="1"/>
    </xf>
    <xf numFmtId="38" fontId="50" fillId="0" borderId="19" xfId="1" applyNumberFormat="1" applyFont="1" applyBorder="1" applyAlignment="1">
      <alignment horizontal="right" vertical="center" shrinkToFit="1"/>
    </xf>
    <xf numFmtId="38" fontId="48" fillId="0" borderId="19" xfId="1" applyNumberFormat="1" applyFont="1" applyBorder="1" applyAlignment="1">
      <alignment horizontal="right" vertical="center" shrinkToFit="1"/>
    </xf>
    <xf numFmtId="38" fontId="48" fillId="0" borderId="22" xfId="1" applyNumberFormat="1" applyFont="1" applyBorder="1" applyAlignment="1">
      <alignment horizontal="right" vertical="center" shrinkToFit="1"/>
    </xf>
    <xf numFmtId="38" fontId="50" fillId="0" borderId="19" xfId="1" applyFont="1" applyBorder="1" applyAlignment="1">
      <alignment horizontal="right" vertical="center" shrinkToFit="1"/>
    </xf>
    <xf numFmtId="38" fontId="49" fillId="0" borderId="19" xfId="1" applyFont="1" applyBorder="1" applyAlignment="1">
      <alignment horizontal="right" vertical="center" shrinkToFit="1"/>
    </xf>
    <xf numFmtId="38" fontId="49" fillId="0" borderId="22" xfId="1" applyFont="1" applyBorder="1" applyAlignment="1">
      <alignment horizontal="right" vertical="center" shrinkToFit="1"/>
    </xf>
    <xf numFmtId="177" fontId="50" fillId="3" borderId="19" xfId="0" applyNumberFormat="1" applyFont="1" applyFill="1" applyBorder="1" applyAlignment="1">
      <alignment horizontal="right" vertical="center" shrinkToFit="1"/>
    </xf>
    <xf numFmtId="0" fontId="50" fillId="3" borderId="19" xfId="0" applyNumberFormat="1" applyFont="1" applyFill="1" applyBorder="1" applyAlignment="1">
      <alignment horizontal="right" vertical="center" shrinkToFit="1"/>
    </xf>
    <xf numFmtId="0" fontId="50" fillId="3" borderId="22" xfId="0" applyNumberFormat="1" applyFont="1" applyFill="1" applyBorder="1" applyAlignment="1">
      <alignment horizontal="right" vertical="center" shrinkToFit="1"/>
    </xf>
    <xf numFmtId="0" fontId="48" fillId="3" borderId="22" xfId="0" applyNumberFormat="1" applyFont="1" applyFill="1" applyBorder="1" applyAlignment="1">
      <alignment horizontal="right" vertical="center" shrinkToFit="1"/>
    </xf>
    <xf numFmtId="0" fontId="46" fillId="0" borderId="0" xfId="0" applyNumberFormat="1" applyFont="1" applyAlignment="1">
      <alignment horizontal="right" vertical="center" shrinkToFit="1"/>
    </xf>
    <xf numFmtId="0" fontId="48" fillId="3" borderId="19" xfId="0" applyNumberFormat="1" applyFont="1" applyFill="1" applyBorder="1" applyAlignment="1">
      <alignment horizontal="right" vertical="center" shrinkToFit="1"/>
    </xf>
    <xf numFmtId="176" fontId="46" fillId="0" borderId="22" xfId="0" applyNumberFormat="1" applyFont="1" applyBorder="1" applyAlignment="1">
      <alignment horizontal="right" vertical="center" shrinkToFit="1"/>
    </xf>
    <xf numFmtId="38" fontId="46" fillId="0" borderId="22" xfId="0" applyNumberFormat="1" applyFont="1" applyBorder="1" applyAlignment="1">
      <alignment horizontal="right" vertical="center" shrinkToFit="1"/>
    </xf>
    <xf numFmtId="0" fontId="46" fillId="0" borderId="22" xfId="0" applyFont="1" applyBorder="1" applyAlignment="1">
      <alignment horizontal="right" vertical="center" shrinkToFit="1"/>
    </xf>
    <xf numFmtId="0" fontId="48" fillId="0" borderId="17" xfId="0" applyFont="1" applyBorder="1" applyAlignment="1">
      <alignment horizontal="center" vertical="center" shrinkToFit="1"/>
    </xf>
    <xf numFmtId="38" fontId="48" fillId="0" borderId="21" xfId="1" applyFont="1" applyBorder="1" applyAlignment="1">
      <alignment vertical="center" shrinkToFit="1"/>
    </xf>
    <xf numFmtId="38" fontId="48" fillId="0" borderId="19" xfId="1" applyFont="1" applyBorder="1" applyAlignment="1">
      <alignment vertical="center" shrinkToFit="1"/>
    </xf>
    <xf numFmtId="176" fontId="47" fillId="0" borderId="22" xfId="0" applyNumberFormat="1" applyFont="1" applyBorder="1" applyAlignment="1">
      <alignment horizontal="right" vertical="center" shrinkToFit="1"/>
    </xf>
    <xf numFmtId="38" fontId="48" fillId="0" borderId="19" xfId="1" applyFont="1" applyBorder="1" applyAlignment="1">
      <alignment horizontal="right" vertical="center" shrinkToFit="1"/>
    </xf>
    <xf numFmtId="38" fontId="47" fillId="0" borderId="22" xfId="0" applyNumberFormat="1" applyFont="1" applyBorder="1" applyAlignment="1">
      <alignment horizontal="right" vertical="center" shrinkToFit="1"/>
    </xf>
    <xf numFmtId="0" fontId="47" fillId="0" borderId="22" xfId="0" applyFont="1" applyBorder="1" applyAlignment="1">
      <alignment horizontal="right" vertical="center" shrinkToFit="1"/>
    </xf>
    <xf numFmtId="177" fontId="48" fillId="3" borderId="19" xfId="0" applyNumberFormat="1" applyFont="1" applyFill="1" applyBorder="1" applyAlignment="1">
      <alignment horizontal="right" vertical="center" shrinkToFit="1"/>
    </xf>
    <xf numFmtId="0" fontId="50" fillId="0" borderId="17" xfId="0" applyFont="1" applyFill="1" applyBorder="1" applyAlignment="1">
      <alignment horizontal="center" vertical="center" shrinkToFit="1"/>
    </xf>
    <xf numFmtId="38" fontId="50" fillId="0" borderId="21" xfId="1" applyFont="1" applyFill="1" applyBorder="1" applyAlignment="1">
      <alignment vertical="center" shrinkToFit="1"/>
    </xf>
    <xf numFmtId="38" fontId="50" fillId="0" borderId="19" xfId="1" applyFont="1" applyFill="1" applyBorder="1" applyAlignment="1">
      <alignment vertical="center" shrinkToFit="1"/>
    </xf>
    <xf numFmtId="176" fontId="46" fillId="0" borderId="22" xfId="0" applyNumberFormat="1" applyFont="1" applyFill="1" applyBorder="1" applyAlignment="1">
      <alignment horizontal="right" vertical="center" shrinkToFit="1"/>
    </xf>
    <xf numFmtId="38" fontId="50" fillId="0" borderId="19" xfId="1" applyFont="1" applyFill="1" applyBorder="1" applyAlignment="1">
      <alignment horizontal="right" vertical="center" shrinkToFit="1"/>
    </xf>
    <xf numFmtId="38" fontId="46" fillId="0" borderId="22" xfId="0" applyNumberFormat="1" applyFont="1" applyFill="1" applyBorder="1" applyAlignment="1">
      <alignment horizontal="right" vertical="center" shrinkToFit="1"/>
    </xf>
    <xf numFmtId="38" fontId="50" fillId="0" borderId="19" xfId="1" applyNumberFormat="1" applyFont="1" applyFill="1" applyBorder="1" applyAlignment="1">
      <alignment horizontal="right" vertical="center" shrinkToFit="1"/>
    </xf>
    <xf numFmtId="38" fontId="48" fillId="0" borderId="19" xfId="1" applyNumberFormat="1" applyFont="1" applyFill="1" applyBorder="1" applyAlignment="1">
      <alignment horizontal="right" vertical="center" shrinkToFit="1"/>
    </xf>
    <xf numFmtId="0" fontId="46" fillId="0" borderId="22" xfId="0" applyFont="1" applyFill="1" applyBorder="1" applyAlignment="1">
      <alignment horizontal="right" vertical="center" shrinkToFit="1"/>
    </xf>
    <xf numFmtId="177" fontId="50" fillId="0" borderId="19" xfId="0" applyNumberFormat="1" applyFont="1" applyFill="1" applyBorder="1" applyAlignment="1">
      <alignment horizontal="right" vertical="center" shrinkToFit="1"/>
    </xf>
    <xf numFmtId="0" fontId="50" fillId="0" borderId="19" xfId="0" applyNumberFormat="1" applyFont="1" applyFill="1" applyBorder="1" applyAlignment="1">
      <alignment horizontal="right" vertical="center" shrinkToFit="1"/>
    </xf>
    <xf numFmtId="0" fontId="50" fillId="0" borderId="22" xfId="0" applyNumberFormat="1" applyFont="1" applyFill="1" applyBorder="1" applyAlignment="1">
      <alignment horizontal="right" vertical="center" shrinkToFit="1"/>
    </xf>
    <xf numFmtId="0" fontId="48" fillId="0" borderId="22" xfId="0" applyNumberFormat="1" applyFont="1" applyFill="1" applyBorder="1" applyAlignment="1">
      <alignment horizontal="right" vertical="center" shrinkToFit="1"/>
    </xf>
    <xf numFmtId="0" fontId="48" fillId="0" borderId="19" xfId="0" applyNumberFormat="1" applyFont="1" applyFill="1" applyBorder="1" applyAlignment="1">
      <alignment horizontal="right" vertical="center" shrinkToFit="1"/>
    </xf>
    <xf numFmtId="38" fontId="50" fillId="0" borderId="21" xfId="1" applyFont="1" applyBorder="1" applyAlignment="1">
      <alignment vertical="center" shrinkToFit="1"/>
    </xf>
    <xf numFmtId="38" fontId="50" fillId="0" borderId="19" xfId="1" applyFont="1" applyBorder="1" applyAlignment="1">
      <alignment vertical="center" shrinkToFit="1"/>
    </xf>
    <xf numFmtId="176" fontId="48" fillId="0" borderId="19" xfId="1" applyNumberFormat="1" applyFont="1" applyBorder="1" applyAlignment="1">
      <alignment horizontal="right" vertical="center" shrinkToFit="1"/>
    </xf>
    <xf numFmtId="38" fontId="49" fillId="0" borderId="21" xfId="1" applyFont="1" applyBorder="1" applyAlignment="1">
      <alignment vertical="center" shrinkToFit="1"/>
    </xf>
    <xf numFmtId="38" fontId="49" fillId="0" borderId="19" xfId="1" applyFont="1" applyBorder="1" applyAlignment="1">
      <alignment vertical="center" shrinkToFit="1"/>
    </xf>
    <xf numFmtId="177" fontId="49" fillId="3" borderId="19" xfId="0" applyNumberFormat="1" applyFont="1" applyFill="1" applyBorder="1" applyAlignment="1">
      <alignment horizontal="right" vertical="center" shrinkToFit="1"/>
    </xf>
    <xf numFmtId="0" fontId="49" fillId="3" borderId="19" xfId="0" applyNumberFormat="1" applyFont="1" applyFill="1" applyBorder="1" applyAlignment="1">
      <alignment horizontal="right" vertical="center" shrinkToFit="1"/>
    </xf>
    <xf numFmtId="0" fontId="49" fillId="3" borderId="22" xfId="0" applyNumberFormat="1" applyFont="1" applyFill="1" applyBorder="1" applyAlignment="1">
      <alignment horizontal="right" vertical="center" shrinkToFit="1"/>
    </xf>
    <xf numFmtId="0" fontId="48" fillId="0" borderId="24" xfId="0" applyFont="1" applyBorder="1" applyAlignment="1">
      <alignment horizontal="center" vertical="center" shrinkToFit="1"/>
    </xf>
    <xf numFmtId="38" fontId="48" fillId="0" borderId="25" xfId="1" applyFont="1" applyBorder="1" applyAlignment="1">
      <alignment vertical="center" shrinkToFit="1"/>
    </xf>
    <xf numFmtId="38" fontId="48" fillId="0" borderId="25" xfId="1" applyFont="1" applyBorder="1" applyAlignment="1">
      <alignment horizontal="right" vertical="center" shrinkToFit="1"/>
    </xf>
    <xf numFmtId="0" fontId="50" fillId="0" borderId="24" xfId="0" applyFont="1" applyBorder="1" applyAlignment="1">
      <alignment horizontal="center" vertical="center" shrinkToFit="1"/>
    </xf>
    <xf numFmtId="38" fontId="47" fillId="0" borderId="28" xfId="0" applyNumberFormat="1" applyFont="1" applyBorder="1" applyAlignment="1">
      <alignment horizontal="right" vertical="center" shrinkToFit="1"/>
    </xf>
    <xf numFmtId="38" fontId="48" fillId="0" borderId="25" xfId="1" applyNumberFormat="1" applyFont="1" applyBorder="1" applyAlignment="1">
      <alignment horizontal="right" vertical="center" shrinkToFit="1"/>
    </xf>
    <xf numFmtId="0" fontId="47" fillId="0" borderId="28" xfId="0" applyFont="1" applyBorder="1" applyAlignment="1">
      <alignment horizontal="right" vertical="center" shrinkToFit="1"/>
    </xf>
    <xf numFmtId="38" fontId="49" fillId="0" borderId="25" xfId="1" applyFont="1" applyBorder="1" applyAlignment="1">
      <alignment horizontal="right" vertical="center" shrinkToFit="1"/>
    </xf>
    <xf numFmtId="178" fontId="48" fillId="0" borderId="25" xfId="1" applyNumberFormat="1" applyFont="1" applyBorder="1" applyAlignment="1">
      <alignment horizontal="right" vertical="center" shrinkToFit="1"/>
    </xf>
    <xf numFmtId="179" fontId="48" fillId="3" borderId="25" xfId="0" applyNumberFormat="1" applyFont="1" applyFill="1" applyBorder="1" applyAlignment="1">
      <alignment horizontal="right" vertical="center" shrinkToFit="1"/>
    </xf>
    <xf numFmtId="0" fontId="48" fillId="3" borderId="25" xfId="0" applyNumberFormat="1" applyFont="1" applyFill="1" applyBorder="1" applyAlignment="1">
      <alignment horizontal="right" vertical="center" shrinkToFit="1"/>
    </xf>
    <xf numFmtId="0" fontId="49" fillId="3" borderId="28" xfId="0" applyNumberFormat="1" applyFont="1" applyFill="1" applyBorder="1" applyAlignment="1">
      <alignment horizontal="right" vertical="center" shrinkToFit="1"/>
    </xf>
    <xf numFmtId="0" fontId="49" fillId="3" borderId="25" xfId="0" applyNumberFormat="1" applyFont="1" applyFill="1" applyBorder="1" applyAlignment="1">
      <alignment horizontal="right" vertical="center" shrinkToFit="1"/>
    </xf>
    <xf numFmtId="38" fontId="46" fillId="6" borderId="18" xfId="0" applyNumberFormat="1" applyFont="1" applyFill="1" applyBorder="1" applyAlignment="1">
      <alignment horizontal="right" vertical="center" shrinkToFit="1"/>
    </xf>
    <xf numFmtId="38" fontId="46" fillId="6" borderId="19" xfId="0" applyNumberFormat="1" applyFont="1" applyFill="1" applyBorder="1" applyAlignment="1">
      <alignment horizontal="right" vertical="center" shrinkToFit="1"/>
    </xf>
    <xf numFmtId="38" fontId="46" fillId="6" borderId="22" xfId="1" applyFont="1" applyFill="1" applyBorder="1" applyAlignment="1">
      <alignment horizontal="right" vertical="center" shrinkToFit="1"/>
    </xf>
    <xf numFmtId="3" fontId="46" fillId="6" borderId="19" xfId="0" applyNumberFormat="1" applyFont="1" applyFill="1" applyBorder="1" applyAlignment="1">
      <alignment horizontal="right" vertical="center" shrinkToFit="1"/>
    </xf>
    <xf numFmtId="38" fontId="47" fillId="6" borderId="18" xfId="0" applyNumberFormat="1" applyFont="1" applyFill="1" applyBorder="1" applyAlignment="1">
      <alignment horizontal="right" vertical="center" shrinkToFit="1"/>
    </xf>
    <xf numFmtId="38" fontId="47" fillId="6" borderId="19" xfId="0" applyNumberFormat="1" applyFont="1" applyFill="1" applyBorder="1" applyAlignment="1">
      <alignment horizontal="right" vertical="center" shrinkToFit="1"/>
    </xf>
    <xf numFmtId="3" fontId="47" fillId="6" borderId="19" xfId="0" applyNumberFormat="1" applyFont="1" applyFill="1" applyBorder="1" applyAlignment="1">
      <alignment horizontal="right" vertical="center" shrinkToFit="1"/>
    </xf>
    <xf numFmtId="38" fontId="48" fillId="6" borderId="18" xfId="0" applyNumberFormat="1" applyFont="1" applyFill="1" applyBorder="1" applyAlignment="1">
      <alignment horizontal="right" vertical="center" shrinkToFit="1"/>
    </xf>
    <xf numFmtId="38" fontId="48" fillId="6" borderId="19" xfId="0" applyNumberFormat="1" applyFont="1" applyFill="1" applyBorder="1" applyAlignment="1">
      <alignment horizontal="right" vertical="center" shrinkToFit="1"/>
    </xf>
    <xf numFmtId="38" fontId="49" fillId="6" borderId="18" xfId="0" applyNumberFormat="1" applyFont="1" applyFill="1" applyBorder="1" applyAlignment="1">
      <alignment horizontal="right" vertical="center" shrinkToFit="1"/>
    </xf>
    <xf numFmtId="38" fontId="49" fillId="6" borderId="19" xfId="0" applyNumberFormat="1" applyFont="1" applyFill="1" applyBorder="1" applyAlignment="1">
      <alignment horizontal="right" vertical="center" shrinkToFit="1"/>
    </xf>
    <xf numFmtId="38" fontId="48" fillId="6" borderId="33" xfId="0" applyNumberFormat="1" applyFont="1" applyFill="1" applyBorder="1" applyAlignment="1">
      <alignment horizontal="right" vertical="center" shrinkToFit="1"/>
    </xf>
    <xf numFmtId="38" fontId="48" fillId="6" borderId="25" xfId="0" applyNumberFormat="1" applyFont="1" applyFill="1" applyBorder="1" applyAlignment="1">
      <alignment horizontal="right" vertical="center" shrinkToFit="1"/>
    </xf>
    <xf numFmtId="3" fontId="47" fillId="6" borderId="25" xfId="0" applyNumberFormat="1" applyFont="1" applyFill="1" applyBorder="1" applyAlignment="1">
      <alignment horizontal="right" vertical="center" shrinkToFit="1"/>
    </xf>
    <xf numFmtId="38" fontId="47" fillId="6" borderId="25" xfId="0" applyNumberFormat="1" applyFont="1" applyFill="1" applyBorder="1" applyAlignment="1">
      <alignment horizontal="right" vertical="center" shrinkToFit="1"/>
    </xf>
    <xf numFmtId="0" fontId="46" fillId="0" borderId="18" xfId="0" applyFont="1" applyBorder="1" applyAlignment="1">
      <alignment horizontal="right" vertical="center" shrinkToFit="1"/>
    </xf>
    <xf numFmtId="38" fontId="48" fillId="0" borderId="22" xfId="1" applyFont="1" applyBorder="1" applyAlignment="1">
      <alignment horizontal="right" vertical="center" shrinkToFit="1"/>
    </xf>
    <xf numFmtId="0" fontId="50" fillId="3" borderId="21" xfId="0" applyNumberFormat="1" applyFont="1" applyFill="1" applyBorder="1" applyAlignment="1">
      <alignment horizontal="right" vertical="center" shrinkToFit="1"/>
    </xf>
    <xf numFmtId="38" fontId="48" fillId="0" borderId="18" xfId="1" applyFont="1" applyBorder="1" applyAlignment="1">
      <alignment vertical="center" shrinkToFit="1"/>
    </xf>
    <xf numFmtId="0" fontId="48" fillId="3" borderId="21" xfId="0" applyNumberFormat="1" applyFont="1" applyFill="1" applyBorder="1" applyAlignment="1">
      <alignment horizontal="right" vertical="center" shrinkToFit="1"/>
    </xf>
    <xf numFmtId="38" fontId="50" fillId="0" borderId="18" xfId="1" applyFont="1" applyFill="1" applyBorder="1" applyAlignment="1">
      <alignment vertical="center" shrinkToFit="1"/>
    </xf>
    <xf numFmtId="0" fontId="50" fillId="0" borderId="21" xfId="0" applyNumberFormat="1" applyFont="1" applyFill="1" applyBorder="1" applyAlignment="1">
      <alignment horizontal="right" vertical="center" shrinkToFit="1"/>
    </xf>
    <xf numFmtId="38" fontId="50" fillId="0" borderId="18" xfId="1" applyFont="1" applyBorder="1" applyAlignment="1">
      <alignment vertical="center" shrinkToFit="1"/>
    </xf>
    <xf numFmtId="38" fontId="50" fillId="0" borderId="26" xfId="1" applyFont="1" applyBorder="1" applyAlignment="1">
      <alignment vertical="center" shrinkToFit="1"/>
    </xf>
    <xf numFmtId="38" fontId="50" fillId="0" borderId="32" xfId="1" applyFont="1" applyBorder="1" applyAlignment="1">
      <alignment vertical="center" shrinkToFit="1"/>
    </xf>
    <xf numFmtId="176" fontId="46" fillId="0" borderId="28" xfId="0" applyNumberFormat="1" applyFont="1" applyBorder="1" applyAlignment="1">
      <alignment horizontal="right" vertical="center" shrinkToFit="1"/>
    </xf>
    <xf numFmtId="176" fontId="50" fillId="0" borderId="25" xfId="1" applyNumberFormat="1" applyFont="1" applyBorder="1" applyAlignment="1">
      <alignment horizontal="right" vertical="center" shrinkToFit="1"/>
    </xf>
    <xf numFmtId="0" fontId="47" fillId="3" borderId="32" xfId="0" applyNumberFormat="1" applyFont="1" applyFill="1" applyBorder="1" applyAlignment="1">
      <alignment horizontal="right" vertical="center" shrinkToFit="1"/>
    </xf>
    <xf numFmtId="0" fontId="48" fillId="3" borderId="44" xfId="0" applyNumberFormat="1" applyFont="1" applyFill="1" applyBorder="1" applyAlignment="1">
      <alignment horizontal="right" vertical="center" shrinkToFit="1"/>
    </xf>
    <xf numFmtId="38" fontId="46" fillId="5" borderId="22" xfId="1" applyFont="1" applyFill="1" applyBorder="1" applyAlignment="1">
      <alignment horizontal="right" vertical="center" shrinkToFit="1"/>
    </xf>
    <xf numFmtId="38" fontId="46" fillId="5" borderId="28" xfId="1" applyFont="1" applyFill="1" applyBorder="1" applyAlignment="1">
      <alignment horizontal="right" vertical="center" shrinkToFit="1"/>
    </xf>
    <xf numFmtId="176" fontId="41" fillId="0" borderId="0" xfId="0" applyNumberFormat="1" applyFont="1" applyAlignment="1">
      <alignment vertical="center"/>
    </xf>
    <xf numFmtId="38" fontId="38" fillId="0" borderId="0" xfId="0" applyNumberFormat="1" applyFont="1" applyAlignment="1">
      <alignment vertical="center"/>
    </xf>
    <xf numFmtId="0" fontId="0" fillId="0" borderId="0" xfId="0" applyFont="1"/>
    <xf numFmtId="0" fontId="0" fillId="8" borderId="19" xfId="0" applyFont="1" applyFill="1" applyBorder="1"/>
    <xf numFmtId="0" fontId="0" fillId="11" borderId="19" xfId="0" applyFont="1" applyFill="1" applyBorder="1"/>
    <xf numFmtId="0" fontId="0" fillId="9" borderId="19" xfId="0" applyFont="1" applyFill="1" applyBorder="1"/>
    <xf numFmtId="0" fontId="0" fillId="0" borderId="19" xfId="0" applyFont="1" applyBorder="1"/>
    <xf numFmtId="0" fontId="0" fillId="10" borderId="19" xfId="0" applyFont="1" applyFill="1" applyBorder="1"/>
    <xf numFmtId="181" fontId="33" fillId="0" borderId="48" xfId="0" applyNumberFormat="1" applyFont="1" applyFill="1" applyBorder="1" applyAlignment="1">
      <alignment horizontal="right" vertical="center"/>
    </xf>
    <xf numFmtId="180" fontId="31" fillId="0" borderId="46" xfId="0" applyNumberFormat="1" applyFont="1" applyFill="1" applyBorder="1" applyAlignment="1">
      <alignment horizontal="right" vertical="center"/>
    </xf>
    <xf numFmtId="180" fontId="33" fillId="0" borderId="26" xfId="0" applyNumberFormat="1" applyFont="1" applyFill="1" applyBorder="1" applyAlignment="1">
      <alignment horizontal="right" vertical="center"/>
    </xf>
    <xf numFmtId="181" fontId="33" fillId="0" borderId="26" xfId="0" applyNumberFormat="1" applyFont="1" applyFill="1" applyBorder="1" applyAlignment="1">
      <alignment horizontal="right" vertical="center"/>
    </xf>
    <xf numFmtId="180" fontId="31" fillId="0" borderId="47" xfId="0" applyNumberFormat="1" applyFont="1" applyFill="1" applyBorder="1" applyAlignment="1">
      <alignment horizontal="right" vertical="center"/>
    </xf>
    <xf numFmtId="180" fontId="31" fillId="4" borderId="19" xfId="0" applyNumberFormat="1" applyFont="1" applyFill="1" applyBorder="1" applyAlignment="1">
      <alignment horizontal="right" vertical="center"/>
    </xf>
    <xf numFmtId="180" fontId="31" fillId="4" borderId="20" xfId="0" applyNumberFormat="1" applyFont="1" applyFill="1" applyBorder="1" applyAlignment="1">
      <alignment horizontal="right" vertical="center"/>
    </xf>
    <xf numFmtId="180" fontId="31" fillId="4" borderId="22" xfId="0" applyNumberFormat="1" applyFont="1" applyFill="1" applyBorder="1" applyAlignment="1">
      <alignment horizontal="right" vertical="center"/>
    </xf>
    <xf numFmtId="0" fontId="35" fillId="0" borderId="49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55" fontId="0" fillId="4" borderId="21" xfId="0" applyNumberFormat="1" applyFill="1" applyBorder="1" applyAlignment="1">
      <alignment horizontal="center" vertical="center"/>
    </xf>
    <xf numFmtId="55" fontId="0" fillId="0" borderId="43" xfId="0" applyNumberFormat="1" applyFill="1" applyBorder="1" applyAlignment="1">
      <alignment horizontal="center" vertical="center"/>
    </xf>
    <xf numFmtId="55" fontId="0" fillId="0" borderId="14" xfId="0" applyNumberFormat="1" applyFill="1" applyBorder="1" applyAlignment="1">
      <alignment horizontal="center" vertical="center"/>
    </xf>
    <xf numFmtId="180" fontId="31" fillId="0" borderId="12" xfId="0" applyNumberFormat="1" applyFont="1" applyFill="1" applyBorder="1" applyAlignment="1">
      <alignment horizontal="right" vertical="center"/>
    </xf>
    <xf numFmtId="180" fontId="31" fillId="0" borderId="13" xfId="0" applyNumberFormat="1" applyFont="1" applyFill="1" applyBorder="1" applyAlignment="1">
      <alignment horizontal="right" vertical="center"/>
    </xf>
    <xf numFmtId="0" fontId="31" fillId="0" borderId="63" xfId="0" applyFont="1" applyFill="1" applyBorder="1" applyAlignment="1">
      <alignment horizontal="center" vertical="center"/>
    </xf>
    <xf numFmtId="180" fontId="31" fillId="0" borderId="64" xfId="0" applyNumberFormat="1" applyFont="1" applyFill="1" applyBorder="1" applyAlignment="1">
      <alignment horizontal="center" vertical="center"/>
    </xf>
    <xf numFmtId="180" fontId="31" fillId="0" borderId="65" xfId="0" applyNumberFormat="1" applyFont="1" applyFill="1" applyBorder="1" applyAlignment="1">
      <alignment horizontal="center" vertical="center"/>
    </xf>
    <xf numFmtId="180" fontId="31" fillId="0" borderId="66" xfId="0" applyNumberFormat="1" applyFont="1" applyFill="1" applyBorder="1" applyAlignment="1">
      <alignment horizontal="center" vertical="center"/>
    </xf>
    <xf numFmtId="180" fontId="31" fillId="0" borderId="11" xfId="0" applyNumberFormat="1" applyFont="1" applyFill="1" applyBorder="1" applyAlignment="1">
      <alignment horizontal="right" vertical="center"/>
    </xf>
    <xf numFmtId="180" fontId="31" fillId="4" borderId="18" xfId="0" applyNumberFormat="1" applyFont="1" applyFill="1" applyBorder="1" applyAlignment="1">
      <alignment horizontal="right" vertical="center"/>
    </xf>
    <xf numFmtId="55" fontId="0" fillId="0" borderId="0" xfId="0" applyNumberFormat="1" applyFill="1" applyBorder="1" applyAlignment="1">
      <alignment horizontal="center" vertical="center"/>
    </xf>
    <xf numFmtId="9" fontId="31" fillId="0" borderId="0" xfId="2" applyFont="1" applyFill="1" applyBorder="1" applyAlignment="1">
      <alignment horizontal="right" vertical="center"/>
    </xf>
    <xf numFmtId="180" fontId="31" fillId="0" borderId="67" xfId="0" applyNumberFormat="1" applyFont="1" applyFill="1" applyBorder="1" applyAlignment="1">
      <alignment horizontal="center" vertical="center"/>
    </xf>
    <xf numFmtId="180" fontId="31" fillId="0" borderId="62" xfId="0" applyNumberFormat="1" applyFont="1" applyFill="1" applyBorder="1" applyAlignment="1">
      <alignment horizontal="right" vertical="center"/>
    </xf>
    <xf numFmtId="180" fontId="31" fillId="0" borderId="68" xfId="0" applyNumberFormat="1" applyFont="1" applyFill="1" applyBorder="1" applyAlignment="1">
      <alignment horizontal="center" vertical="center"/>
    </xf>
    <xf numFmtId="180" fontId="31" fillId="0" borderId="14" xfId="0" applyNumberFormat="1" applyFont="1" applyFill="1" applyBorder="1" applyAlignment="1">
      <alignment horizontal="right" vertical="center"/>
    </xf>
    <xf numFmtId="180" fontId="31" fillId="4" borderId="21" xfId="0" applyNumberFormat="1" applyFont="1" applyFill="1" applyBorder="1" applyAlignment="1">
      <alignment horizontal="right" vertical="center"/>
    </xf>
    <xf numFmtId="180" fontId="31" fillId="4" borderId="12" xfId="0" applyNumberFormat="1" applyFont="1" applyFill="1" applyBorder="1" applyAlignment="1">
      <alignment horizontal="right" vertical="center"/>
    </xf>
    <xf numFmtId="177" fontId="31" fillId="0" borderId="41" xfId="2" applyNumberFormat="1" applyFont="1" applyFill="1" applyBorder="1" applyAlignment="1">
      <alignment horizontal="right" vertical="center"/>
    </xf>
    <xf numFmtId="177" fontId="31" fillId="0" borderId="59" xfId="2" applyNumberFormat="1" applyFont="1" applyFill="1" applyBorder="1" applyAlignment="1">
      <alignment horizontal="right" vertical="center"/>
    </xf>
    <xf numFmtId="177" fontId="31" fillId="0" borderId="43" xfId="2" applyNumberFormat="1" applyFont="1" applyFill="1" applyBorder="1" applyAlignment="1">
      <alignment horizontal="right" vertical="center"/>
    </xf>
    <xf numFmtId="177" fontId="31" fillId="0" borderId="42" xfId="2" applyNumberFormat="1" applyFont="1" applyFill="1" applyBorder="1" applyAlignment="1">
      <alignment horizontal="right" vertical="center"/>
    </xf>
    <xf numFmtId="0" fontId="0" fillId="0" borderId="19" xfId="0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3" borderId="19" xfId="0" applyFill="1" applyBorder="1"/>
    <xf numFmtId="0" fontId="0" fillId="3" borderId="19" xfId="0" applyFill="1" applyBorder="1" applyAlignment="1">
      <alignment horizontal="right"/>
    </xf>
    <xf numFmtId="0" fontId="0" fillId="3" borderId="19" xfId="0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12" borderId="19" xfId="0" applyFill="1" applyBorder="1"/>
    <xf numFmtId="49" fontId="55" fillId="0" borderId="19" xfId="0" applyNumberFormat="1" applyFont="1" applyBorder="1" applyAlignment="1">
      <alignment vertical="center"/>
    </xf>
    <xf numFmtId="49" fontId="55" fillId="3" borderId="19" xfId="0" applyNumberFormat="1" applyFont="1" applyFill="1" applyBorder="1" applyAlignment="1">
      <alignment vertical="center"/>
    </xf>
    <xf numFmtId="0" fontId="0" fillId="0" borderId="0" xfId="0" applyFill="1"/>
    <xf numFmtId="0" fontId="52" fillId="0" borderId="0" xfId="0" applyFont="1" applyFill="1"/>
    <xf numFmtId="180" fontId="31" fillId="0" borderId="61" xfId="0" applyNumberFormat="1" applyFont="1" applyFill="1" applyBorder="1" applyAlignment="1">
      <alignment horizontal="center" vertical="center"/>
    </xf>
    <xf numFmtId="180" fontId="31" fillId="0" borderId="60" xfId="0" applyNumberFormat="1" applyFont="1" applyFill="1" applyBorder="1" applyAlignment="1">
      <alignment horizontal="center" vertical="center"/>
    </xf>
    <xf numFmtId="180" fontId="31" fillId="0" borderId="52" xfId="0" applyNumberFormat="1" applyFont="1" applyFill="1" applyBorder="1" applyAlignment="1">
      <alignment horizontal="center" vertical="center"/>
    </xf>
    <xf numFmtId="180" fontId="31" fillId="0" borderId="35" xfId="0" applyNumberFormat="1" applyFont="1" applyFill="1" applyBorder="1" applyAlignment="1">
      <alignment horizontal="center" vertical="center"/>
    </xf>
    <xf numFmtId="180" fontId="54" fillId="0" borderId="61" xfId="0" applyNumberFormat="1" applyFont="1" applyFill="1" applyBorder="1" applyAlignment="1">
      <alignment horizontal="center" vertical="center"/>
    </xf>
    <xf numFmtId="180" fontId="54" fillId="0" borderId="60" xfId="0" applyNumberFormat="1" applyFont="1" applyFill="1" applyBorder="1" applyAlignment="1">
      <alignment horizontal="center" vertical="center"/>
    </xf>
    <xf numFmtId="180" fontId="54" fillId="0" borderId="52" xfId="0" applyNumberFormat="1" applyFont="1" applyFill="1" applyBorder="1" applyAlignment="1">
      <alignment horizontal="center" vertical="center"/>
    </xf>
    <xf numFmtId="180" fontId="54" fillId="0" borderId="35" xfId="0" applyNumberFormat="1" applyFont="1" applyFill="1" applyBorder="1" applyAlignment="1">
      <alignment horizontal="center" vertical="center"/>
    </xf>
    <xf numFmtId="180" fontId="54" fillId="0" borderId="52" xfId="0" applyNumberFormat="1" applyFont="1" applyFill="1" applyBorder="1" applyAlignment="1">
      <alignment horizontal="left" vertical="center"/>
    </xf>
    <xf numFmtId="180" fontId="31" fillId="0" borderId="52" xfId="0" applyNumberFormat="1" applyFont="1" applyFill="1" applyBorder="1" applyAlignment="1">
      <alignment horizontal="left" vertical="center"/>
    </xf>
    <xf numFmtId="182" fontId="33" fillId="0" borderId="18" xfId="0" applyNumberFormat="1" applyFont="1" applyFill="1" applyBorder="1" applyAlignment="1">
      <alignment horizontal="right" vertical="center"/>
    </xf>
    <xf numFmtId="182" fontId="33" fillId="0" borderId="38" xfId="0" applyNumberFormat="1" applyFont="1" applyFill="1" applyBorder="1" applyAlignment="1">
      <alignment horizontal="right" vertical="center"/>
    </xf>
    <xf numFmtId="182" fontId="33" fillId="0" borderId="21" xfId="0" applyNumberFormat="1" applyFont="1" applyFill="1" applyBorder="1" applyAlignment="1">
      <alignment horizontal="right" vertical="center"/>
    </xf>
    <xf numFmtId="182" fontId="33" fillId="0" borderId="19" xfId="0" applyNumberFormat="1" applyFont="1" applyFill="1" applyBorder="1" applyAlignment="1">
      <alignment horizontal="right" vertical="center"/>
    </xf>
    <xf numFmtId="180" fontId="52" fillId="0" borderId="19" xfId="0" applyNumberFormat="1" applyFont="1" applyFill="1" applyBorder="1" applyAlignment="1">
      <alignment horizontal="right" vertical="center"/>
    </xf>
    <xf numFmtId="14" fontId="0" fillId="12" borderId="0" xfId="0" applyNumberFormat="1" applyFill="1"/>
    <xf numFmtId="179" fontId="0" fillId="3" borderId="19" xfId="0" applyNumberFormat="1" applyFill="1" applyBorder="1"/>
    <xf numFmtId="178" fontId="33" fillId="0" borderId="19" xfId="1" applyNumberFormat="1" applyFont="1" applyFill="1" applyBorder="1" applyAlignment="1">
      <alignment horizontal="right" vertical="center"/>
    </xf>
    <xf numFmtId="178" fontId="33" fillId="0" borderId="20" xfId="1" applyNumberFormat="1" applyFont="1" applyFill="1" applyBorder="1" applyAlignment="1">
      <alignment horizontal="right" vertical="center"/>
    </xf>
    <xf numFmtId="178" fontId="31" fillId="0" borderId="19" xfId="1" applyNumberFormat="1" applyFont="1" applyFill="1" applyBorder="1" applyAlignment="1">
      <alignment horizontal="right" vertical="center"/>
    </xf>
    <xf numFmtId="178" fontId="31" fillId="0" borderId="20" xfId="1" applyNumberFormat="1" applyFont="1" applyFill="1" applyBorder="1" applyAlignment="1">
      <alignment horizontal="right" vertical="center"/>
    </xf>
    <xf numFmtId="180" fontId="33" fillId="0" borderId="19" xfId="0" applyNumberFormat="1" applyFont="1" applyFill="1" applyBorder="1" applyAlignment="1">
      <alignment vertical="center"/>
    </xf>
    <xf numFmtId="180" fontId="33" fillId="0" borderId="20" xfId="0" applyNumberFormat="1" applyFont="1" applyFill="1" applyBorder="1" applyAlignment="1">
      <alignment vertical="center"/>
    </xf>
    <xf numFmtId="180" fontId="31" fillId="0" borderId="19" xfId="0" applyNumberFormat="1" applyFont="1" applyFill="1" applyBorder="1" applyAlignment="1">
      <alignment vertical="center"/>
    </xf>
    <xf numFmtId="180" fontId="31" fillId="0" borderId="20" xfId="0" applyNumberFormat="1" applyFont="1" applyFill="1" applyBorder="1" applyAlignment="1">
      <alignment vertical="center"/>
    </xf>
    <xf numFmtId="0" fontId="57" fillId="0" borderId="0" xfId="0" applyFont="1" applyFill="1"/>
    <xf numFmtId="14" fontId="0" fillId="0" borderId="0" xfId="0" applyNumberFormat="1"/>
    <xf numFmtId="10" fontId="0" fillId="4" borderId="19" xfId="0" applyNumberFormat="1" applyFill="1" applyBorder="1"/>
    <xf numFmtId="10" fontId="0" fillId="0" borderId="19" xfId="0" applyNumberFormat="1" applyBorder="1"/>
    <xf numFmtId="10" fontId="0" fillId="0" borderId="42" xfId="0" applyNumberFormat="1" applyBorder="1"/>
    <xf numFmtId="180" fontId="31" fillId="0" borderId="41" xfId="0" applyNumberFormat="1" applyFont="1" applyFill="1" applyBorder="1" applyAlignment="1">
      <alignment vertical="center"/>
    </xf>
    <xf numFmtId="180" fontId="31" fillId="0" borderId="42" xfId="0" applyNumberFormat="1" applyFont="1" applyFill="1" applyBorder="1" applyAlignment="1">
      <alignment vertical="center"/>
    </xf>
    <xf numFmtId="0" fontId="0" fillId="4" borderId="19" xfId="0" applyFont="1" applyFill="1" applyBorder="1"/>
    <xf numFmtId="180" fontId="31" fillId="0" borderId="0" xfId="0" applyNumberFormat="1" applyFont="1" applyFill="1" applyBorder="1" applyAlignment="1">
      <alignment horizontal="left" vertical="center"/>
    </xf>
    <xf numFmtId="180" fontId="31" fillId="0" borderId="1" xfId="0" applyNumberFormat="1" applyFont="1" applyFill="1" applyBorder="1" applyAlignment="1">
      <alignment horizontal="center" vertical="center"/>
    </xf>
    <xf numFmtId="180" fontId="31" fillId="0" borderId="1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Border="1"/>
    <xf numFmtId="0" fontId="0" fillId="0" borderId="69" xfId="0" applyBorder="1"/>
    <xf numFmtId="0" fontId="0" fillId="0" borderId="70" xfId="0" applyBorder="1"/>
    <xf numFmtId="0" fontId="0" fillId="0" borderId="70" xfId="0" applyFont="1" applyBorder="1"/>
    <xf numFmtId="0" fontId="0" fillId="0" borderId="71" xfId="0" applyBorder="1"/>
    <xf numFmtId="55" fontId="0" fillId="0" borderId="72" xfId="0" applyNumberFormat="1" applyBorder="1" applyAlignment="1">
      <alignment horizontal="left"/>
    </xf>
    <xf numFmtId="0" fontId="0" fillId="0" borderId="73" xfId="0" applyBorder="1"/>
    <xf numFmtId="0" fontId="0" fillId="0" borderId="72" xfId="0" applyBorder="1"/>
    <xf numFmtId="0" fontId="0" fillId="0" borderId="72" xfId="0" applyBorder="1" applyAlignment="1">
      <alignment horizontal="right"/>
    </xf>
    <xf numFmtId="0" fontId="0" fillId="0" borderId="72" xfId="0" applyFill="1" applyBorder="1" applyAlignment="1">
      <alignment horizontal="right"/>
    </xf>
    <xf numFmtId="0" fontId="0" fillId="0" borderId="74" xfId="0" applyBorder="1"/>
    <xf numFmtId="49" fontId="34" fillId="0" borderId="72" xfId="0" applyNumberFormat="1" applyFont="1" applyBorder="1" applyAlignment="1">
      <alignment vertical="center"/>
    </xf>
    <xf numFmtId="49" fontId="34" fillId="3" borderId="72" xfId="0" applyNumberFormat="1" applyFont="1" applyFill="1" applyBorder="1" applyAlignment="1">
      <alignment vertical="center"/>
    </xf>
    <xf numFmtId="0" fontId="0" fillId="0" borderId="74" xfId="0" applyFill="1" applyBorder="1" applyAlignment="1">
      <alignment horizontal="right"/>
    </xf>
    <xf numFmtId="0" fontId="0" fillId="0" borderId="75" xfId="0" applyBorder="1"/>
    <xf numFmtId="0" fontId="0" fillId="0" borderId="76" xfId="0" applyBorder="1"/>
    <xf numFmtId="0" fontId="0" fillId="0" borderId="76" xfId="0" applyFont="1" applyBorder="1"/>
    <xf numFmtId="0" fontId="0" fillId="0" borderId="77" xfId="0" applyBorder="1"/>
    <xf numFmtId="0" fontId="35" fillId="4" borderId="19" xfId="0" applyFont="1" applyFill="1" applyBorder="1"/>
    <xf numFmtId="0" fontId="35" fillId="8" borderId="19" xfId="0" applyFont="1" applyFill="1" applyBorder="1"/>
    <xf numFmtId="0" fontId="35" fillId="7" borderId="19" xfId="0" applyFont="1" applyFill="1" applyBorder="1"/>
    <xf numFmtId="0" fontId="35" fillId="9" borderId="19" xfId="0" applyFont="1" applyFill="1" applyBorder="1"/>
    <xf numFmtId="0" fontId="35" fillId="10" borderId="19" xfId="0" applyFont="1" applyFill="1" applyBorder="1"/>
    <xf numFmtId="0" fontId="58" fillId="8" borderId="19" xfId="0" applyFont="1" applyFill="1" applyBorder="1"/>
    <xf numFmtId="0" fontId="58" fillId="11" borderId="19" xfId="0" applyFont="1" applyFill="1" applyBorder="1"/>
    <xf numFmtId="0" fontId="58" fillId="9" borderId="19" xfId="0" applyFont="1" applyFill="1" applyBorder="1"/>
    <xf numFmtId="0" fontId="58" fillId="10" borderId="19" xfId="0" applyFont="1" applyFill="1" applyBorder="1"/>
    <xf numFmtId="183" fontId="32" fillId="0" borderId="0" xfId="0" quotePrefix="1" applyNumberFormat="1" applyFont="1" applyFill="1" applyBorder="1" applyAlignment="1">
      <alignment horizontal="right" vertical="center"/>
    </xf>
    <xf numFmtId="0" fontId="33" fillId="0" borderId="35" xfId="0" applyFont="1" applyFill="1" applyBorder="1" applyAlignment="1">
      <alignment horizontal="center" vertical="center"/>
    </xf>
    <xf numFmtId="180" fontId="33" fillId="0" borderId="16" xfId="0" applyNumberFormat="1" applyFont="1" applyFill="1" applyBorder="1" applyAlignment="1">
      <alignment horizontal="right" vertical="center"/>
    </xf>
    <xf numFmtId="180" fontId="33" fillId="0" borderId="15" xfId="0" applyNumberFormat="1" applyFont="1" applyFill="1" applyBorder="1" applyAlignment="1">
      <alignment horizontal="right" vertical="center"/>
    </xf>
    <xf numFmtId="180" fontId="33" fillId="0" borderId="36" xfId="0" applyNumberFormat="1" applyFont="1" applyFill="1" applyBorder="1" applyAlignment="1">
      <alignment horizontal="right" vertical="center"/>
    </xf>
    <xf numFmtId="181" fontId="33" fillId="0" borderId="16" xfId="0" applyNumberFormat="1" applyFont="1" applyFill="1" applyBorder="1" applyAlignment="1">
      <alignment horizontal="right" vertical="center"/>
    </xf>
    <xf numFmtId="181" fontId="33" fillId="0" borderId="15" xfId="0" applyNumberFormat="1" applyFont="1" applyFill="1" applyBorder="1" applyAlignment="1">
      <alignment horizontal="right" vertical="center"/>
    </xf>
    <xf numFmtId="180" fontId="33" fillId="0" borderId="30" xfId="0" applyNumberFormat="1" applyFont="1" applyFill="1" applyBorder="1" applyAlignment="1">
      <alignment horizontal="right" vertical="center"/>
    </xf>
    <xf numFmtId="180" fontId="33" fillId="0" borderId="50" xfId="0" applyNumberFormat="1" applyFont="1" applyFill="1" applyBorder="1" applyAlignment="1">
      <alignment horizontal="right" vertical="center"/>
    </xf>
    <xf numFmtId="180" fontId="33" fillId="0" borderId="49" xfId="0" applyNumberFormat="1" applyFont="1" applyFill="1" applyBorder="1" applyAlignment="1">
      <alignment horizontal="right" vertical="center"/>
    </xf>
    <xf numFmtId="180" fontId="33" fillId="0" borderId="51" xfId="0" applyNumberFormat="1" applyFont="1" applyFill="1" applyBorder="1" applyAlignment="1">
      <alignment horizontal="right" vertical="center"/>
    </xf>
    <xf numFmtId="181" fontId="33" fillId="0" borderId="30" xfId="0" applyNumberFormat="1" applyFont="1" applyFill="1" applyBorder="1" applyAlignment="1">
      <alignment horizontal="right" vertical="center"/>
    </xf>
    <xf numFmtId="181" fontId="33" fillId="0" borderId="50" xfId="0" applyNumberFormat="1" applyFont="1" applyFill="1" applyBorder="1" applyAlignment="1">
      <alignment horizontal="right" vertical="center"/>
    </xf>
    <xf numFmtId="180" fontId="31" fillId="0" borderId="30" xfId="0" applyNumberFormat="1" applyFont="1" applyFill="1" applyBorder="1" applyAlignment="1">
      <alignment horizontal="right" vertical="center"/>
    </xf>
    <xf numFmtId="180" fontId="31" fillId="0" borderId="50" xfId="0" applyNumberFormat="1" applyFont="1" applyFill="1" applyBorder="1" applyAlignment="1">
      <alignment horizontal="right" vertical="center"/>
    </xf>
    <xf numFmtId="180" fontId="31" fillId="0" borderId="49" xfId="0" applyNumberFormat="1" applyFont="1" applyFill="1" applyBorder="1" applyAlignment="1">
      <alignment horizontal="right" vertical="center"/>
    </xf>
    <xf numFmtId="180" fontId="31" fillId="0" borderId="51" xfId="0" applyNumberFormat="1" applyFont="1" applyFill="1" applyBorder="1" applyAlignment="1">
      <alignment horizontal="right" vertical="center"/>
    </xf>
    <xf numFmtId="181" fontId="31" fillId="0" borderId="30" xfId="0" applyNumberFormat="1" applyFont="1" applyFill="1" applyBorder="1" applyAlignment="1">
      <alignment horizontal="right" vertical="center"/>
    </xf>
    <xf numFmtId="181" fontId="31" fillId="0" borderId="50" xfId="0" applyNumberFormat="1" applyFont="1" applyFill="1" applyBorder="1" applyAlignment="1">
      <alignment horizontal="right" vertical="center"/>
    </xf>
    <xf numFmtId="180" fontId="33" fillId="0" borderId="52" xfId="0" applyNumberFormat="1" applyFont="1" applyFill="1" applyBorder="1" applyAlignment="1">
      <alignment horizontal="right" vertical="center"/>
    </xf>
    <xf numFmtId="181" fontId="33" fillId="0" borderId="51" xfId="0" applyNumberFormat="1" applyFont="1" applyFill="1" applyBorder="1" applyAlignment="1">
      <alignment horizontal="right" vertical="center"/>
    </xf>
    <xf numFmtId="181" fontId="31" fillId="0" borderId="51" xfId="0" applyNumberFormat="1" applyFont="1" applyFill="1" applyBorder="1" applyAlignment="1">
      <alignment horizontal="right" vertical="center"/>
    </xf>
    <xf numFmtId="180" fontId="33" fillId="0" borderId="53" xfId="0" applyNumberFormat="1" applyFont="1" applyFill="1" applyBorder="1" applyAlignment="1">
      <alignment horizontal="right" vertical="center"/>
    </xf>
    <xf numFmtId="180" fontId="31" fillId="0" borderId="53" xfId="0" applyNumberFormat="1" applyFont="1" applyFill="1" applyBorder="1" applyAlignment="1">
      <alignment horizontal="right" vertical="center"/>
    </xf>
    <xf numFmtId="180" fontId="31" fillId="0" borderId="45" xfId="0" applyNumberFormat="1" applyFont="1" applyFill="1" applyBorder="1" applyAlignment="1">
      <alignment horizontal="right" vertical="center"/>
    </xf>
    <xf numFmtId="180" fontId="31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31" fillId="0" borderId="15" xfId="0" applyNumberFormat="1" applyFont="1" applyFill="1" applyBorder="1" applyAlignment="1">
      <alignment horizontal="right" vertical="center"/>
    </xf>
    <xf numFmtId="176" fontId="49" fillId="0" borderId="28" xfId="1" applyNumberFormat="1" applyFont="1" applyBorder="1" applyAlignment="1">
      <alignment horizontal="right" vertical="center" shrinkToFit="1"/>
    </xf>
    <xf numFmtId="0" fontId="45" fillId="4" borderId="29" xfId="0" applyFont="1" applyFill="1" applyBorder="1" applyAlignment="1">
      <alignment vertical="center" shrinkToFit="1"/>
    </xf>
    <xf numFmtId="0" fontId="45" fillId="4" borderId="8" xfId="0" applyFont="1" applyFill="1" applyBorder="1" applyAlignment="1">
      <alignment vertical="center" shrinkToFit="1"/>
    </xf>
    <xf numFmtId="0" fontId="45" fillId="4" borderId="9" xfId="0" applyFont="1" applyFill="1" applyBorder="1" applyAlignment="1">
      <alignment vertical="center" shrinkToFit="1"/>
    </xf>
    <xf numFmtId="38" fontId="48" fillId="0" borderId="28" xfId="1" applyNumberFormat="1" applyFont="1" applyBorder="1" applyAlignment="1">
      <alignment horizontal="right" vertical="center" shrinkToFit="1"/>
    </xf>
    <xf numFmtId="38" fontId="49" fillId="0" borderId="28" xfId="1" applyFont="1" applyBorder="1" applyAlignment="1">
      <alignment horizontal="right" vertical="center" shrinkToFit="1"/>
    </xf>
    <xf numFmtId="0" fontId="48" fillId="3" borderId="28" xfId="0" applyNumberFormat="1" applyFont="1" applyFill="1" applyBorder="1" applyAlignment="1">
      <alignment horizontal="right" vertical="center" shrinkToFit="1"/>
    </xf>
    <xf numFmtId="38" fontId="50" fillId="0" borderId="45" xfId="1" applyFont="1" applyBorder="1" applyAlignment="1">
      <alignment vertical="center" shrinkToFit="1"/>
    </xf>
    <xf numFmtId="38" fontId="50" fillId="0" borderId="25" xfId="1" applyFont="1" applyBorder="1" applyAlignment="1">
      <alignment vertical="center" shrinkToFit="1"/>
    </xf>
    <xf numFmtId="176" fontId="49" fillId="0" borderId="25" xfId="1" applyNumberFormat="1" applyFont="1" applyBorder="1" applyAlignment="1">
      <alignment horizontal="right" vertical="center" shrinkToFit="1"/>
    </xf>
    <xf numFmtId="177" fontId="50" fillId="4" borderId="27" xfId="0" applyNumberFormat="1" applyFont="1" applyFill="1" applyBorder="1" applyAlignment="1">
      <alignment vertical="center" shrinkToFit="1"/>
    </xf>
    <xf numFmtId="0" fontId="48" fillId="3" borderId="78" xfId="0" applyNumberFormat="1" applyFont="1" applyFill="1" applyBorder="1" applyAlignment="1">
      <alignment horizontal="right" vertical="center" shrinkToFit="1"/>
    </xf>
    <xf numFmtId="38" fontId="49" fillId="0" borderId="25" xfId="1" applyFont="1" applyFill="1" applyBorder="1" applyAlignment="1">
      <alignment horizontal="right" vertical="center" shrinkToFit="1"/>
    </xf>
    <xf numFmtId="177" fontId="50" fillId="4" borderId="6" xfId="0" applyNumberFormat="1" applyFont="1" applyFill="1" applyBorder="1" applyAlignment="1">
      <alignment vertical="center" shrinkToFit="1"/>
    </xf>
    <xf numFmtId="38" fontId="49" fillId="0" borderId="55" xfId="1" applyFont="1" applyFill="1" applyBorder="1" applyAlignment="1">
      <alignment horizontal="right" vertical="center" shrinkToFit="1"/>
    </xf>
    <xf numFmtId="38" fontId="49" fillId="0" borderId="22" xfId="1" applyFont="1" applyFill="1" applyBorder="1" applyAlignment="1">
      <alignment horizontal="right" vertical="center" shrinkToFit="1"/>
    </xf>
    <xf numFmtId="38" fontId="49" fillId="0" borderId="28" xfId="1" applyFont="1" applyFill="1" applyBorder="1" applyAlignment="1">
      <alignment horizontal="right" vertical="center" shrinkToFit="1"/>
    </xf>
    <xf numFmtId="38" fontId="46" fillId="6" borderId="28" xfId="1" applyFont="1" applyFill="1" applyBorder="1" applyAlignment="1">
      <alignment horizontal="right" vertical="center" shrinkToFit="1"/>
    </xf>
    <xf numFmtId="176" fontId="50" fillId="0" borderId="28" xfId="1" applyNumberFormat="1" applyFont="1" applyBorder="1" applyAlignment="1">
      <alignment horizontal="right" vertical="center" shrinkToFit="1"/>
    </xf>
    <xf numFmtId="38" fontId="48" fillId="0" borderId="28" xfId="1" applyFont="1" applyBorder="1" applyAlignment="1">
      <alignment horizontal="right" vertical="center" shrinkToFit="1"/>
    </xf>
    <xf numFmtId="38" fontId="48" fillId="0" borderId="25" xfId="1" applyFont="1" applyFill="1" applyBorder="1" applyAlignment="1">
      <alignment horizontal="right" vertical="center" shrinkToFit="1"/>
    </xf>
    <xf numFmtId="38" fontId="48" fillId="0" borderId="5" xfId="1" applyFont="1" applyFill="1" applyBorder="1" applyAlignment="1">
      <alignment horizontal="right" vertical="center" shrinkToFit="1"/>
    </xf>
    <xf numFmtId="0" fontId="59" fillId="0" borderId="0" xfId="0" applyFont="1" applyFill="1"/>
    <xf numFmtId="180" fontId="59" fillId="0" borderId="25" xfId="0" applyNumberFormat="1" applyFont="1" applyFill="1" applyBorder="1" applyAlignment="1">
      <alignment horizontal="right" vertical="center"/>
    </xf>
    <xf numFmtId="0" fontId="30" fillId="0" borderId="0" xfId="0" applyFont="1" applyFill="1" applyAlignment="1">
      <alignment horizontal="left" vertical="center" shrinkToFit="1"/>
    </xf>
    <xf numFmtId="0" fontId="45" fillId="4" borderId="29" xfId="0" applyFont="1" applyFill="1" applyBorder="1" applyAlignment="1">
      <alignment horizontal="center" vertical="center" shrinkToFit="1"/>
    </xf>
    <xf numFmtId="0" fontId="45" fillId="4" borderId="8" xfId="0" applyFont="1" applyFill="1" applyBorder="1" applyAlignment="1">
      <alignment horizontal="center" vertical="center" shrinkToFit="1"/>
    </xf>
    <xf numFmtId="0" fontId="45" fillId="4" borderId="9" xfId="0" applyFont="1" applyFill="1" applyBorder="1" applyAlignment="1">
      <alignment horizontal="center" vertical="center" shrinkToFit="1"/>
    </xf>
    <xf numFmtId="0" fontId="53" fillId="2" borderId="1" xfId="0" applyFont="1" applyFill="1" applyBorder="1" applyAlignment="1">
      <alignment horizontal="left" vertical="center"/>
    </xf>
    <xf numFmtId="0" fontId="53" fillId="2" borderId="0" xfId="0" applyFont="1" applyFill="1" applyBorder="1" applyAlignment="1">
      <alignment horizontal="left" vertical="center"/>
    </xf>
    <xf numFmtId="0" fontId="0" fillId="0" borderId="25" xfId="0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horizontal="center" vertical="center"/>
    </xf>
    <xf numFmtId="180" fontId="31" fillId="0" borderId="22" xfId="0" applyNumberFormat="1" applyFont="1" applyFill="1" applyBorder="1" applyAlignment="1">
      <alignment horizontal="center" vertical="center"/>
    </xf>
    <xf numFmtId="180" fontId="31" fillId="0" borderId="18" xfId="0" applyNumberFormat="1" applyFont="1" applyFill="1" applyBorder="1" applyAlignment="1">
      <alignment horizontal="center" vertical="center"/>
    </xf>
    <xf numFmtId="180" fontId="31" fillId="0" borderId="38" xfId="0" applyNumberFormat="1" applyFont="1" applyFill="1" applyBorder="1" applyAlignment="1">
      <alignment horizontal="center" vertical="center"/>
    </xf>
    <xf numFmtId="180" fontId="31" fillId="0" borderId="19" xfId="0" applyNumberFormat="1" applyFont="1" applyFill="1" applyBorder="1" applyAlignment="1">
      <alignment horizontal="center" vertical="center"/>
    </xf>
    <xf numFmtId="0" fontId="31" fillId="0" borderId="34" xfId="0" applyFont="1" applyFill="1" applyBorder="1" applyAlignment="1">
      <alignment horizontal="center" vertical="center" textRotation="255" shrinkToFit="1"/>
    </xf>
    <xf numFmtId="0" fontId="31" fillId="0" borderId="37" xfId="0" applyFont="1" applyFill="1" applyBorder="1" applyAlignment="1">
      <alignment horizontal="center" vertical="center" textRotation="255" shrinkToFit="1"/>
    </xf>
    <xf numFmtId="0" fontId="31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 wrapText="1"/>
    </xf>
    <xf numFmtId="0" fontId="0" fillId="0" borderId="54" xfId="0" applyFont="1" applyFill="1" applyBorder="1" applyAlignment="1">
      <alignment horizontal="center" vertical="center"/>
    </xf>
    <xf numFmtId="180" fontId="31" fillId="0" borderId="57" xfId="0" applyNumberFormat="1" applyFont="1" applyFill="1" applyBorder="1" applyAlignment="1">
      <alignment horizontal="center" vertical="center"/>
    </xf>
    <xf numFmtId="180" fontId="31" fillId="0" borderId="23" xfId="0" applyNumberFormat="1" applyFont="1" applyFill="1" applyBorder="1" applyAlignment="1">
      <alignment horizontal="center" vertical="center"/>
    </xf>
    <xf numFmtId="0" fontId="31" fillId="0" borderId="54" xfId="0" applyFont="1" applyFill="1" applyBorder="1" applyAlignment="1">
      <alignment horizontal="center" vertical="center"/>
    </xf>
    <xf numFmtId="0" fontId="33" fillId="0" borderId="34" xfId="0" applyFont="1" applyFill="1" applyBorder="1" applyAlignment="1">
      <alignment vertical="center" textRotation="255"/>
    </xf>
    <xf numFmtId="0" fontId="33" fillId="0" borderId="37" xfId="0" applyFont="1" applyFill="1" applyBorder="1" applyAlignment="1">
      <alignment vertical="center" textRotation="255"/>
    </xf>
    <xf numFmtId="0" fontId="33" fillId="0" borderId="39" xfId="0" applyFont="1" applyFill="1" applyBorder="1" applyAlignment="1">
      <alignment vertical="center" textRotation="255"/>
    </xf>
    <xf numFmtId="0" fontId="33" fillId="0" borderId="34" xfId="0" applyFont="1" applyFill="1" applyBorder="1" applyAlignment="1">
      <alignment horizontal="center" vertical="center" textRotation="255"/>
    </xf>
    <xf numFmtId="0" fontId="33" fillId="0" borderId="37" xfId="0" applyFont="1" applyFill="1" applyBorder="1" applyAlignment="1">
      <alignment horizontal="center" vertical="center" textRotation="255"/>
    </xf>
    <xf numFmtId="0" fontId="33" fillId="0" borderId="39" xfId="0" applyFont="1" applyFill="1" applyBorder="1" applyAlignment="1">
      <alignment horizontal="center" vertical="center" textRotation="255"/>
    </xf>
    <xf numFmtId="0" fontId="33" fillId="0" borderId="34" xfId="0" applyFont="1" applyFill="1" applyBorder="1" applyAlignment="1">
      <alignment horizontal="center" vertical="center" textRotation="255" shrinkToFit="1"/>
    </xf>
    <xf numFmtId="0" fontId="33" fillId="0" borderId="37" xfId="0" applyFont="1" applyFill="1" applyBorder="1" applyAlignment="1">
      <alignment horizontal="center" vertical="center" textRotation="255" shrinkToFit="1"/>
    </xf>
    <xf numFmtId="0" fontId="33" fillId="0" borderId="39" xfId="0" applyFont="1" applyFill="1" applyBorder="1" applyAlignment="1">
      <alignment horizontal="center" vertical="center" textRotation="255" shrinkToFit="1"/>
    </xf>
    <xf numFmtId="0" fontId="31" fillId="0" borderId="25" xfId="0" applyFont="1" applyFill="1" applyBorder="1" applyAlignment="1">
      <alignment horizontal="center" vertical="center"/>
    </xf>
    <xf numFmtId="180" fontId="31" fillId="0" borderId="20" xfId="0" applyNumberFormat="1" applyFont="1" applyFill="1" applyBorder="1" applyAlignment="1">
      <alignment horizontal="center" vertical="center"/>
    </xf>
  </cellXfs>
  <cellStyles count="29">
    <cellStyle name="パーセント" xfId="2" builtinId="5"/>
    <cellStyle name="桁区切り" xfId="1" builtinId="6"/>
    <cellStyle name="標準" xfId="0" builtinId="0"/>
    <cellStyle name="標準 10" xfId="11"/>
    <cellStyle name="標準 11" xfId="12"/>
    <cellStyle name="標準 12" xfId="13"/>
    <cellStyle name="標準 13" xfId="14"/>
    <cellStyle name="標準 14" xfId="15"/>
    <cellStyle name="標準 15" xfId="16"/>
    <cellStyle name="標準 16" xfId="17"/>
    <cellStyle name="標準 17" xfId="18"/>
    <cellStyle name="標準 18" xfId="19"/>
    <cellStyle name="標準 19" xfId="20"/>
    <cellStyle name="標準 2" xfId="3"/>
    <cellStyle name="標準 20" xfId="21"/>
    <cellStyle name="標準 21" xfId="22"/>
    <cellStyle name="標準 22" xfId="23"/>
    <cellStyle name="標準 23" xfId="24"/>
    <cellStyle name="標準 24" xfId="25"/>
    <cellStyle name="標準 25" xfId="26"/>
    <cellStyle name="標準 26" xfId="27"/>
    <cellStyle name="標準 27" xfId="28"/>
    <cellStyle name="標準 3" xfId="4"/>
    <cellStyle name="標準 4" xfId="5"/>
    <cellStyle name="標準 5" xfId="6"/>
    <cellStyle name="標準 6" xfId="7"/>
    <cellStyle name="標準 7" xfId="8"/>
    <cellStyle name="標準 8" xfId="9"/>
    <cellStyle name="標準 9" xfId="1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4262552"/>
        <c:axId val="314259416"/>
      </c:barChart>
      <c:catAx>
        <c:axId val="31426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59416"/>
        <c:crosses val="autoZero"/>
        <c:auto val="1"/>
        <c:lblAlgn val="ctr"/>
        <c:lblOffset val="100"/>
        <c:noMultiLvlLbl val="0"/>
      </c:catAx>
      <c:valAx>
        <c:axId val="31425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6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4262944"/>
        <c:axId val="314260984"/>
      </c:barChart>
      <c:catAx>
        <c:axId val="31426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60984"/>
        <c:crosses val="autoZero"/>
        <c:auto val="1"/>
        <c:lblAlgn val="ctr"/>
        <c:lblOffset val="100"/>
        <c:noMultiLvlLbl val="0"/>
      </c:catAx>
      <c:valAx>
        <c:axId val="31426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6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59808"/>
        <c:axId val="314255888"/>
      </c:areaChart>
      <c:catAx>
        <c:axId val="314259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55888"/>
        <c:crosses val="autoZero"/>
        <c:auto val="1"/>
        <c:lblAlgn val="ctr"/>
        <c:lblOffset val="100"/>
        <c:noMultiLvlLbl val="0"/>
      </c:catAx>
      <c:valAx>
        <c:axId val="31425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59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57848"/>
        <c:axId val="314256280"/>
      </c:areaChart>
      <c:catAx>
        <c:axId val="31425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56280"/>
        <c:crosses val="autoZero"/>
        <c:auto val="1"/>
        <c:lblAlgn val="ctr"/>
        <c:lblOffset val="100"/>
        <c:noMultiLvlLbl val="0"/>
      </c:catAx>
      <c:valAx>
        <c:axId val="31425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4257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828675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V329"/>
  <sheetViews>
    <sheetView view="pageBreakPreview" topLeftCell="A294" zoomScale="85" zoomScaleNormal="100" zoomScaleSheetLayoutView="85" workbookViewId="0">
      <selection activeCell="U28" sqref="U28"/>
    </sheetView>
  </sheetViews>
  <sheetFormatPr defaultRowHeight="12"/>
  <cols>
    <col min="1" max="1" width="2.75" style="1" customWidth="1"/>
    <col min="2" max="2" width="18.75" style="1" customWidth="1"/>
    <col min="3" max="3" width="10.375" style="1" customWidth="1"/>
    <col min="4" max="6" width="9" style="1"/>
    <col min="7" max="7" width="8.625" style="1" customWidth="1"/>
    <col min="8" max="15" width="9" style="1"/>
    <col min="16" max="16" width="13" style="1" customWidth="1"/>
    <col min="17" max="20" width="7.875" style="1" customWidth="1"/>
    <col min="21" max="256" width="9" style="1"/>
    <col min="257" max="257" width="2.75" style="1" customWidth="1"/>
    <col min="258" max="258" width="18.75" style="1" customWidth="1"/>
    <col min="259" max="262" width="9" style="1"/>
    <col min="263" max="263" width="8.375" style="1" bestFit="1" customWidth="1"/>
    <col min="264" max="512" width="9" style="1"/>
    <col min="513" max="513" width="2.75" style="1" customWidth="1"/>
    <col min="514" max="514" width="18.75" style="1" customWidth="1"/>
    <col min="515" max="518" width="9" style="1"/>
    <col min="519" max="519" width="8.375" style="1" bestFit="1" customWidth="1"/>
    <col min="520" max="768" width="9" style="1"/>
    <col min="769" max="769" width="2.75" style="1" customWidth="1"/>
    <col min="770" max="770" width="18.75" style="1" customWidth="1"/>
    <col min="771" max="774" width="9" style="1"/>
    <col min="775" max="775" width="8.375" style="1" bestFit="1" customWidth="1"/>
    <col min="776" max="1024" width="9" style="1"/>
    <col min="1025" max="1025" width="2.75" style="1" customWidth="1"/>
    <col min="1026" max="1026" width="18.75" style="1" customWidth="1"/>
    <col min="1027" max="1030" width="9" style="1"/>
    <col min="1031" max="1031" width="8.375" style="1" bestFit="1" customWidth="1"/>
    <col min="1032" max="1280" width="9" style="1"/>
    <col min="1281" max="1281" width="2.75" style="1" customWidth="1"/>
    <col min="1282" max="1282" width="18.75" style="1" customWidth="1"/>
    <col min="1283" max="1286" width="9" style="1"/>
    <col min="1287" max="1287" width="8.375" style="1" bestFit="1" customWidth="1"/>
    <col min="1288" max="1536" width="9" style="1"/>
    <col min="1537" max="1537" width="2.75" style="1" customWidth="1"/>
    <col min="1538" max="1538" width="18.75" style="1" customWidth="1"/>
    <col min="1539" max="1542" width="9" style="1"/>
    <col min="1543" max="1543" width="8.375" style="1" bestFit="1" customWidth="1"/>
    <col min="1544" max="1792" width="9" style="1"/>
    <col min="1793" max="1793" width="2.75" style="1" customWidth="1"/>
    <col min="1794" max="1794" width="18.75" style="1" customWidth="1"/>
    <col min="1795" max="1798" width="9" style="1"/>
    <col min="1799" max="1799" width="8.375" style="1" bestFit="1" customWidth="1"/>
    <col min="1800" max="2048" width="9" style="1"/>
    <col min="2049" max="2049" width="2.75" style="1" customWidth="1"/>
    <col min="2050" max="2050" width="18.75" style="1" customWidth="1"/>
    <col min="2051" max="2054" width="9" style="1"/>
    <col min="2055" max="2055" width="8.375" style="1" bestFit="1" customWidth="1"/>
    <col min="2056" max="2304" width="9" style="1"/>
    <col min="2305" max="2305" width="2.75" style="1" customWidth="1"/>
    <col min="2306" max="2306" width="18.75" style="1" customWidth="1"/>
    <col min="2307" max="2310" width="9" style="1"/>
    <col min="2311" max="2311" width="8.375" style="1" bestFit="1" customWidth="1"/>
    <col min="2312" max="2560" width="9" style="1"/>
    <col min="2561" max="2561" width="2.75" style="1" customWidth="1"/>
    <col min="2562" max="2562" width="18.75" style="1" customWidth="1"/>
    <col min="2563" max="2566" width="9" style="1"/>
    <col min="2567" max="2567" width="8.375" style="1" bestFit="1" customWidth="1"/>
    <col min="2568" max="2816" width="9" style="1"/>
    <col min="2817" max="2817" width="2.75" style="1" customWidth="1"/>
    <col min="2818" max="2818" width="18.75" style="1" customWidth="1"/>
    <col min="2819" max="2822" width="9" style="1"/>
    <col min="2823" max="2823" width="8.375" style="1" bestFit="1" customWidth="1"/>
    <col min="2824" max="3072" width="9" style="1"/>
    <col min="3073" max="3073" width="2.75" style="1" customWidth="1"/>
    <col min="3074" max="3074" width="18.75" style="1" customWidth="1"/>
    <col min="3075" max="3078" width="9" style="1"/>
    <col min="3079" max="3079" width="8.375" style="1" bestFit="1" customWidth="1"/>
    <col min="3080" max="3328" width="9" style="1"/>
    <col min="3329" max="3329" width="2.75" style="1" customWidth="1"/>
    <col min="3330" max="3330" width="18.75" style="1" customWidth="1"/>
    <col min="3331" max="3334" width="9" style="1"/>
    <col min="3335" max="3335" width="8.375" style="1" bestFit="1" customWidth="1"/>
    <col min="3336" max="3584" width="9" style="1"/>
    <col min="3585" max="3585" width="2.75" style="1" customWidth="1"/>
    <col min="3586" max="3586" width="18.75" style="1" customWidth="1"/>
    <col min="3587" max="3590" width="9" style="1"/>
    <col min="3591" max="3591" width="8.375" style="1" bestFit="1" customWidth="1"/>
    <col min="3592" max="3840" width="9" style="1"/>
    <col min="3841" max="3841" width="2.75" style="1" customWidth="1"/>
    <col min="3842" max="3842" width="18.75" style="1" customWidth="1"/>
    <col min="3843" max="3846" width="9" style="1"/>
    <col min="3847" max="3847" width="8.375" style="1" bestFit="1" customWidth="1"/>
    <col min="3848" max="4096" width="9" style="1"/>
    <col min="4097" max="4097" width="2.75" style="1" customWidth="1"/>
    <col min="4098" max="4098" width="18.75" style="1" customWidth="1"/>
    <col min="4099" max="4102" width="9" style="1"/>
    <col min="4103" max="4103" width="8.375" style="1" bestFit="1" customWidth="1"/>
    <col min="4104" max="4352" width="9" style="1"/>
    <col min="4353" max="4353" width="2.75" style="1" customWidth="1"/>
    <col min="4354" max="4354" width="18.75" style="1" customWidth="1"/>
    <col min="4355" max="4358" width="9" style="1"/>
    <col min="4359" max="4359" width="8.375" style="1" bestFit="1" customWidth="1"/>
    <col min="4360" max="4608" width="9" style="1"/>
    <col min="4609" max="4609" width="2.75" style="1" customWidth="1"/>
    <col min="4610" max="4610" width="18.75" style="1" customWidth="1"/>
    <col min="4611" max="4614" width="9" style="1"/>
    <col min="4615" max="4615" width="8.375" style="1" bestFit="1" customWidth="1"/>
    <col min="4616" max="4864" width="9" style="1"/>
    <col min="4865" max="4865" width="2.75" style="1" customWidth="1"/>
    <col min="4866" max="4866" width="18.75" style="1" customWidth="1"/>
    <col min="4867" max="4870" width="9" style="1"/>
    <col min="4871" max="4871" width="8.375" style="1" bestFit="1" customWidth="1"/>
    <col min="4872" max="5120" width="9" style="1"/>
    <col min="5121" max="5121" width="2.75" style="1" customWidth="1"/>
    <col min="5122" max="5122" width="18.75" style="1" customWidth="1"/>
    <col min="5123" max="5126" width="9" style="1"/>
    <col min="5127" max="5127" width="8.375" style="1" bestFit="1" customWidth="1"/>
    <col min="5128" max="5376" width="9" style="1"/>
    <col min="5377" max="5377" width="2.75" style="1" customWidth="1"/>
    <col min="5378" max="5378" width="18.75" style="1" customWidth="1"/>
    <col min="5379" max="5382" width="9" style="1"/>
    <col min="5383" max="5383" width="8.375" style="1" bestFit="1" customWidth="1"/>
    <col min="5384" max="5632" width="9" style="1"/>
    <col min="5633" max="5633" width="2.75" style="1" customWidth="1"/>
    <col min="5634" max="5634" width="18.75" style="1" customWidth="1"/>
    <col min="5635" max="5638" width="9" style="1"/>
    <col min="5639" max="5639" width="8.375" style="1" bestFit="1" customWidth="1"/>
    <col min="5640" max="5888" width="9" style="1"/>
    <col min="5889" max="5889" width="2.75" style="1" customWidth="1"/>
    <col min="5890" max="5890" width="18.75" style="1" customWidth="1"/>
    <col min="5891" max="5894" width="9" style="1"/>
    <col min="5895" max="5895" width="8.375" style="1" bestFit="1" customWidth="1"/>
    <col min="5896" max="6144" width="9" style="1"/>
    <col min="6145" max="6145" width="2.75" style="1" customWidth="1"/>
    <col min="6146" max="6146" width="18.75" style="1" customWidth="1"/>
    <col min="6147" max="6150" width="9" style="1"/>
    <col min="6151" max="6151" width="8.375" style="1" bestFit="1" customWidth="1"/>
    <col min="6152" max="6400" width="9" style="1"/>
    <col min="6401" max="6401" width="2.75" style="1" customWidth="1"/>
    <col min="6402" max="6402" width="18.75" style="1" customWidth="1"/>
    <col min="6403" max="6406" width="9" style="1"/>
    <col min="6407" max="6407" width="8.375" style="1" bestFit="1" customWidth="1"/>
    <col min="6408" max="6656" width="9" style="1"/>
    <col min="6657" max="6657" width="2.75" style="1" customWidth="1"/>
    <col min="6658" max="6658" width="18.75" style="1" customWidth="1"/>
    <col min="6659" max="6662" width="9" style="1"/>
    <col min="6663" max="6663" width="8.375" style="1" bestFit="1" customWidth="1"/>
    <col min="6664" max="6912" width="9" style="1"/>
    <col min="6913" max="6913" width="2.75" style="1" customWidth="1"/>
    <col min="6914" max="6914" width="18.75" style="1" customWidth="1"/>
    <col min="6915" max="6918" width="9" style="1"/>
    <col min="6919" max="6919" width="8.375" style="1" bestFit="1" customWidth="1"/>
    <col min="6920" max="7168" width="9" style="1"/>
    <col min="7169" max="7169" width="2.75" style="1" customWidth="1"/>
    <col min="7170" max="7170" width="18.75" style="1" customWidth="1"/>
    <col min="7171" max="7174" width="9" style="1"/>
    <col min="7175" max="7175" width="8.375" style="1" bestFit="1" customWidth="1"/>
    <col min="7176" max="7424" width="9" style="1"/>
    <col min="7425" max="7425" width="2.75" style="1" customWidth="1"/>
    <col min="7426" max="7426" width="18.75" style="1" customWidth="1"/>
    <col min="7427" max="7430" width="9" style="1"/>
    <col min="7431" max="7431" width="8.375" style="1" bestFit="1" customWidth="1"/>
    <col min="7432" max="7680" width="9" style="1"/>
    <col min="7681" max="7681" width="2.75" style="1" customWidth="1"/>
    <col min="7682" max="7682" width="18.75" style="1" customWidth="1"/>
    <col min="7683" max="7686" width="9" style="1"/>
    <col min="7687" max="7687" width="8.375" style="1" bestFit="1" customWidth="1"/>
    <col min="7688" max="7936" width="9" style="1"/>
    <col min="7937" max="7937" width="2.75" style="1" customWidth="1"/>
    <col min="7938" max="7938" width="18.75" style="1" customWidth="1"/>
    <col min="7939" max="7942" width="9" style="1"/>
    <col min="7943" max="7943" width="8.375" style="1" bestFit="1" customWidth="1"/>
    <col min="7944" max="8192" width="9" style="1"/>
    <col min="8193" max="8193" width="2.75" style="1" customWidth="1"/>
    <col min="8194" max="8194" width="18.75" style="1" customWidth="1"/>
    <col min="8195" max="8198" width="9" style="1"/>
    <col min="8199" max="8199" width="8.375" style="1" bestFit="1" customWidth="1"/>
    <col min="8200" max="8448" width="9" style="1"/>
    <col min="8449" max="8449" width="2.75" style="1" customWidth="1"/>
    <col min="8450" max="8450" width="18.75" style="1" customWidth="1"/>
    <col min="8451" max="8454" width="9" style="1"/>
    <col min="8455" max="8455" width="8.375" style="1" bestFit="1" customWidth="1"/>
    <col min="8456" max="8704" width="9" style="1"/>
    <col min="8705" max="8705" width="2.75" style="1" customWidth="1"/>
    <col min="8706" max="8706" width="18.75" style="1" customWidth="1"/>
    <col min="8707" max="8710" width="9" style="1"/>
    <col min="8711" max="8711" width="8.375" style="1" bestFit="1" customWidth="1"/>
    <col min="8712" max="8960" width="9" style="1"/>
    <col min="8961" max="8961" width="2.75" style="1" customWidth="1"/>
    <col min="8962" max="8962" width="18.75" style="1" customWidth="1"/>
    <col min="8963" max="8966" width="9" style="1"/>
    <col min="8967" max="8967" width="8.375" style="1" bestFit="1" customWidth="1"/>
    <col min="8968" max="9216" width="9" style="1"/>
    <col min="9217" max="9217" width="2.75" style="1" customWidth="1"/>
    <col min="9218" max="9218" width="18.75" style="1" customWidth="1"/>
    <col min="9219" max="9222" width="9" style="1"/>
    <col min="9223" max="9223" width="8.375" style="1" bestFit="1" customWidth="1"/>
    <col min="9224" max="9472" width="9" style="1"/>
    <col min="9473" max="9473" width="2.75" style="1" customWidth="1"/>
    <col min="9474" max="9474" width="18.75" style="1" customWidth="1"/>
    <col min="9475" max="9478" width="9" style="1"/>
    <col min="9479" max="9479" width="8.375" style="1" bestFit="1" customWidth="1"/>
    <col min="9480" max="9728" width="9" style="1"/>
    <col min="9729" max="9729" width="2.75" style="1" customWidth="1"/>
    <col min="9730" max="9730" width="18.75" style="1" customWidth="1"/>
    <col min="9731" max="9734" width="9" style="1"/>
    <col min="9735" max="9735" width="8.375" style="1" bestFit="1" customWidth="1"/>
    <col min="9736" max="9984" width="9" style="1"/>
    <col min="9985" max="9985" width="2.75" style="1" customWidth="1"/>
    <col min="9986" max="9986" width="18.75" style="1" customWidth="1"/>
    <col min="9987" max="9990" width="9" style="1"/>
    <col min="9991" max="9991" width="8.375" style="1" bestFit="1" customWidth="1"/>
    <col min="9992" max="10240" width="9" style="1"/>
    <col min="10241" max="10241" width="2.75" style="1" customWidth="1"/>
    <col min="10242" max="10242" width="18.75" style="1" customWidth="1"/>
    <col min="10243" max="10246" width="9" style="1"/>
    <col min="10247" max="10247" width="8.375" style="1" bestFit="1" customWidth="1"/>
    <col min="10248" max="10496" width="9" style="1"/>
    <col min="10497" max="10497" width="2.75" style="1" customWidth="1"/>
    <col min="10498" max="10498" width="18.75" style="1" customWidth="1"/>
    <col min="10499" max="10502" width="9" style="1"/>
    <col min="10503" max="10503" width="8.375" style="1" bestFit="1" customWidth="1"/>
    <col min="10504" max="10752" width="9" style="1"/>
    <col min="10753" max="10753" width="2.75" style="1" customWidth="1"/>
    <col min="10754" max="10754" width="18.75" style="1" customWidth="1"/>
    <col min="10755" max="10758" width="9" style="1"/>
    <col min="10759" max="10759" width="8.375" style="1" bestFit="1" customWidth="1"/>
    <col min="10760" max="11008" width="9" style="1"/>
    <col min="11009" max="11009" width="2.75" style="1" customWidth="1"/>
    <col min="11010" max="11010" width="18.75" style="1" customWidth="1"/>
    <col min="11011" max="11014" width="9" style="1"/>
    <col min="11015" max="11015" width="8.375" style="1" bestFit="1" customWidth="1"/>
    <col min="11016" max="11264" width="9" style="1"/>
    <col min="11265" max="11265" width="2.75" style="1" customWidth="1"/>
    <col min="11266" max="11266" width="18.75" style="1" customWidth="1"/>
    <col min="11267" max="11270" width="9" style="1"/>
    <col min="11271" max="11271" width="8.375" style="1" bestFit="1" customWidth="1"/>
    <col min="11272" max="11520" width="9" style="1"/>
    <col min="11521" max="11521" width="2.75" style="1" customWidth="1"/>
    <col min="11522" max="11522" width="18.75" style="1" customWidth="1"/>
    <col min="11523" max="11526" width="9" style="1"/>
    <col min="11527" max="11527" width="8.375" style="1" bestFit="1" customWidth="1"/>
    <col min="11528" max="11776" width="9" style="1"/>
    <col min="11777" max="11777" width="2.75" style="1" customWidth="1"/>
    <col min="11778" max="11778" width="18.75" style="1" customWidth="1"/>
    <col min="11779" max="11782" width="9" style="1"/>
    <col min="11783" max="11783" width="8.375" style="1" bestFit="1" customWidth="1"/>
    <col min="11784" max="12032" width="9" style="1"/>
    <col min="12033" max="12033" width="2.75" style="1" customWidth="1"/>
    <col min="12034" max="12034" width="18.75" style="1" customWidth="1"/>
    <col min="12035" max="12038" width="9" style="1"/>
    <col min="12039" max="12039" width="8.375" style="1" bestFit="1" customWidth="1"/>
    <col min="12040" max="12288" width="9" style="1"/>
    <col min="12289" max="12289" width="2.75" style="1" customWidth="1"/>
    <col min="12290" max="12290" width="18.75" style="1" customWidth="1"/>
    <col min="12291" max="12294" width="9" style="1"/>
    <col min="12295" max="12295" width="8.375" style="1" bestFit="1" customWidth="1"/>
    <col min="12296" max="12544" width="9" style="1"/>
    <col min="12545" max="12545" width="2.75" style="1" customWidth="1"/>
    <col min="12546" max="12546" width="18.75" style="1" customWidth="1"/>
    <col min="12547" max="12550" width="9" style="1"/>
    <col min="12551" max="12551" width="8.375" style="1" bestFit="1" customWidth="1"/>
    <col min="12552" max="12800" width="9" style="1"/>
    <col min="12801" max="12801" width="2.75" style="1" customWidth="1"/>
    <col min="12802" max="12802" width="18.75" style="1" customWidth="1"/>
    <col min="12803" max="12806" width="9" style="1"/>
    <col min="12807" max="12807" width="8.375" style="1" bestFit="1" customWidth="1"/>
    <col min="12808" max="13056" width="9" style="1"/>
    <col min="13057" max="13057" width="2.75" style="1" customWidth="1"/>
    <col min="13058" max="13058" width="18.75" style="1" customWidth="1"/>
    <col min="13059" max="13062" width="9" style="1"/>
    <col min="13063" max="13063" width="8.375" style="1" bestFit="1" customWidth="1"/>
    <col min="13064" max="13312" width="9" style="1"/>
    <col min="13313" max="13313" width="2.75" style="1" customWidth="1"/>
    <col min="13314" max="13314" width="18.75" style="1" customWidth="1"/>
    <col min="13315" max="13318" width="9" style="1"/>
    <col min="13319" max="13319" width="8.375" style="1" bestFit="1" customWidth="1"/>
    <col min="13320" max="13568" width="9" style="1"/>
    <col min="13569" max="13569" width="2.75" style="1" customWidth="1"/>
    <col min="13570" max="13570" width="18.75" style="1" customWidth="1"/>
    <col min="13571" max="13574" width="9" style="1"/>
    <col min="13575" max="13575" width="8.375" style="1" bestFit="1" customWidth="1"/>
    <col min="13576" max="13824" width="9" style="1"/>
    <col min="13825" max="13825" width="2.75" style="1" customWidth="1"/>
    <col min="13826" max="13826" width="18.75" style="1" customWidth="1"/>
    <col min="13827" max="13830" width="9" style="1"/>
    <col min="13831" max="13831" width="8.375" style="1" bestFit="1" customWidth="1"/>
    <col min="13832" max="14080" width="9" style="1"/>
    <col min="14081" max="14081" width="2.75" style="1" customWidth="1"/>
    <col min="14082" max="14082" width="18.75" style="1" customWidth="1"/>
    <col min="14083" max="14086" width="9" style="1"/>
    <col min="14087" max="14087" width="8.375" style="1" bestFit="1" customWidth="1"/>
    <col min="14088" max="14336" width="9" style="1"/>
    <col min="14337" max="14337" width="2.75" style="1" customWidth="1"/>
    <col min="14338" max="14338" width="18.75" style="1" customWidth="1"/>
    <col min="14339" max="14342" width="9" style="1"/>
    <col min="14343" max="14343" width="8.375" style="1" bestFit="1" customWidth="1"/>
    <col min="14344" max="14592" width="9" style="1"/>
    <col min="14593" max="14593" width="2.75" style="1" customWidth="1"/>
    <col min="14594" max="14594" width="18.75" style="1" customWidth="1"/>
    <col min="14595" max="14598" width="9" style="1"/>
    <col min="14599" max="14599" width="8.375" style="1" bestFit="1" customWidth="1"/>
    <col min="14600" max="14848" width="9" style="1"/>
    <col min="14849" max="14849" width="2.75" style="1" customWidth="1"/>
    <col min="14850" max="14850" width="18.75" style="1" customWidth="1"/>
    <col min="14851" max="14854" width="9" style="1"/>
    <col min="14855" max="14855" width="8.375" style="1" bestFit="1" customWidth="1"/>
    <col min="14856" max="15104" width="9" style="1"/>
    <col min="15105" max="15105" width="2.75" style="1" customWidth="1"/>
    <col min="15106" max="15106" width="18.75" style="1" customWidth="1"/>
    <col min="15107" max="15110" width="9" style="1"/>
    <col min="15111" max="15111" width="8.375" style="1" bestFit="1" customWidth="1"/>
    <col min="15112" max="15360" width="9" style="1"/>
    <col min="15361" max="15361" width="2.75" style="1" customWidth="1"/>
    <col min="15362" max="15362" width="18.75" style="1" customWidth="1"/>
    <col min="15363" max="15366" width="9" style="1"/>
    <col min="15367" max="15367" width="8.375" style="1" bestFit="1" customWidth="1"/>
    <col min="15368" max="15616" width="9" style="1"/>
    <col min="15617" max="15617" width="2.75" style="1" customWidth="1"/>
    <col min="15618" max="15618" width="18.75" style="1" customWidth="1"/>
    <col min="15619" max="15622" width="9" style="1"/>
    <col min="15623" max="15623" width="8.375" style="1" bestFit="1" customWidth="1"/>
    <col min="15624" max="15872" width="9" style="1"/>
    <col min="15873" max="15873" width="2.75" style="1" customWidth="1"/>
    <col min="15874" max="15874" width="18.75" style="1" customWidth="1"/>
    <col min="15875" max="15878" width="9" style="1"/>
    <col min="15879" max="15879" width="8.375" style="1" bestFit="1" customWidth="1"/>
    <col min="15880" max="16128" width="9" style="1"/>
    <col min="16129" max="16129" width="2.75" style="1" customWidth="1"/>
    <col min="16130" max="16130" width="18.75" style="1" customWidth="1"/>
    <col min="16131" max="16134" width="9" style="1"/>
    <col min="16135" max="16135" width="8.375" style="1" bestFit="1" customWidth="1"/>
    <col min="16136" max="16384" width="9" style="1"/>
  </cols>
  <sheetData>
    <row r="1" spans="1:22" ht="12" customHeight="1">
      <c r="A1" s="1" t="s">
        <v>249</v>
      </c>
      <c r="N1" s="6"/>
    </row>
    <row r="2" spans="1:22" s="2" customFormat="1" ht="6.75" customHeight="1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</row>
    <row r="3" spans="1:22" ht="12" customHeight="1"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3"/>
      <c r="R3" s="3"/>
      <c r="S3" s="3"/>
      <c r="T3" s="3"/>
      <c r="U3" s="3"/>
      <c r="V3" s="3"/>
    </row>
    <row r="4" spans="1:22" ht="12" customHeight="1">
      <c r="A4" s="2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t="s">
        <v>97</v>
      </c>
    </row>
    <row r="5" spans="1:22" ht="9.75" customHeight="1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22" ht="12" customHeight="1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22" ht="15.75" customHeight="1">
      <c r="B7" s="461" t="s">
        <v>25</v>
      </c>
      <c r="C7" s="461"/>
      <c r="D7" s="461"/>
      <c r="E7" s="461"/>
      <c r="F7" s="461"/>
      <c r="G7" s="461"/>
      <c r="H7" s="461"/>
      <c r="I7" s="461"/>
      <c r="J7" s="461"/>
      <c r="K7" s="461"/>
      <c r="L7" s="12"/>
      <c r="M7" s="12"/>
      <c r="N7" s="12"/>
    </row>
    <row r="8" spans="1:22" ht="12" customHeight="1">
      <c r="B8" s="1" t="s">
        <v>242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22" ht="12" customHeight="1"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2" ht="12" customHeight="1"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</row>
    <row r="11" spans="1:22" ht="12" customHeight="1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22" ht="12" customHeight="1">
      <c r="B12" s="380"/>
      <c r="C12" s="10"/>
      <c r="D12" s="10"/>
      <c r="E12" s="10"/>
      <c r="F12" s="10"/>
      <c r="G12" s="377"/>
      <c r="H12" s="10"/>
      <c r="I12" s="377"/>
      <c r="J12" s="10"/>
      <c r="K12" s="10"/>
      <c r="L12" s="10"/>
      <c r="M12" s="10"/>
      <c r="N12" s="10"/>
    </row>
    <row r="13" spans="1:22" ht="12" customHeight="1" thickBot="1">
      <c r="B13" s="381"/>
      <c r="C13" s="378"/>
      <c r="D13" s="378"/>
      <c r="E13" s="378"/>
      <c r="F13" s="378"/>
      <c r="G13" s="379"/>
      <c r="H13" s="378"/>
      <c r="I13" s="379"/>
      <c r="J13" s="378"/>
      <c r="K13" s="378"/>
      <c r="L13" s="378"/>
      <c r="M13" s="378"/>
      <c r="N13" s="378"/>
    </row>
    <row r="14" spans="1:22" ht="12" customHeight="1" thickBot="1">
      <c r="B14" s="381"/>
      <c r="C14" s="378"/>
      <c r="D14" s="378"/>
      <c r="E14" s="378"/>
      <c r="F14" s="378"/>
      <c r="G14" s="379"/>
      <c r="H14" s="378"/>
      <c r="I14" s="379"/>
      <c r="J14" s="378"/>
      <c r="K14" s="378"/>
      <c r="L14" s="378"/>
      <c r="M14" s="378"/>
      <c r="N14" s="378"/>
    </row>
    <row r="15" spans="1:22" ht="12" customHeight="1" thickBot="1">
      <c r="B15" s="381"/>
      <c r="C15" s="378"/>
      <c r="D15" s="378"/>
      <c r="E15" s="378"/>
      <c r="F15" s="378"/>
      <c r="G15" s="379"/>
      <c r="H15" s="378"/>
      <c r="I15" s="379"/>
      <c r="J15" s="378"/>
      <c r="K15" s="378"/>
      <c r="L15" s="378"/>
      <c r="M15" s="378"/>
      <c r="N15" s="378"/>
    </row>
    <row r="16" spans="1:22" ht="12" customHeight="1" thickBot="1">
      <c r="B16" s="381"/>
      <c r="C16" s="378"/>
      <c r="D16" s="378"/>
      <c r="E16" s="378"/>
      <c r="F16" s="378"/>
      <c r="G16" s="379"/>
      <c r="H16" s="378"/>
      <c r="I16" s="379"/>
      <c r="J16" s="378"/>
      <c r="K16" s="378"/>
      <c r="L16" s="378"/>
      <c r="M16" s="378"/>
      <c r="N16" s="378"/>
    </row>
    <row r="17" spans="2:14" ht="12" customHeight="1" thickBot="1">
      <c r="B17" s="381"/>
      <c r="C17" s="378"/>
      <c r="D17" s="378"/>
      <c r="E17" s="378"/>
      <c r="F17" s="378"/>
      <c r="G17" s="379"/>
      <c r="H17" s="378"/>
      <c r="I17" s="379"/>
      <c r="J17" s="378"/>
      <c r="K17" s="378"/>
      <c r="L17" s="378"/>
      <c r="M17" s="378"/>
      <c r="N17" s="378"/>
    </row>
    <row r="18" spans="2:14" ht="12" customHeight="1" thickBot="1">
      <c r="B18" s="381"/>
      <c r="C18" s="378"/>
      <c r="D18" s="378"/>
      <c r="E18" s="378"/>
      <c r="F18" s="378"/>
      <c r="G18" s="379"/>
      <c r="H18" s="378"/>
      <c r="I18" s="379"/>
      <c r="J18" s="378"/>
      <c r="K18" s="378"/>
      <c r="L18" s="378"/>
      <c r="M18" s="378"/>
      <c r="N18" s="378"/>
    </row>
    <row r="19" spans="2:14" ht="12" customHeight="1">
      <c r="B19" s="23" t="s">
        <v>28</v>
      </c>
      <c r="C19" s="346" t="s">
        <v>29</v>
      </c>
      <c r="D19" s="347"/>
      <c r="E19" s="346" t="s">
        <v>30</v>
      </c>
      <c r="F19" s="347"/>
      <c r="G19" s="353" t="s">
        <v>31</v>
      </c>
      <c r="H19" s="347"/>
      <c r="I19" s="353" t="s">
        <v>58</v>
      </c>
      <c r="J19" s="347"/>
      <c r="K19" s="346" t="s">
        <v>57</v>
      </c>
      <c r="L19" s="345"/>
      <c r="M19" s="344" t="s">
        <v>5</v>
      </c>
      <c r="N19" s="345"/>
    </row>
    <row r="20" spans="2:14" ht="12" customHeight="1" thickBot="1">
      <c r="B20" s="314"/>
      <c r="C20" s="315" t="s">
        <v>34</v>
      </c>
      <c r="D20" s="315" t="s">
        <v>35</v>
      </c>
      <c r="E20" s="315" t="s">
        <v>34</v>
      </c>
      <c r="F20" s="315" t="s">
        <v>35</v>
      </c>
      <c r="G20" s="315" t="s">
        <v>34</v>
      </c>
      <c r="H20" s="315" t="s">
        <v>35</v>
      </c>
      <c r="I20" s="315" t="s">
        <v>59</v>
      </c>
      <c r="J20" s="315" t="s">
        <v>60</v>
      </c>
      <c r="K20" s="315" t="s">
        <v>34</v>
      </c>
      <c r="L20" s="316" t="s">
        <v>35</v>
      </c>
      <c r="M20" s="317" t="s">
        <v>34</v>
      </c>
      <c r="N20" s="316" t="s">
        <v>35</v>
      </c>
    </row>
    <row r="21" spans="2:14" ht="12" customHeight="1" thickTop="1">
      <c r="B21" s="311">
        <f>DATE(YEAR(集計用!$B$2)-1,MONTH(集計用!$B$2),DAY(集計用!$B$2))</f>
        <v>43617</v>
      </c>
      <c r="C21" s="312">
        <f>'外国語実績201201-201712'!C96</f>
        <v>2468</v>
      </c>
      <c r="D21" s="312">
        <f>'外国語実績201201-201712'!D96</f>
        <v>4547</v>
      </c>
      <c r="E21" s="312">
        <f>'外国語実績201201-201712'!E96</f>
        <v>282</v>
      </c>
      <c r="F21" s="312">
        <f>'外国語実績201201-201712'!F96</f>
        <v>263</v>
      </c>
      <c r="G21" s="312">
        <f>'外国語実績201201-201712'!G96</f>
        <v>2070</v>
      </c>
      <c r="H21" s="312">
        <f>'外国語実績201201-201712'!H96</f>
        <v>4621</v>
      </c>
      <c r="I21" s="312">
        <f>'外国語実績201201-201712'!I96</f>
        <v>1042</v>
      </c>
      <c r="J21" s="312">
        <f>'外国語実績201201-201712'!J96</f>
        <v>3019</v>
      </c>
      <c r="K21" s="312">
        <f>'外国語実績201201-201712'!K96</f>
        <v>243</v>
      </c>
      <c r="L21" s="313">
        <f>'外国語実績201201-201712'!L96</f>
        <v>615</v>
      </c>
      <c r="M21" s="318">
        <f t="shared" ref="M21:M22" si="0">+C21+E21+G21+I21+K21</f>
        <v>6105</v>
      </c>
      <c r="N21" s="313">
        <f>+D21+F21+H21+J21+L21</f>
        <v>13065</v>
      </c>
    </row>
    <row r="22" spans="2:14" ht="12" customHeight="1">
      <c r="B22" s="309">
        <f>集計用!$B$2</f>
        <v>43983</v>
      </c>
      <c r="C22" s="304">
        <f>'外国語実績201201-201712'!C108</f>
        <v>66</v>
      </c>
      <c r="D22" s="304">
        <f>'外国語実績201201-201712'!D108</f>
        <v>108</v>
      </c>
      <c r="E22" s="304">
        <f>'外国語実績201201-201712'!E108</f>
        <v>4</v>
      </c>
      <c r="F22" s="304">
        <f>'外国語実績201201-201712'!F108</f>
        <v>6</v>
      </c>
      <c r="G22" s="304">
        <f>'外国語実績201201-201712'!G108</f>
        <v>2</v>
      </c>
      <c r="H22" s="304">
        <f>'外国語実績201201-201712'!H108</f>
        <v>2</v>
      </c>
      <c r="I22" s="304">
        <f>'外国語実績201201-201712'!I108</f>
        <v>4</v>
      </c>
      <c r="J22" s="304">
        <f>'外国語実績201201-201712'!J108</f>
        <v>8</v>
      </c>
      <c r="K22" s="304">
        <f>'外国語実績201201-201712'!K108</f>
        <v>0</v>
      </c>
      <c r="L22" s="305">
        <f>'外国語実績201201-201712'!L108</f>
        <v>0</v>
      </c>
      <c r="M22" s="319">
        <f t="shared" si="0"/>
        <v>76</v>
      </c>
      <c r="N22" s="305">
        <f>+D22+F22+H22+J22+L22</f>
        <v>124</v>
      </c>
    </row>
    <row r="23" spans="2:14" ht="12" customHeight="1" thickBot="1">
      <c r="B23" s="310" t="s">
        <v>241</v>
      </c>
      <c r="C23" s="328">
        <f>(C22-C21)/C21</f>
        <v>-0.97325769854132904</v>
      </c>
      <c r="D23" s="328">
        <f t="shared" ref="D23" si="1">(D22-D21)/D21</f>
        <v>-0.97624807565427751</v>
      </c>
      <c r="E23" s="328">
        <f t="shared" ref="E23" si="2">(E22-E21)/E21</f>
        <v>-0.98581560283687941</v>
      </c>
      <c r="F23" s="328">
        <f t="shared" ref="F23" si="3">(F22-F21)/F21</f>
        <v>-0.97718631178707227</v>
      </c>
      <c r="G23" s="328">
        <f t="shared" ref="G23" si="4">(G22-G21)/G21</f>
        <v>-0.99903381642512079</v>
      </c>
      <c r="H23" s="328">
        <f t="shared" ref="H23" si="5">(H22-H21)/H21</f>
        <v>-0.99956719324821464</v>
      </c>
      <c r="I23" s="328">
        <f t="shared" ref="I23" si="6">(I22-I21)/I21</f>
        <v>-0.99616122840690979</v>
      </c>
      <c r="J23" s="328">
        <f t="shared" ref="J23" si="7">(J22-J21)/J21</f>
        <v>-0.99735011593242795</v>
      </c>
      <c r="K23" s="328">
        <f t="shared" ref="K23" si="8">(K22-K21)/K21</f>
        <v>-1</v>
      </c>
      <c r="L23" s="329">
        <f t="shared" ref="L23" si="9">(L22-L21)/L21</f>
        <v>-1</v>
      </c>
      <c r="M23" s="330">
        <f t="shared" ref="M23" si="10">(M22-M21)/M21</f>
        <v>-0.98755118755118754</v>
      </c>
      <c r="N23" s="331">
        <f>(N22-N21)/N21</f>
        <v>-0.99050899349406807</v>
      </c>
    </row>
    <row r="24" spans="2:14" ht="12" customHeight="1" thickBot="1"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2:14" ht="12" customHeight="1">
      <c r="B25" s="22" t="s">
        <v>2</v>
      </c>
      <c r="C25" s="346" t="s">
        <v>29</v>
      </c>
      <c r="D25" s="347"/>
      <c r="E25" s="346" t="s">
        <v>30</v>
      </c>
      <c r="F25" s="347"/>
      <c r="G25" s="353" t="s">
        <v>31</v>
      </c>
      <c r="H25" s="347"/>
      <c r="I25" s="353" t="s">
        <v>58</v>
      </c>
      <c r="J25" s="347"/>
      <c r="K25" s="346" t="s">
        <v>57</v>
      </c>
      <c r="L25" s="345"/>
      <c r="M25" s="344" t="s">
        <v>5</v>
      </c>
      <c r="N25" s="345"/>
    </row>
    <row r="26" spans="2:14" ht="12" customHeight="1" thickBot="1">
      <c r="B26" s="314"/>
      <c r="C26" s="315" t="s">
        <v>34</v>
      </c>
      <c r="D26" s="315" t="s">
        <v>35</v>
      </c>
      <c r="E26" s="315" t="s">
        <v>34</v>
      </c>
      <c r="F26" s="315" t="s">
        <v>35</v>
      </c>
      <c r="G26" s="315" t="s">
        <v>34</v>
      </c>
      <c r="H26" s="315" t="s">
        <v>35</v>
      </c>
      <c r="I26" s="315" t="s">
        <v>59</v>
      </c>
      <c r="J26" s="315" t="s">
        <v>60</v>
      </c>
      <c r="K26" s="315" t="s">
        <v>34</v>
      </c>
      <c r="L26" s="316" t="s">
        <v>35</v>
      </c>
      <c r="M26" s="317" t="s">
        <v>34</v>
      </c>
      <c r="N26" s="316" t="s">
        <v>35</v>
      </c>
    </row>
    <row r="27" spans="2:14" ht="12" customHeight="1" thickTop="1">
      <c r="B27" s="311">
        <f>B21</f>
        <v>43617</v>
      </c>
      <c r="C27" s="312">
        <f>'外国語実績201201-201712'!C208</f>
        <v>0</v>
      </c>
      <c r="D27" s="312">
        <f>'外国語実績201201-201712'!D208</f>
        <v>0</v>
      </c>
      <c r="E27" s="312">
        <f>'外国語実績201201-201712'!E208</f>
        <v>0</v>
      </c>
      <c r="F27" s="312">
        <f>'外国語実績201201-201712'!F208</f>
        <v>0</v>
      </c>
      <c r="G27" s="312">
        <f>'外国語実績201201-201712'!G208</f>
        <v>0</v>
      </c>
      <c r="H27" s="312">
        <f>'外国語実績201201-201712'!H208</f>
        <v>0</v>
      </c>
      <c r="I27" s="312">
        <f>'外国語実績201201-201712'!I208</f>
        <v>0</v>
      </c>
      <c r="J27" s="312">
        <f>'外国語実績201201-201712'!J208</f>
        <v>0</v>
      </c>
      <c r="K27" s="312">
        <f>'外国語実績201201-201712'!K208</f>
        <v>0</v>
      </c>
      <c r="L27" s="313">
        <f>'外国語実績201201-201712'!L208</f>
        <v>0</v>
      </c>
      <c r="M27" s="318">
        <f t="shared" ref="M27:M28" si="11">+C27+E27+G27+I27+K27</f>
        <v>0</v>
      </c>
      <c r="N27" s="313">
        <f>+D27+F27+H27+J27+L27</f>
        <v>0</v>
      </c>
    </row>
    <row r="28" spans="2:14" ht="12" customHeight="1">
      <c r="B28" s="309">
        <f>B22</f>
        <v>43983</v>
      </c>
      <c r="C28" s="304">
        <f>'外国語実績201201-201712'!C220</f>
        <v>0</v>
      </c>
      <c r="D28" s="304">
        <f>'外国語実績201201-201712'!D220</f>
        <v>0</v>
      </c>
      <c r="E28" s="304">
        <f>'外国語実績201201-201712'!E220</f>
        <v>0</v>
      </c>
      <c r="F28" s="304">
        <f>'外国語実績201201-201712'!F220</f>
        <v>0</v>
      </c>
      <c r="G28" s="304">
        <f>'外国語実績201201-201712'!G220</f>
        <v>0</v>
      </c>
      <c r="H28" s="304">
        <f>'外国語実績201201-201712'!H220</f>
        <v>0</v>
      </c>
      <c r="I28" s="304">
        <f>'外国語実績201201-201712'!I220</f>
        <v>0</v>
      </c>
      <c r="J28" s="304">
        <f>'外国語実績201201-201712'!J220</f>
        <v>0</v>
      </c>
      <c r="K28" s="304">
        <f>'外国語実績201201-201712'!K220</f>
        <v>0</v>
      </c>
      <c r="L28" s="305">
        <f>'外国語実績201201-201712'!L220</f>
        <v>0</v>
      </c>
      <c r="M28" s="319">
        <f t="shared" si="11"/>
        <v>0</v>
      </c>
      <c r="N28" s="305">
        <f>+D28+F28+H28+J28+L28</f>
        <v>0</v>
      </c>
    </row>
    <row r="29" spans="2:14" ht="12" customHeight="1" thickBot="1">
      <c r="B29" s="310" t="s">
        <v>241</v>
      </c>
      <c r="C29" s="328" t="e">
        <f>(C28-C27)/C27</f>
        <v>#DIV/0!</v>
      </c>
      <c r="D29" s="328" t="e">
        <f t="shared" ref="D29" si="12">(D28-D27)/D27</f>
        <v>#DIV/0!</v>
      </c>
      <c r="E29" s="328" t="e">
        <f t="shared" ref="E29" si="13">(E28-E27)/E27</f>
        <v>#DIV/0!</v>
      </c>
      <c r="F29" s="328" t="e">
        <f t="shared" ref="F29" si="14">(F28-F27)/F27</f>
        <v>#DIV/0!</v>
      </c>
      <c r="G29" s="328" t="e">
        <f t="shared" ref="G29" si="15">(G28-G27)/G27</f>
        <v>#DIV/0!</v>
      </c>
      <c r="H29" s="328" t="e">
        <f t="shared" ref="H29" si="16">(H28-H27)/H27</f>
        <v>#DIV/0!</v>
      </c>
      <c r="I29" s="328" t="e">
        <f t="shared" ref="I29" si="17">(I28-I27)/I27</f>
        <v>#DIV/0!</v>
      </c>
      <c r="J29" s="328" t="e">
        <f t="shared" ref="J29" si="18">(J28-J27)/J27</f>
        <v>#DIV/0!</v>
      </c>
      <c r="K29" s="328" t="e">
        <f t="shared" ref="K29" si="19">(K28-K27)/K27</f>
        <v>#DIV/0!</v>
      </c>
      <c r="L29" s="329" t="e">
        <f t="shared" ref="L29" si="20">(L28-L27)/L27</f>
        <v>#DIV/0!</v>
      </c>
      <c r="M29" s="330" t="e">
        <f t="shared" ref="M29" si="21">(M28-M27)/M27</f>
        <v>#DIV/0!</v>
      </c>
      <c r="N29" s="331" t="e">
        <f>(N28-N27)/N27</f>
        <v>#DIV/0!</v>
      </c>
    </row>
    <row r="30" spans="2:14" ht="12" customHeight="1" thickBot="1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</row>
    <row r="31" spans="2:14" ht="12" customHeight="1">
      <c r="B31" s="22" t="s">
        <v>44</v>
      </c>
      <c r="C31" s="346" t="s">
        <v>29</v>
      </c>
      <c r="D31" s="347"/>
      <c r="E31" s="346" t="s">
        <v>30</v>
      </c>
      <c r="F31" s="347"/>
      <c r="G31" s="353" t="s">
        <v>31</v>
      </c>
      <c r="H31" s="347"/>
      <c r="I31" s="353" t="s">
        <v>58</v>
      </c>
      <c r="J31" s="347"/>
      <c r="K31" s="346" t="s">
        <v>57</v>
      </c>
      <c r="L31" s="345"/>
      <c r="M31" s="344" t="s">
        <v>5</v>
      </c>
      <c r="N31" s="345"/>
    </row>
    <row r="32" spans="2:14" ht="12" customHeight="1" thickBot="1">
      <c r="B32" s="314" t="s">
        <v>262</v>
      </c>
      <c r="C32" s="315" t="s">
        <v>34</v>
      </c>
      <c r="D32" s="315" t="s">
        <v>35</v>
      </c>
      <c r="E32" s="315" t="s">
        <v>34</v>
      </c>
      <c r="F32" s="315" t="s">
        <v>35</v>
      </c>
      <c r="G32" s="315" t="s">
        <v>34</v>
      </c>
      <c r="H32" s="315" t="s">
        <v>35</v>
      </c>
      <c r="I32" s="315" t="s">
        <v>59</v>
      </c>
      <c r="J32" s="315" t="s">
        <v>60</v>
      </c>
      <c r="K32" s="315" t="s">
        <v>34</v>
      </c>
      <c r="L32" s="322" t="s">
        <v>35</v>
      </c>
      <c r="M32" s="324" t="s">
        <v>34</v>
      </c>
      <c r="N32" s="316" t="s">
        <v>35</v>
      </c>
    </row>
    <row r="33" spans="2:14" ht="12" customHeight="1" thickTop="1">
      <c r="B33" s="311">
        <f>B27</f>
        <v>43617</v>
      </c>
      <c r="C33" s="312">
        <f>'外国語実績201201-201712'!C323</f>
        <v>57</v>
      </c>
      <c r="D33" s="312">
        <f>'外国語実績201201-201712'!D323</f>
        <v>167</v>
      </c>
      <c r="E33" s="312">
        <f>'外国語実績201201-201712'!E323</f>
        <v>1</v>
      </c>
      <c r="F33" s="312">
        <f>'外国語実績201201-201712'!F323</f>
        <v>0</v>
      </c>
      <c r="G33" s="312">
        <f>'外国語実績201201-201712'!G323</f>
        <v>12</v>
      </c>
      <c r="H33" s="312">
        <f>'外国語実績201201-201712'!H323</f>
        <v>18</v>
      </c>
      <c r="I33" s="312">
        <f>'外国語実績201201-201712'!I323</f>
        <v>6</v>
      </c>
      <c r="J33" s="312">
        <f>'外国語実績201201-201712'!J323</f>
        <v>9</v>
      </c>
      <c r="K33" s="312">
        <f>'外国語実績201201-201712'!K323</f>
        <v>6</v>
      </c>
      <c r="L33" s="323">
        <f>'外国語実績201201-201712'!L323</f>
        <v>2</v>
      </c>
      <c r="M33" s="325">
        <f t="shared" ref="M33:M34" si="22">+C33+E33+G33+I33+K33</f>
        <v>82</v>
      </c>
      <c r="N33" s="313">
        <f>+D33+F33+H33+J33+L33</f>
        <v>196</v>
      </c>
    </row>
    <row r="34" spans="2:14" ht="12" customHeight="1">
      <c r="B34" s="309">
        <f>B28</f>
        <v>43983</v>
      </c>
      <c r="C34" s="304">
        <f>'外国語実績201201-201712'!C335</f>
        <v>10</v>
      </c>
      <c r="D34" s="304">
        <f>'外国語実績201201-201712'!D335</f>
        <v>8</v>
      </c>
      <c r="E34" s="304">
        <f>'外国語実績201201-201712'!E335</f>
        <v>0</v>
      </c>
      <c r="F34" s="304">
        <f>'外国語実績201201-201712'!F335</f>
        <v>0</v>
      </c>
      <c r="G34" s="304">
        <f>'外国語実績201201-201712'!G335</f>
        <v>2</v>
      </c>
      <c r="H34" s="304">
        <f>'外国語実績201201-201712'!H335</f>
        <v>2</v>
      </c>
      <c r="I34" s="304">
        <f>'外国語実績201201-201712'!I335</f>
        <v>2</v>
      </c>
      <c r="J34" s="304">
        <f>'外国語実績201201-201712'!J335</f>
        <v>0</v>
      </c>
      <c r="K34" s="304">
        <f>'外国語実績201201-201712'!K335</f>
        <v>0</v>
      </c>
      <c r="L34" s="306">
        <f>'外国語実績201201-201712'!L335</f>
        <v>0</v>
      </c>
      <c r="M34" s="326">
        <f t="shared" si="22"/>
        <v>14</v>
      </c>
      <c r="N34" s="305">
        <f>+D34+F34+H34+J34+L34</f>
        <v>10</v>
      </c>
    </row>
    <row r="35" spans="2:14" ht="12" customHeight="1" thickBot="1">
      <c r="B35" s="310" t="s">
        <v>241</v>
      </c>
      <c r="C35" s="328">
        <f>(C34-C33)/C33</f>
        <v>-0.82456140350877194</v>
      </c>
      <c r="D35" s="328">
        <f t="shared" ref="D35" si="23">(D34-D33)/D33</f>
        <v>-0.95209580838323349</v>
      </c>
      <c r="E35" s="328">
        <f t="shared" ref="E35" si="24">(E34-E33)/E33</f>
        <v>-1</v>
      </c>
      <c r="F35" s="328" t="e">
        <f t="shared" ref="F35" si="25">(F34-F33)/F33</f>
        <v>#DIV/0!</v>
      </c>
      <c r="G35" s="328">
        <f t="shared" ref="G35" si="26">(G34-G33)/G33</f>
        <v>-0.83333333333333337</v>
      </c>
      <c r="H35" s="328">
        <f t="shared" ref="H35" si="27">(H34-H33)/H33</f>
        <v>-0.88888888888888884</v>
      </c>
      <c r="I35" s="328">
        <f t="shared" ref="I35" si="28">(I34-I33)/I33</f>
        <v>-0.66666666666666663</v>
      </c>
      <c r="J35" s="328">
        <f t="shared" ref="J35" si="29">(J34-J33)/J33</f>
        <v>-1</v>
      </c>
      <c r="K35" s="328">
        <f t="shared" ref="K35" si="30">(K34-K33)/K33</f>
        <v>-1</v>
      </c>
      <c r="L35" s="329">
        <f t="shared" ref="L35" si="31">(L34-L33)/L33</f>
        <v>-1</v>
      </c>
      <c r="M35" s="330">
        <f t="shared" ref="M35" si="32">(M34-M33)/M33</f>
        <v>-0.82926829268292679</v>
      </c>
      <c r="N35" s="331">
        <f>(N34-N33)/N33</f>
        <v>-0.94897959183673475</v>
      </c>
    </row>
    <row r="36" spans="2:14" ht="12" customHeight="1" thickBot="1"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2:14" ht="12" customHeight="1">
      <c r="B37" s="22" t="s">
        <v>45</v>
      </c>
      <c r="C37" s="346" t="s">
        <v>29</v>
      </c>
      <c r="D37" s="347"/>
      <c r="E37" s="346" t="s">
        <v>30</v>
      </c>
      <c r="F37" s="347"/>
      <c r="G37" s="353" t="s">
        <v>31</v>
      </c>
      <c r="H37" s="347"/>
      <c r="I37" s="353" t="s">
        <v>58</v>
      </c>
      <c r="J37" s="347"/>
      <c r="K37" s="346" t="s">
        <v>57</v>
      </c>
      <c r="L37" s="345"/>
      <c r="M37" s="344" t="s">
        <v>5</v>
      </c>
      <c r="N37" s="345"/>
    </row>
    <row r="38" spans="2:14" ht="12" customHeight="1" thickBot="1">
      <c r="B38" s="314" t="s">
        <v>263</v>
      </c>
      <c r="C38" s="315" t="s">
        <v>34</v>
      </c>
      <c r="D38" s="315" t="s">
        <v>35</v>
      </c>
      <c r="E38" s="315" t="s">
        <v>34</v>
      </c>
      <c r="F38" s="315" t="s">
        <v>35</v>
      </c>
      <c r="G38" s="315" t="s">
        <v>34</v>
      </c>
      <c r="H38" s="315" t="s">
        <v>35</v>
      </c>
      <c r="I38" s="315" t="s">
        <v>59</v>
      </c>
      <c r="J38" s="315" t="s">
        <v>60</v>
      </c>
      <c r="K38" s="315" t="s">
        <v>34</v>
      </c>
      <c r="L38" s="322" t="s">
        <v>35</v>
      </c>
      <c r="M38" s="324" t="s">
        <v>34</v>
      </c>
      <c r="N38" s="316" t="s">
        <v>35</v>
      </c>
    </row>
    <row r="39" spans="2:14" ht="12" customHeight="1" thickTop="1">
      <c r="B39" s="311">
        <f>B33</f>
        <v>43617</v>
      </c>
      <c r="C39" s="312">
        <f>'外国語実績201201-201712'!C435</f>
        <v>20</v>
      </c>
      <c r="D39" s="312">
        <f>'外国語実績201201-201712'!D435</f>
        <v>26</v>
      </c>
      <c r="E39" s="312">
        <f>'外国語実績201201-201712'!E435</f>
        <v>1</v>
      </c>
      <c r="F39" s="312">
        <f>'外国語実績201201-201712'!F435</f>
        <v>1</v>
      </c>
      <c r="G39" s="312">
        <f>'外国語実績201201-201712'!G435</f>
        <v>5</v>
      </c>
      <c r="H39" s="312">
        <f>'外国語実績201201-201712'!H435</f>
        <v>13</v>
      </c>
      <c r="I39" s="312">
        <f>'外国語実績201201-201712'!I435</f>
        <v>3</v>
      </c>
      <c r="J39" s="312">
        <f>'外国語実績201201-201712'!J435</f>
        <v>10</v>
      </c>
      <c r="K39" s="312">
        <f>'外国語実績201201-201712'!K435</f>
        <v>2</v>
      </c>
      <c r="L39" s="323">
        <f>'外国語実績201201-201712'!L435</f>
        <v>0</v>
      </c>
      <c r="M39" s="325">
        <f t="shared" ref="M39:M40" si="33">+C39+E39+G39+I39+K39</f>
        <v>31</v>
      </c>
      <c r="N39" s="313">
        <f>+D39+F39+H39+J39+L39</f>
        <v>50</v>
      </c>
    </row>
    <row r="40" spans="2:14" ht="12" customHeight="1">
      <c r="B40" s="309">
        <f>B34</f>
        <v>43983</v>
      </c>
      <c r="C40" s="304">
        <f>'外国語実績201201-201712'!C447</f>
        <v>2</v>
      </c>
      <c r="D40" s="304">
        <f>'外国語実績201201-201712'!D447</f>
        <v>2</v>
      </c>
      <c r="E40" s="304">
        <f>'外国語実績201201-201712'!E447</f>
        <v>0</v>
      </c>
      <c r="F40" s="304">
        <f>'外国語実績201201-201712'!F447</f>
        <v>0</v>
      </c>
      <c r="G40" s="304">
        <f>'外国語実績201201-201712'!G447</f>
        <v>0</v>
      </c>
      <c r="H40" s="304">
        <f>'外国語実績201201-201712'!H447</f>
        <v>0</v>
      </c>
      <c r="I40" s="304">
        <f>'外国語実績201201-201712'!I447</f>
        <v>0</v>
      </c>
      <c r="J40" s="304">
        <f>'外国語実績201201-201712'!J447</f>
        <v>0</v>
      </c>
      <c r="K40" s="304">
        <f>'外国語実績201201-201712'!K447</f>
        <v>0</v>
      </c>
      <c r="L40" s="306">
        <f>'外国語実績201201-201712'!L447</f>
        <v>0</v>
      </c>
      <c r="M40" s="326">
        <f t="shared" si="33"/>
        <v>2</v>
      </c>
      <c r="N40" s="305">
        <f>+D40+F40+H40+J40+L40</f>
        <v>2</v>
      </c>
    </row>
    <row r="41" spans="2:14" ht="12" customHeight="1" thickBot="1">
      <c r="B41" s="310" t="s">
        <v>241</v>
      </c>
      <c r="C41" s="328">
        <f>(C40-C39)/C39</f>
        <v>-0.9</v>
      </c>
      <c r="D41" s="328">
        <f t="shared" ref="D41" si="34">(D40-D39)/D39</f>
        <v>-0.92307692307692313</v>
      </c>
      <c r="E41" s="328">
        <f t="shared" ref="E41" si="35">(E40-E39)/E39</f>
        <v>-1</v>
      </c>
      <c r="F41" s="328">
        <f t="shared" ref="F41" si="36">(F40-F39)/F39</f>
        <v>-1</v>
      </c>
      <c r="G41" s="328">
        <f t="shared" ref="G41" si="37">(G40-G39)/G39</f>
        <v>-1</v>
      </c>
      <c r="H41" s="328">
        <f t="shared" ref="H41" si="38">(H40-H39)/H39</f>
        <v>-1</v>
      </c>
      <c r="I41" s="328">
        <f t="shared" ref="I41" si="39">(I40-I39)/I39</f>
        <v>-1</v>
      </c>
      <c r="J41" s="328">
        <f t="shared" ref="J41" si="40">(J40-J39)/J39</f>
        <v>-1</v>
      </c>
      <c r="K41" s="328">
        <f t="shared" ref="K41" si="41">(K40-K39)/K39</f>
        <v>-1</v>
      </c>
      <c r="L41" s="329" t="e">
        <f t="shared" ref="L41" si="42">(L40-L39)/L39</f>
        <v>#DIV/0!</v>
      </c>
      <c r="M41" s="330">
        <f t="shared" ref="M41" si="43">(M40-M39)/M39</f>
        <v>-0.93548387096774188</v>
      </c>
      <c r="N41" s="331">
        <f>(N40-N39)/N39</f>
        <v>-0.96</v>
      </c>
    </row>
    <row r="42" spans="2:14" ht="12" customHeight="1" thickBot="1"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2:14" ht="12" customHeight="1">
      <c r="B43" s="23" t="s">
        <v>3</v>
      </c>
      <c r="C43" s="346" t="s">
        <v>29</v>
      </c>
      <c r="D43" s="347"/>
      <c r="E43" s="346" t="s">
        <v>30</v>
      </c>
      <c r="F43" s="347"/>
      <c r="G43" s="353" t="s">
        <v>31</v>
      </c>
      <c r="H43" s="347"/>
      <c r="I43" s="353" t="s">
        <v>58</v>
      </c>
      <c r="J43" s="347"/>
      <c r="K43" s="346" t="s">
        <v>57</v>
      </c>
      <c r="L43" s="345"/>
      <c r="M43" s="344" t="s">
        <v>5</v>
      </c>
      <c r="N43" s="345"/>
    </row>
    <row r="44" spans="2:14" ht="12" customHeight="1" thickBot="1">
      <c r="B44" s="314" t="s">
        <v>264</v>
      </c>
      <c r="C44" s="315" t="s">
        <v>34</v>
      </c>
      <c r="D44" s="315" t="s">
        <v>35</v>
      </c>
      <c r="E44" s="315" t="s">
        <v>34</v>
      </c>
      <c r="F44" s="315" t="s">
        <v>35</v>
      </c>
      <c r="G44" s="315" t="s">
        <v>34</v>
      </c>
      <c r="H44" s="315" t="s">
        <v>35</v>
      </c>
      <c r="I44" s="315" t="s">
        <v>59</v>
      </c>
      <c r="J44" s="315" t="s">
        <v>60</v>
      </c>
      <c r="K44" s="315" t="s">
        <v>34</v>
      </c>
      <c r="L44" s="322" t="s">
        <v>35</v>
      </c>
      <c r="M44" s="324" t="s">
        <v>34</v>
      </c>
      <c r="N44" s="316" t="s">
        <v>35</v>
      </c>
    </row>
    <row r="45" spans="2:14" ht="12" customHeight="1" thickTop="1">
      <c r="B45" s="311">
        <f>B39</f>
        <v>43617</v>
      </c>
      <c r="C45" s="312">
        <f>'外国語実績201201-201712'!C526</f>
        <v>91</v>
      </c>
      <c r="D45" s="312">
        <f>'外国語実績201201-201712'!D526</f>
        <v>154</v>
      </c>
      <c r="E45" s="312">
        <f>'外国語実績201201-201712'!E526</f>
        <v>3</v>
      </c>
      <c r="F45" s="312">
        <f>'外国語実績201201-201712'!F526</f>
        <v>3</v>
      </c>
      <c r="G45" s="312">
        <f>'外国語実績201201-201712'!G526</f>
        <v>30</v>
      </c>
      <c r="H45" s="312">
        <f>'外国語実績201201-201712'!H526</f>
        <v>90</v>
      </c>
      <c r="I45" s="312">
        <f>'外国語実績201201-201712'!I526</f>
        <v>0</v>
      </c>
      <c r="J45" s="312">
        <f>'外国語実績201201-201712'!J526</f>
        <v>2</v>
      </c>
      <c r="K45" s="312">
        <f>'外国語実績201201-201712'!K526</f>
        <v>21</v>
      </c>
      <c r="L45" s="323">
        <f>'外国語実績201201-201712'!L526</f>
        <v>44</v>
      </c>
      <c r="M45" s="325">
        <f t="shared" ref="M45:M46" si="44">+C45+E45+G45+I45+K45</f>
        <v>145</v>
      </c>
      <c r="N45" s="313">
        <f>+D45+F45+H45+J45+L45</f>
        <v>293</v>
      </c>
    </row>
    <row r="46" spans="2:14" ht="12" customHeight="1">
      <c r="B46" s="309">
        <f>B40</f>
        <v>43983</v>
      </c>
      <c r="C46" s="304">
        <f>'外国語実績201201-201712'!C538</f>
        <v>8</v>
      </c>
      <c r="D46" s="304">
        <f>'外国語実績201201-201712'!D538</f>
        <v>10</v>
      </c>
      <c r="E46" s="304">
        <f>'外国語実績201201-201712'!E538</f>
        <v>0</v>
      </c>
      <c r="F46" s="304">
        <f>'外国語実績201201-201712'!F538</f>
        <v>0</v>
      </c>
      <c r="G46" s="304">
        <f>'外国語実績201201-201712'!G538</f>
        <v>0</v>
      </c>
      <c r="H46" s="304">
        <f>'外国語実績201201-201712'!H538</f>
        <v>0</v>
      </c>
      <c r="I46" s="304">
        <f>'外国語実績201201-201712'!I538</f>
        <v>2</v>
      </c>
      <c r="J46" s="304">
        <f>'外国語実績201201-201712'!J538</f>
        <v>2</v>
      </c>
      <c r="K46" s="304">
        <f>'外国語実績201201-201712'!K538</f>
        <v>0</v>
      </c>
      <c r="L46" s="306">
        <f>'外国語実績201201-201712'!L538</f>
        <v>0</v>
      </c>
      <c r="M46" s="326">
        <f t="shared" si="44"/>
        <v>10</v>
      </c>
      <c r="N46" s="305">
        <f>+D46+F46+H46+J46+L46</f>
        <v>12</v>
      </c>
    </row>
    <row r="47" spans="2:14" ht="12" customHeight="1" thickBot="1">
      <c r="B47" s="310" t="s">
        <v>241</v>
      </c>
      <c r="C47" s="328">
        <f>(C46-C45)/C45</f>
        <v>-0.91208791208791207</v>
      </c>
      <c r="D47" s="328">
        <f t="shared" ref="D47" si="45">(D46-D45)/D45</f>
        <v>-0.93506493506493504</v>
      </c>
      <c r="E47" s="328">
        <f t="shared" ref="E47" si="46">(E46-E45)/E45</f>
        <v>-1</v>
      </c>
      <c r="F47" s="328">
        <f t="shared" ref="F47" si="47">(F46-F45)/F45</f>
        <v>-1</v>
      </c>
      <c r="G47" s="328">
        <f t="shared" ref="G47" si="48">(G46-G45)/G45</f>
        <v>-1</v>
      </c>
      <c r="H47" s="328">
        <f t="shared" ref="H47" si="49">(H46-H45)/H45</f>
        <v>-1</v>
      </c>
      <c r="I47" s="328" t="e">
        <f t="shared" ref="I47" si="50">(I46-I45)/I45</f>
        <v>#DIV/0!</v>
      </c>
      <c r="J47" s="328">
        <f t="shared" ref="J47" si="51">(J46-J45)/J45</f>
        <v>0</v>
      </c>
      <c r="K47" s="328">
        <f t="shared" ref="K47" si="52">(K46-K45)/K45</f>
        <v>-1</v>
      </c>
      <c r="L47" s="329">
        <f t="shared" ref="L47" si="53">(L46-L45)/L45</f>
        <v>-1</v>
      </c>
      <c r="M47" s="330">
        <f t="shared" ref="M47" si="54">(M46-M45)/M45</f>
        <v>-0.93103448275862066</v>
      </c>
      <c r="N47" s="331">
        <f>(N46-N45)/N45</f>
        <v>-0.95904436860068254</v>
      </c>
    </row>
    <row r="48" spans="2:14" ht="12" customHeight="1" thickBot="1"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2:14" ht="12" customHeight="1">
      <c r="B49" s="23" t="s">
        <v>4</v>
      </c>
      <c r="C49" s="346" t="s">
        <v>29</v>
      </c>
      <c r="D49" s="347"/>
      <c r="E49" s="346" t="s">
        <v>30</v>
      </c>
      <c r="F49" s="347"/>
      <c r="G49" s="353" t="s">
        <v>31</v>
      </c>
      <c r="H49" s="347"/>
      <c r="I49" s="353" t="s">
        <v>58</v>
      </c>
      <c r="J49" s="347"/>
      <c r="K49" s="346" t="s">
        <v>57</v>
      </c>
      <c r="L49" s="345"/>
      <c r="M49" s="344" t="s">
        <v>5</v>
      </c>
      <c r="N49" s="345"/>
    </row>
    <row r="50" spans="2:14" ht="12" customHeight="1" thickBot="1">
      <c r="B50" s="314" t="s">
        <v>265</v>
      </c>
      <c r="C50" s="315" t="s">
        <v>34</v>
      </c>
      <c r="D50" s="315" t="s">
        <v>35</v>
      </c>
      <c r="E50" s="315" t="s">
        <v>34</v>
      </c>
      <c r="F50" s="315" t="s">
        <v>35</v>
      </c>
      <c r="G50" s="315" t="s">
        <v>34</v>
      </c>
      <c r="H50" s="315" t="s">
        <v>35</v>
      </c>
      <c r="I50" s="315" t="s">
        <v>59</v>
      </c>
      <c r="J50" s="315" t="s">
        <v>60</v>
      </c>
      <c r="K50" s="315" t="s">
        <v>34</v>
      </c>
      <c r="L50" s="322" t="s">
        <v>35</v>
      </c>
      <c r="M50" s="324" t="s">
        <v>34</v>
      </c>
      <c r="N50" s="316" t="s">
        <v>35</v>
      </c>
    </row>
    <row r="51" spans="2:14" ht="12" customHeight="1" thickTop="1">
      <c r="B51" s="311">
        <f>B45</f>
        <v>43617</v>
      </c>
      <c r="C51" s="312">
        <f>'外国語実績201201-201712'!C614</f>
        <v>25</v>
      </c>
      <c r="D51" s="312">
        <f>'外国語実績201201-201712'!D614</f>
        <v>39</v>
      </c>
      <c r="E51" s="312">
        <f>'外国語実績201201-201712'!E614</f>
        <v>0</v>
      </c>
      <c r="F51" s="312">
        <f>'外国語実績201201-201712'!F614</f>
        <v>0</v>
      </c>
      <c r="G51" s="312">
        <f>'外国語実績201201-201712'!G614</f>
        <v>0</v>
      </c>
      <c r="H51" s="312">
        <f>'外国語実績201201-201712'!H614</f>
        <v>2</v>
      </c>
      <c r="I51" s="312">
        <f>'外国語実績201201-201712'!I614</f>
        <v>0</v>
      </c>
      <c r="J51" s="312">
        <f>'外国語実績201201-201712'!J614</f>
        <v>0</v>
      </c>
      <c r="K51" s="312">
        <f>'外国語実績201201-201712'!K614</f>
        <v>0</v>
      </c>
      <c r="L51" s="323">
        <f>'外国語実績201201-201712'!L614</f>
        <v>0</v>
      </c>
      <c r="M51" s="325">
        <f t="shared" ref="M51:M52" si="55">+C51+E51+G51+I51+K51</f>
        <v>25</v>
      </c>
      <c r="N51" s="313">
        <f>+D51+F51+H51+J51+L51</f>
        <v>41</v>
      </c>
    </row>
    <row r="52" spans="2:14" ht="12" customHeight="1">
      <c r="B52" s="309">
        <f>B46</f>
        <v>43983</v>
      </c>
      <c r="C52" s="304">
        <f>'外国語実績201201-201712'!C626</f>
        <v>13</v>
      </c>
      <c r="D52" s="304">
        <f>'外国語実績201201-201712'!D626</f>
        <v>10</v>
      </c>
      <c r="E52" s="304">
        <f>'外国語実績201201-201712'!E626</f>
        <v>0</v>
      </c>
      <c r="F52" s="304">
        <f>'外国語実績201201-201712'!F626</f>
        <v>0</v>
      </c>
      <c r="G52" s="304">
        <f>'外国語実績201201-201712'!G626</f>
        <v>0</v>
      </c>
      <c r="H52" s="304">
        <f>'外国語実績201201-201712'!H626</f>
        <v>0</v>
      </c>
      <c r="I52" s="304">
        <f>'外国語実績201201-201712'!I626</f>
        <v>0</v>
      </c>
      <c r="J52" s="304">
        <f>'外国語実績201201-201712'!J626</f>
        <v>0</v>
      </c>
      <c r="K52" s="304">
        <f>'外国語実績201201-201712'!K626</f>
        <v>0</v>
      </c>
      <c r="L52" s="306">
        <f>'外国語実績201201-201712'!L626</f>
        <v>0</v>
      </c>
      <c r="M52" s="326">
        <f t="shared" si="55"/>
        <v>13</v>
      </c>
      <c r="N52" s="305">
        <f>+D52+F52+H52+J52+L52</f>
        <v>10</v>
      </c>
    </row>
    <row r="53" spans="2:14" ht="12" customHeight="1" thickBot="1">
      <c r="B53" s="310" t="s">
        <v>241</v>
      </c>
      <c r="C53" s="328">
        <f>(C52-C51)/C51</f>
        <v>-0.48</v>
      </c>
      <c r="D53" s="328">
        <f t="shared" ref="D53" si="56">(D52-D51)/D51</f>
        <v>-0.74358974358974361</v>
      </c>
      <c r="E53" s="328" t="e">
        <f t="shared" ref="E53" si="57">(E52-E51)/E51</f>
        <v>#DIV/0!</v>
      </c>
      <c r="F53" s="328" t="e">
        <f t="shared" ref="F53" si="58">(F52-F51)/F51</f>
        <v>#DIV/0!</v>
      </c>
      <c r="G53" s="328" t="e">
        <f t="shared" ref="G53" si="59">(G52-G51)/G51</f>
        <v>#DIV/0!</v>
      </c>
      <c r="H53" s="328">
        <f t="shared" ref="H53" si="60">(H52-H51)/H51</f>
        <v>-1</v>
      </c>
      <c r="I53" s="328" t="e">
        <f t="shared" ref="I53" si="61">(I52-I51)/I51</f>
        <v>#DIV/0!</v>
      </c>
      <c r="J53" s="328" t="e">
        <f t="shared" ref="J53" si="62">(J52-J51)/J51</f>
        <v>#DIV/0!</v>
      </c>
      <c r="K53" s="328" t="e">
        <f t="shared" ref="K53" si="63">(K52-K51)/K51</f>
        <v>#DIV/0!</v>
      </c>
      <c r="L53" s="329" t="e">
        <f t="shared" ref="L53" si="64">(L52-L51)/L51</f>
        <v>#DIV/0!</v>
      </c>
      <c r="M53" s="330">
        <f t="shared" ref="M53" si="65">(M52-M51)/M51</f>
        <v>-0.48</v>
      </c>
      <c r="N53" s="331">
        <f>(N52-N51)/N51</f>
        <v>-0.75609756097560976</v>
      </c>
    </row>
    <row r="54" spans="2:14" ht="12" customHeight="1" thickBot="1">
      <c r="C54" s="308"/>
    </row>
    <row r="55" spans="2:14" ht="12" customHeight="1">
      <c r="B55" s="23" t="s">
        <v>46</v>
      </c>
      <c r="C55" s="346" t="s">
        <v>29</v>
      </c>
      <c r="D55" s="347"/>
      <c r="E55" s="346" t="s">
        <v>30</v>
      </c>
      <c r="F55" s="347"/>
      <c r="G55" s="353" t="s">
        <v>31</v>
      </c>
      <c r="H55" s="347"/>
      <c r="I55" s="353" t="s">
        <v>58</v>
      </c>
      <c r="J55" s="347"/>
      <c r="K55" s="346" t="s">
        <v>57</v>
      </c>
      <c r="L55" s="345"/>
      <c r="M55" s="344" t="s">
        <v>5</v>
      </c>
      <c r="N55" s="345"/>
    </row>
    <row r="56" spans="2:14" ht="12" customHeight="1" thickBot="1">
      <c r="B56" s="314"/>
      <c r="C56" s="315" t="s">
        <v>34</v>
      </c>
      <c r="D56" s="315" t="s">
        <v>35</v>
      </c>
      <c r="E56" s="315" t="s">
        <v>34</v>
      </c>
      <c r="F56" s="315" t="s">
        <v>35</v>
      </c>
      <c r="G56" s="315" t="s">
        <v>34</v>
      </c>
      <c r="H56" s="315" t="s">
        <v>35</v>
      </c>
      <c r="I56" s="315" t="s">
        <v>59</v>
      </c>
      <c r="J56" s="315" t="s">
        <v>60</v>
      </c>
      <c r="K56" s="315" t="s">
        <v>34</v>
      </c>
      <c r="L56" s="322" t="s">
        <v>35</v>
      </c>
      <c r="M56" s="324" t="s">
        <v>34</v>
      </c>
      <c r="N56" s="316" t="s">
        <v>35</v>
      </c>
    </row>
    <row r="57" spans="2:14" ht="12" customHeight="1" thickTop="1">
      <c r="B57" s="311">
        <f>B51</f>
        <v>43617</v>
      </c>
      <c r="C57" s="312">
        <f>'外国語実績201201-201712'!C694</f>
        <v>209</v>
      </c>
      <c r="D57" s="312">
        <f>'外国語実績201201-201712'!D694</f>
        <v>606</v>
      </c>
      <c r="E57" s="312">
        <f>'外国語実績201201-201712'!E694</f>
        <v>16</v>
      </c>
      <c r="F57" s="312">
        <f>'外国語実績201201-201712'!F694</f>
        <v>29</v>
      </c>
      <c r="G57" s="312">
        <f>'外国語実績201201-201712'!G694</f>
        <v>48</v>
      </c>
      <c r="H57" s="312">
        <f>'外国語実績201201-201712'!H694</f>
        <v>146</v>
      </c>
      <c r="I57" s="312">
        <f>'外国語実績201201-201712'!I694</f>
        <v>29</v>
      </c>
      <c r="J57" s="312">
        <f>'外国語実績201201-201712'!J694</f>
        <v>94</v>
      </c>
      <c r="K57" s="312">
        <f>'外国語実績201201-201712'!K694</f>
        <v>11</v>
      </c>
      <c r="L57" s="323">
        <f>'外国語実績201201-201712'!L694</f>
        <v>66</v>
      </c>
      <c r="M57" s="325">
        <f t="shared" ref="M57:M58" si="66">+C57+E57+G57+I57+K57</f>
        <v>313</v>
      </c>
      <c r="N57" s="313">
        <f>+D57+F57+H57+J57+L57</f>
        <v>941</v>
      </c>
    </row>
    <row r="58" spans="2:14" ht="12" customHeight="1">
      <c r="B58" s="309">
        <f>B52</f>
        <v>43983</v>
      </c>
      <c r="C58" s="304">
        <f>'外国語実績201201-201712'!C706</f>
        <v>16</v>
      </c>
      <c r="D58" s="304">
        <f>'外国語実績201201-201712'!D706</f>
        <v>36</v>
      </c>
      <c r="E58" s="304">
        <f>'外国語実績201201-201712'!E706</f>
        <v>0</v>
      </c>
      <c r="F58" s="304">
        <f>'外国語実績201201-201712'!F706</f>
        <v>0</v>
      </c>
      <c r="G58" s="304">
        <f>'外国語実績201201-201712'!G706</f>
        <v>0</v>
      </c>
      <c r="H58" s="304">
        <f>'外国語実績201201-201712'!H706</f>
        <v>0</v>
      </c>
      <c r="I58" s="304">
        <f>'外国語実績201201-201712'!I706</f>
        <v>0</v>
      </c>
      <c r="J58" s="304">
        <f>'外国語実績201201-201712'!J706</f>
        <v>0</v>
      </c>
      <c r="K58" s="304">
        <f>'外国語実績201201-201712'!K706</f>
        <v>0</v>
      </c>
      <c r="L58" s="306">
        <f>'外国語実績201201-201712'!L706</f>
        <v>0</v>
      </c>
      <c r="M58" s="326">
        <f t="shared" si="66"/>
        <v>16</v>
      </c>
      <c r="N58" s="305">
        <f>+D58+F58+H58+J58+L58</f>
        <v>36</v>
      </c>
    </row>
    <row r="59" spans="2:14" ht="12" customHeight="1" thickBot="1">
      <c r="B59" s="310" t="s">
        <v>241</v>
      </c>
      <c r="C59" s="328">
        <f>(C58-C57)/C57</f>
        <v>-0.92344497607655507</v>
      </c>
      <c r="D59" s="328">
        <f t="shared" ref="D59" si="67">(D58-D57)/D57</f>
        <v>-0.94059405940594054</v>
      </c>
      <c r="E59" s="328">
        <f t="shared" ref="E59" si="68">(E58-E57)/E57</f>
        <v>-1</v>
      </c>
      <c r="F59" s="328">
        <f t="shared" ref="F59" si="69">(F58-F57)/F57</f>
        <v>-1</v>
      </c>
      <c r="G59" s="328">
        <f t="shared" ref="G59" si="70">(G58-G57)/G57</f>
        <v>-1</v>
      </c>
      <c r="H59" s="328">
        <f t="shared" ref="H59" si="71">(H58-H57)/H57</f>
        <v>-1</v>
      </c>
      <c r="I59" s="328">
        <f t="shared" ref="I59" si="72">(I58-I57)/I57</f>
        <v>-1</v>
      </c>
      <c r="J59" s="328">
        <f t="shared" ref="J59" si="73">(J58-J57)/J57</f>
        <v>-1</v>
      </c>
      <c r="K59" s="328">
        <f t="shared" ref="K59" si="74">(K58-K57)/K57</f>
        <v>-1</v>
      </c>
      <c r="L59" s="329">
        <f t="shared" ref="L59" si="75">(L58-L57)/L57</f>
        <v>-1</v>
      </c>
      <c r="M59" s="330">
        <f t="shared" ref="M59" si="76">(M58-M57)/M57</f>
        <v>-0.94888178913738019</v>
      </c>
      <c r="N59" s="331">
        <f>(N58-N57)/N57</f>
        <v>-0.96174282678002121</v>
      </c>
    </row>
    <row r="60" spans="2:14" ht="12" customHeight="1" thickBot="1"/>
    <row r="61" spans="2:14" ht="12" customHeight="1">
      <c r="B61" s="23" t="s">
        <v>62</v>
      </c>
      <c r="C61" s="346" t="s">
        <v>29</v>
      </c>
      <c r="D61" s="347"/>
      <c r="E61" s="346" t="s">
        <v>30</v>
      </c>
      <c r="F61" s="347"/>
      <c r="G61" s="353" t="s">
        <v>31</v>
      </c>
      <c r="H61" s="347"/>
      <c r="I61" s="353" t="s">
        <v>58</v>
      </c>
      <c r="J61" s="347"/>
      <c r="K61" s="346" t="s">
        <v>57</v>
      </c>
      <c r="L61" s="345"/>
      <c r="M61" s="344" t="s">
        <v>5</v>
      </c>
      <c r="N61" s="345"/>
    </row>
    <row r="62" spans="2:14" ht="12" customHeight="1" thickBot="1">
      <c r="B62" s="314" t="s">
        <v>127</v>
      </c>
      <c r="C62" s="315" t="s">
        <v>34</v>
      </c>
      <c r="D62" s="315" t="s">
        <v>35</v>
      </c>
      <c r="E62" s="315" t="s">
        <v>34</v>
      </c>
      <c r="F62" s="315" t="s">
        <v>35</v>
      </c>
      <c r="G62" s="315" t="s">
        <v>34</v>
      </c>
      <c r="H62" s="315" t="s">
        <v>35</v>
      </c>
      <c r="I62" s="315" t="s">
        <v>59</v>
      </c>
      <c r="J62" s="315" t="s">
        <v>60</v>
      </c>
      <c r="K62" s="315" t="s">
        <v>34</v>
      </c>
      <c r="L62" s="322" t="s">
        <v>35</v>
      </c>
      <c r="M62" s="324" t="s">
        <v>34</v>
      </c>
      <c r="N62" s="316" t="s">
        <v>35</v>
      </c>
    </row>
    <row r="63" spans="2:14" ht="12" customHeight="1" thickTop="1">
      <c r="B63" s="311">
        <f>B57</f>
        <v>43617</v>
      </c>
      <c r="C63" s="312">
        <f>'外国語実績201201-201712'!C746</f>
        <v>15</v>
      </c>
      <c r="D63" s="312">
        <f>'外国語実績201201-201712'!D746</f>
        <v>22</v>
      </c>
      <c r="E63" s="312">
        <f>'外国語実績201201-201712'!E746</f>
        <v>0</v>
      </c>
      <c r="F63" s="312">
        <f>'外国語実績201201-201712'!F746</f>
        <v>0</v>
      </c>
      <c r="G63" s="312">
        <f>'外国語実績201201-201712'!G746</f>
        <v>0</v>
      </c>
      <c r="H63" s="312">
        <f>'外国語実績201201-201712'!H746</f>
        <v>7</v>
      </c>
      <c r="I63" s="312">
        <f>'外国語実績201201-201712'!I746</f>
        <v>1</v>
      </c>
      <c r="J63" s="312">
        <f>'外国語実績201201-201712'!J746</f>
        <v>0</v>
      </c>
      <c r="K63" s="312">
        <f>'外国語実績201201-201712'!K746</f>
        <v>0</v>
      </c>
      <c r="L63" s="323">
        <f>'外国語実績201201-201712'!L746</f>
        <v>0</v>
      </c>
      <c r="M63" s="325">
        <f t="shared" ref="M63:M64" si="77">+C63+E63+G63+I63+K63</f>
        <v>16</v>
      </c>
      <c r="N63" s="313">
        <f>+D63+F63+H63+J63+L63</f>
        <v>29</v>
      </c>
    </row>
    <row r="64" spans="2:14" ht="12" customHeight="1">
      <c r="B64" s="309">
        <f>B58</f>
        <v>43983</v>
      </c>
      <c r="C64" s="304">
        <f>'外国語実績201201-201712'!C758</f>
        <v>1</v>
      </c>
      <c r="D64" s="304">
        <f>'外国語実績201201-201712'!D758</f>
        <v>1</v>
      </c>
      <c r="E64" s="304">
        <f>'外国語実績201201-201712'!E758</f>
        <v>0</v>
      </c>
      <c r="F64" s="304">
        <f>'外国語実績201201-201712'!F758</f>
        <v>0</v>
      </c>
      <c r="G64" s="304">
        <f>'外国語実績201201-201712'!G758</f>
        <v>0</v>
      </c>
      <c r="H64" s="304">
        <f>'外国語実績201201-201712'!H758</f>
        <v>0</v>
      </c>
      <c r="I64" s="304">
        <f>'外国語実績201201-201712'!I758</f>
        <v>0</v>
      </c>
      <c r="J64" s="304">
        <f>'外国語実績201201-201712'!J758</f>
        <v>0</v>
      </c>
      <c r="K64" s="304">
        <f>'外国語実績201201-201712'!K758</f>
        <v>0</v>
      </c>
      <c r="L64" s="306">
        <f>'外国語実績201201-201712'!L758</f>
        <v>0</v>
      </c>
      <c r="M64" s="326">
        <f t="shared" si="77"/>
        <v>1</v>
      </c>
      <c r="N64" s="305">
        <f>+D64+F64+H64+J64+L64</f>
        <v>1</v>
      </c>
    </row>
    <row r="65" spans="2:14" ht="12" customHeight="1" thickBot="1">
      <c r="B65" s="310" t="s">
        <v>241</v>
      </c>
      <c r="C65" s="328">
        <f>(C64-C63)/C63</f>
        <v>-0.93333333333333335</v>
      </c>
      <c r="D65" s="328">
        <f t="shared" ref="D65" si="78">(D64-D63)/D63</f>
        <v>-0.95454545454545459</v>
      </c>
      <c r="E65" s="328" t="e">
        <f t="shared" ref="E65" si="79">(E64-E63)/E63</f>
        <v>#DIV/0!</v>
      </c>
      <c r="F65" s="328" t="e">
        <f t="shared" ref="F65" si="80">(F64-F63)/F63</f>
        <v>#DIV/0!</v>
      </c>
      <c r="G65" s="328" t="e">
        <f t="shared" ref="G65" si="81">(G64-G63)/G63</f>
        <v>#DIV/0!</v>
      </c>
      <c r="H65" s="328">
        <f t="shared" ref="H65" si="82">(H64-H63)/H63</f>
        <v>-1</v>
      </c>
      <c r="I65" s="328">
        <f t="shared" ref="I65" si="83">(I64-I63)/I63</f>
        <v>-1</v>
      </c>
      <c r="J65" s="328" t="e">
        <f t="shared" ref="J65" si="84">(J64-J63)/J63</f>
        <v>#DIV/0!</v>
      </c>
      <c r="K65" s="328" t="e">
        <f t="shared" ref="K65" si="85">(K64-K63)/K63</f>
        <v>#DIV/0!</v>
      </c>
      <c r="L65" s="329" t="e">
        <f t="shared" ref="L65" si="86">(L64-L63)/L63</f>
        <v>#DIV/0!</v>
      </c>
      <c r="M65" s="330">
        <f t="shared" ref="M65" si="87">(M64-M63)/M63</f>
        <v>-0.9375</v>
      </c>
      <c r="N65" s="331">
        <f>(N64-N63)/N63</f>
        <v>-0.96551724137931039</v>
      </c>
    </row>
    <row r="66" spans="2:14" ht="12" customHeight="1" thickBot="1"/>
    <row r="67" spans="2:14" ht="12" customHeight="1">
      <c r="B67" s="23" t="s">
        <v>63</v>
      </c>
      <c r="C67" s="346" t="s">
        <v>29</v>
      </c>
      <c r="D67" s="347"/>
      <c r="E67" s="346" t="s">
        <v>30</v>
      </c>
      <c r="F67" s="347"/>
      <c r="G67" s="353" t="s">
        <v>31</v>
      </c>
      <c r="H67" s="347"/>
      <c r="I67" s="353" t="s">
        <v>58</v>
      </c>
      <c r="J67" s="347"/>
      <c r="K67" s="346" t="s">
        <v>57</v>
      </c>
      <c r="L67" s="345"/>
      <c r="M67" s="344" t="s">
        <v>5</v>
      </c>
      <c r="N67" s="345"/>
    </row>
    <row r="68" spans="2:14" ht="12" customHeight="1" thickBot="1">
      <c r="B68" s="314" t="s">
        <v>128</v>
      </c>
      <c r="C68" s="315" t="s">
        <v>34</v>
      </c>
      <c r="D68" s="315" t="s">
        <v>35</v>
      </c>
      <c r="E68" s="315" t="s">
        <v>34</v>
      </c>
      <c r="F68" s="315" t="s">
        <v>35</v>
      </c>
      <c r="G68" s="315" t="s">
        <v>34</v>
      </c>
      <c r="H68" s="315" t="s">
        <v>35</v>
      </c>
      <c r="I68" s="315" t="s">
        <v>59</v>
      </c>
      <c r="J68" s="315" t="s">
        <v>60</v>
      </c>
      <c r="K68" s="315" t="s">
        <v>34</v>
      </c>
      <c r="L68" s="322" t="s">
        <v>35</v>
      </c>
      <c r="M68" s="324" t="s">
        <v>34</v>
      </c>
      <c r="N68" s="316" t="s">
        <v>35</v>
      </c>
    </row>
    <row r="69" spans="2:14" ht="12" customHeight="1" thickTop="1">
      <c r="B69" s="311">
        <f>B63</f>
        <v>43617</v>
      </c>
      <c r="C69" s="312">
        <f>'外国語実績201201-201712'!C798</f>
        <v>35</v>
      </c>
      <c r="D69" s="312">
        <f>'外国語実績201201-201712'!D798</f>
        <v>55</v>
      </c>
      <c r="E69" s="312">
        <f>'外国語実績201201-201712'!E798</f>
        <v>9</v>
      </c>
      <c r="F69" s="312">
        <f>'外国語実績201201-201712'!F798</f>
        <v>0</v>
      </c>
      <c r="G69" s="312">
        <f>'外国語実績201201-201712'!G798</f>
        <v>12</v>
      </c>
      <c r="H69" s="312">
        <f>'外国語実績201201-201712'!H798</f>
        <v>13</v>
      </c>
      <c r="I69" s="312">
        <f>'外国語実績201201-201712'!I798</f>
        <v>0</v>
      </c>
      <c r="J69" s="312">
        <f>'外国語実績201201-201712'!J798</f>
        <v>3</v>
      </c>
      <c r="K69" s="312">
        <f>'外国語実績201201-201712'!K798</f>
        <v>13</v>
      </c>
      <c r="L69" s="323">
        <f>'外国語実績201201-201712'!L798</f>
        <v>27</v>
      </c>
      <c r="M69" s="325">
        <f t="shared" ref="M69:M70" si="88">+C69+E69+G69+I69+K69</f>
        <v>69</v>
      </c>
      <c r="N69" s="313">
        <f>+D69+F69+H69+J69+L69</f>
        <v>98</v>
      </c>
    </row>
    <row r="70" spans="2:14" ht="12" customHeight="1">
      <c r="B70" s="309">
        <f>B64</f>
        <v>43983</v>
      </c>
      <c r="C70" s="304">
        <f>'外国語実績201201-201712'!C810</f>
        <v>6</v>
      </c>
      <c r="D70" s="304">
        <f>'外国語実績201201-201712'!D810</f>
        <v>0</v>
      </c>
      <c r="E70" s="304">
        <f>'外国語実績201201-201712'!E810</f>
        <v>0</v>
      </c>
      <c r="F70" s="304">
        <f>'外国語実績201201-201712'!F810</f>
        <v>0</v>
      </c>
      <c r="G70" s="304">
        <f>'外国語実績201201-201712'!G810</f>
        <v>0</v>
      </c>
      <c r="H70" s="304">
        <f>'外国語実績201201-201712'!H810</f>
        <v>0</v>
      </c>
      <c r="I70" s="304">
        <f>'外国語実績201201-201712'!I810</f>
        <v>0</v>
      </c>
      <c r="J70" s="304">
        <f>'外国語実績201201-201712'!J810</f>
        <v>0</v>
      </c>
      <c r="K70" s="304">
        <f>'外国語実績201201-201712'!K810</f>
        <v>0</v>
      </c>
      <c r="L70" s="306">
        <f>'外国語実績201201-201712'!L810</f>
        <v>0</v>
      </c>
      <c r="M70" s="326">
        <f t="shared" si="88"/>
        <v>6</v>
      </c>
      <c r="N70" s="305">
        <f>+D70+F70+H70+J70+L70</f>
        <v>0</v>
      </c>
    </row>
    <row r="71" spans="2:14" ht="12" customHeight="1" thickBot="1">
      <c r="B71" s="310" t="s">
        <v>241</v>
      </c>
      <c r="C71" s="328">
        <f>(C70-C69)/C69</f>
        <v>-0.82857142857142863</v>
      </c>
      <c r="D71" s="328">
        <f t="shared" ref="D71" si="89">(D70-D69)/D69</f>
        <v>-1</v>
      </c>
      <c r="E71" s="328">
        <f t="shared" ref="E71" si="90">(E70-E69)/E69</f>
        <v>-1</v>
      </c>
      <c r="F71" s="328" t="e">
        <f t="shared" ref="F71" si="91">(F70-F69)/F69</f>
        <v>#DIV/0!</v>
      </c>
      <c r="G71" s="328">
        <f t="shared" ref="G71" si="92">(G70-G69)/G69</f>
        <v>-1</v>
      </c>
      <c r="H71" s="328">
        <f t="shared" ref="H71" si="93">(H70-H69)/H69</f>
        <v>-1</v>
      </c>
      <c r="I71" s="328" t="e">
        <f t="shared" ref="I71" si="94">(I70-I69)/I69</f>
        <v>#DIV/0!</v>
      </c>
      <c r="J71" s="328">
        <f t="shared" ref="J71" si="95">(J70-J69)/J69</f>
        <v>-1</v>
      </c>
      <c r="K71" s="328">
        <f t="shared" ref="K71" si="96">(K70-K69)/K69</f>
        <v>-1</v>
      </c>
      <c r="L71" s="329">
        <f t="shared" ref="L71" si="97">(L70-L69)/L69</f>
        <v>-1</v>
      </c>
      <c r="M71" s="330">
        <f t="shared" ref="M71" si="98">(M70-M69)/M69</f>
        <v>-0.91304347826086951</v>
      </c>
      <c r="N71" s="331">
        <f>(N70-N69)/N69</f>
        <v>-1</v>
      </c>
    </row>
    <row r="72" spans="2:14" ht="12" customHeight="1" thickBot="1"/>
    <row r="73" spans="2:14" ht="12" customHeight="1">
      <c r="B73" s="23" t="s">
        <v>66</v>
      </c>
      <c r="C73" s="346" t="s">
        <v>29</v>
      </c>
      <c r="D73" s="347"/>
      <c r="E73" s="346" t="s">
        <v>30</v>
      </c>
      <c r="F73" s="347"/>
      <c r="G73" s="353" t="s">
        <v>31</v>
      </c>
      <c r="H73" s="347"/>
      <c r="I73" s="353" t="s">
        <v>58</v>
      </c>
      <c r="J73" s="347"/>
      <c r="K73" s="346" t="s">
        <v>57</v>
      </c>
      <c r="L73" s="345"/>
      <c r="M73" s="344" t="s">
        <v>5</v>
      </c>
      <c r="N73" s="345"/>
    </row>
    <row r="74" spans="2:14" ht="12" customHeight="1" thickBot="1">
      <c r="B74" s="314"/>
      <c r="C74" s="315" t="s">
        <v>34</v>
      </c>
      <c r="D74" s="315" t="s">
        <v>35</v>
      </c>
      <c r="E74" s="315" t="s">
        <v>34</v>
      </c>
      <c r="F74" s="315" t="s">
        <v>35</v>
      </c>
      <c r="G74" s="315" t="s">
        <v>34</v>
      </c>
      <c r="H74" s="315" t="s">
        <v>35</v>
      </c>
      <c r="I74" s="315" t="s">
        <v>59</v>
      </c>
      <c r="J74" s="315" t="s">
        <v>60</v>
      </c>
      <c r="K74" s="315" t="s">
        <v>34</v>
      </c>
      <c r="L74" s="322" t="s">
        <v>35</v>
      </c>
      <c r="M74" s="324" t="s">
        <v>34</v>
      </c>
      <c r="N74" s="316" t="s">
        <v>35</v>
      </c>
    </row>
    <row r="75" spans="2:14" ht="12" customHeight="1" thickTop="1">
      <c r="B75" s="311">
        <f>B69</f>
        <v>43617</v>
      </c>
      <c r="C75" s="312">
        <f>'外国語実績201201-201712'!C850</f>
        <v>31</v>
      </c>
      <c r="D75" s="312">
        <f>'外国語実績201201-201712'!D850</f>
        <v>45</v>
      </c>
      <c r="E75" s="312">
        <f>'外国語実績201201-201712'!E850</f>
        <v>9</v>
      </c>
      <c r="F75" s="312">
        <f>'外国語実績201201-201712'!F850</f>
        <v>10</v>
      </c>
      <c r="G75" s="312">
        <f>'外国語実績201201-201712'!G850</f>
        <v>3</v>
      </c>
      <c r="H75" s="312">
        <f>'外国語実績201201-201712'!H850</f>
        <v>4</v>
      </c>
      <c r="I75" s="312">
        <f>'外国語実績201201-201712'!I850</f>
        <v>0</v>
      </c>
      <c r="J75" s="312">
        <f>'外国語実績201201-201712'!J850</f>
        <v>1</v>
      </c>
      <c r="K75" s="312">
        <f>'外国語実績201201-201712'!K850</f>
        <v>0</v>
      </c>
      <c r="L75" s="323">
        <f>'外国語実績201201-201712'!L850</f>
        <v>0</v>
      </c>
      <c r="M75" s="325">
        <f t="shared" ref="M75:M76" si="99">+C75+E75+G75+I75+K75</f>
        <v>43</v>
      </c>
      <c r="N75" s="313">
        <f>+D75+F75+H75+J75+L75</f>
        <v>60</v>
      </c>
    </row>
    <row r="76" spans="2:14" ht="12" customHeight="1">
      <c r="B76" s="309">
        <f>B70</f>
        <v>43983</v>
      </c>
      <c r="C76" s="304">
        <f>'外国語実績201201-201712'!C862</f>
        <v>8</v>
      </c>
      <c r="D76" s="304">
        <f>'外国語実績201201-201712'!D862</f>
        <v>10</v>
      </c>
      <c r="E76" s="304">
        <f>'外国語実績201201-201712'!E862</f>
        <v>0</v>
      </c>
      <c r="F76" s="304">
        <f>'外国語実績201201-201712'!F862</f>
        <v>0</v>
      </c>
      <c r="G76" s="304">
        <f>'外国語実績201201-201712'!G862</f>
        <v>0</v>
      </c>
      <c r="H76" s="304">
        <f>'外国語実績201201-201712'!H862</f>
        <v>0</v>
      </c>
      <c r="I76" s="304">
        <f>'外国語実績201201-201712'!I862</f>
        <v>0</v>
      </c>
      <c r="J76" s="304">
        <f>'外国語実績201201-201712'!J862</f>
        <v>0</v>
      </c>
      <c r="K76" s="304">
        <f>'外国語実績201201-201712'!K862</f>
        <v>0</v>
      </c>
      <c r="L76" s="306">
        <f>'外国語実績201201-201712'!L862</f>
        <v>0</v>
      </c>
      <c r="M76" s="326">
        <f t="shared" si="99"/>
        <v>8</v>
      </c>
      <c r="N76" s="305">
        <f>+D76+F76+H76+J76+L76</f>
        <v>10</v>
      </c>
    </row>
    <row r="77" spans="2:14" ht="12" customHeight="1" thickBot="1">
      <c r="B77" s="310" t="s">
        <v>241</v>
      </c>
      <c r="C77" s="328">
        <f>(C76-C75)/C75</f>
        <v>-0.74193548387096775</v>
      </c>
      <c r="D77" s="328">
        <f t="shared" ref="D77" si="100">(D76-D75)/D75</f>
        <v>-0.77777777777777779</v>
      </c>
      <c r="E77" s="328">
        <f t="shared" ref="E77" si="101">(E76-E75)/E75</f>
        <v>-1</v>
      </c>
      <c r="F77" s="328">
        <f t="shared" ref="F77" si="102">(F76-F75)/F75</f>
        <v>-1</v>
      </c>
      <c r="G77" s="328">
        <f t="shared" ref="G77" si="103">(G76-G75)/G75</f>
        <v>-1</v>
      </c>
      <c r="H77" s="328">
        <f t="shared" ref="H77" si="104">(H76-H75)/H75</f>
        <v>-1</v>
      </c>
      <c r="I77" s="328" t="e">
        <f t="shared" ref="I77" si="105">(I76-I75)/I75</f>
        <v>#DIV/0!</v>
      </c>
      <c r="J77" s="328">
        <f t="shared" ref="J77" si="106">(J76-J75)/J75</f>
        <v>-1</v>
      </c>
      <c r="K77" s="328" t="e">
        <f t="shared" ref="K77" si="107">(K76-K75)/K75</f>
        <v>#DIV/0!</v>
      </c>
      <c r="L77" s="329" t="e">
        <f t="shared" ref="L77" si="108">(L76-L75)/L75</f>
        <v>#DIV/0!</v>
      </c>
      <c r="M77" s="330">
        <f t="shared" ref="M77" si="109">(M76-M75)/M75</f>
        <v>-0.81395348837209303</v>
      </c>
      <c r="N77" s="331">
        <f>(N76-N75)/N75</f>
        <v>-0.83333333333333337</v>
      </c>
    </row>
    <row r="78" spans="2:14" ht="12" customHeight="1" thickBot="1"/>
    <row r="79" spans="2:14" ht="12" customHeight="1">
      <c r="B79" s="23" t="s">
        <v>68</v>
      </c>
      <c r="C79" s="346" t="s">
        <v>29</v>
      </c>
      <c r="D79" s="347"/>
      <c r="E79" s="346" t="s">
        <v>30</v>
      </c>
      <c r="F79" s="347"/>
      <c r="G79" s="353" t="s">
        <v>31</v>
      </c>
      <c r="H79" s="347"/>
      <c r="I79" s="353" t="s">
        <v>58</v>
      </c>
      <c r="J79" s="347"/>
      <c r="K79" s="346" t="s">
        <v>57</v>
      </c>
      <c r="L79" s="345"/>
      <c r="M79" s="344" t="s">
        <v>5</v>
      </c>
      <c r="N79" s="345"/>
    </row>
    <row r="80" spans="2:14" ht="12" customHeight="1" thickBot="1">
      <c r="B80" s="314"/>
      <c r="C80" s="315" t="s">
        <v>34</v>
      </c>
      <c r="D80" s="315" t="s">
        <v>35</v>
      </c>
      <c r="E80" s="315" t="s">
        <v>34</v>
      </c>
      <c r="F80" s="315" t="s">
        <v>35</v>
      </c>
      <c r="G80" s="315" t="s">
        <v>34</v>
      </c>
      <c r="H80" s="315" t="s">
        <v>35</v>
      </c>
      <c r="I80" s="315" t="s">
        <v>59</v>
      </c>
      <c r="J80" s="315" t="s">
        <v>60</v>
      </c>
      <c r="K80" s="315" t="s">
        <v>34</v>
      </c>
      <c r="L80" s="322" t="s">
        <v>35</v>
      </c>
      <c r="M80" s="324" t="s">
        <v>34</v>
      </c>
      <c r="N80" s="316" t="s">
        <v>35</v>
      </c>
    </row>
    <row r="81" spans="2:14" ht="12" customHeight="1" thickTop="1">
      <c r="B81" s="311">
        <f>B75</f>
        <v>43617</v>
      </c>
      <c r="C81" s="312">
        <f>'外国語実績201201-201712'!C902</f>
        <v>16</v>
      </c>
      <c r="D81" s="312">
        <f>'外国語実績201201-201712'!D902</f>
        <v>17</v>
      </c>
      <c r="E81" s="312">
        <f>'外国語実績201201-201712'!E902</f>
        <v>0</v>
      </c>
      <c r="F81" s="312">
        <f>'外国語実績201201-201712'!F902</f>
        <v>0</v>
      </c>
      <c r="G81" s="312">
        <f>'外国語実績201201-201712'!G902</f>
        <v>1</v>
      </c>
      <c r="H81" s="312">
        <f>'外国語実績201201-201712'!H902</f>
        <v>1</v>
      </c>
      <c r="I81" s="312">
        <f>'外国語実績201201-201712'!I902</f>
        <v>0</v>
      </c>
      <c r="J81" s="312">
        <f>'外国語実績201201-201712'!J902</f>
        <v>0</v>
      </c>
      <c r="K81" s="312">
        <f>'外国語実績201201-201712'!K902</f>
        <v>0</v>
      </c>
      <c r="L81" s="323">
        <f>'外国語実績201201-201712'!L902</f>
        <v>0</v>
      </c>
      <c r="M81" s="325">
        <f t="shared" ref="M81:M82" si="110">+C81+E81+G81+I81+K81</f>
        <v>17</v>
      </c>
      <c r="N81" s="313">
        <f>+D81+F81+H81+J81+L81</f>
        <v>18</v>
      </c>
    </row>
    <row r="82" spans="2:14" ht="12" customHeight="1">
      <c r="B82" s="309">
        <f>B76</f>
        <v>43983</v>
      </c>
      <c r="C82" s="304">
        <f>'外国語実績201201-201712'!C914</f>
        <v>0</v>
      </c>
      <c r="D82" s="304">
        <f>'外国語実績201201-201712'!D914</f>
        <v>0</v>
      </c>
      <c r="E82" s="304">
        <f>'外国語実績201201-201712'!E914</f>
        <v>0</v>
      </c>
      <c r="F82" s="304">
        <f>'外国語実績201201-201712'!F914</f>
        <v>0</v>
      </c>
      <c r="G82" s="304">
        <f>'外国語実績201201-201712'!G914</f>
        <v>0</v>
      </c>
      <c r="H82" s="304">
        <f>'外国語実績201201-201712'!H914</f>
        <v>0</v>
      </c>
      <c r="I82" s="304">
        <f>'外国語実績201201-201712'!I914</f>
        <v>0</v>
      </c>
      <c r="J82" s="304">
        <f>'外国語実績201201-201712'!J914</f>
        <v>0</v>
      </c>
      <c r="K82" s="304">
        <f>'外国語実績201201-201712'!K914</f>
        <v>0</v>
      </c>
      <c r="L82" s="306">
        <f>'外国語実績201201-201712'!L914</f>
        <v>0</v>
      </c>
      <c r="M82" s="326">
        <f t="shared" si="110"/>
        <v>0</v>
      </c>
      <c r="N82" s="305">
        <f>+D82+F82+H82+J82+L82</f>
        <v>0</v>
      </c>
    </row>
    <row r="83" spans="2:14" ht="12" customHeight="1" thickBot="1">
      <c r="B83" s="310" t="s">
        <v>241</v>
      </c>
      <c r="C83" s="328">
        <f>(C82-C81)/C81</f>
        <v>-1</v>
      </c>
      <c r="D83" s="328">
        <f t="shared" ref="D83" si="111">(D82-D81)/D81</f>
        <v>-1</v>
      </c>
      <c r="E83" s="328" t="e">
        <f t="shared" ref="E83" si="112">(E82-E81)/E81</f>
        <v>#DIV/0!</v>
      </c>
      <c r="F83" s="328" t="e">
        <f t="shared" ref="F83" si="113">(F82-F81)/F81</f>
        <v>#DIV/0!</v>
      </c>
      <c r="G83" s="328">
        <f t="shared" ref="G83" si="114">(G82-G81)/G81</f>
        <v>-1</v>
      </c>
      <c r="H83" s="328">
        <f t="shared" ref="H83" si="115">(H82-H81)/H81</f>
        <v>-1</v>
      </c>
      <c r="I83" s="328" t="e">
        <f t="shared" ref="I83" si="116">(I82-I81)/I81</f>
        <v>#DIV/0!</v>
      </c>
      <c r="J83" s="328" t="e">
        <f t="shared" ref="J83" si="117">(J82-J81)/J81</f>
        <v>#DIV/0!</v>
      </c>
      <c r="K83" s="328" t="e">
        <f t="shared" ref="K83" si="118">(K82-K81)/K81</f>
        <v>#DIV/0!</v>
      </c>
      <c r="L83" s="329" t="e">
        <f t="shared" ref="L83" si="119">(L82-L81)/L81</f>
        <v>#DIV/0!</v>
      </c>
      <c r="M83" s="330">
        <f t="shared" ref="M83" si="120">(M82-M81)/M81</f>
        <v>-1</v>
      </c>
      <c r="N83" s="331">
        <f>(N82-N81)/N81</f>
        <v>-1</v>
      </c>
    </row>
    <row r="84" spans="2:14" ht="12" customHeight="1" thickBot="1"/>
    <row r="85" spans="2:14" ht="12" customHeight="1">
      <c r="B85" s="23" t="s">
        <v>67</v>
      </c>
      <c r="C85" s="346" t="s">
        <v>29</v>
      </c>
      <c r="D85" s="347"/>
      <c r="E85" s="346" t="s">
        <v>30</v>
      </c>
      <c r="F85" s="347"/>
      <c r="G85" s="353" t="s">
        <v>31</v>
      </c>
      <c r="H85" s="347"/>
      <c r="I85" s="353" t="s">
        <v>58</v>
      </c>
      <c r="J85" s="347"/>
      <c r="K85" s="346" t="s">
        <v>57</v>
      </c>
      <c r="L85" s="345"/>
      <c r="M85" s="344" t="s">
        <v>5</v>
      </c>
      <c r="N85" s="345"/>
    </row>
    <row r="86" spans="2:14" ht="12" customHeight="1" thickBot="1">
      <c r="B86" s="314"/>
      <c r="C86" s="315" t="s">
        <v>34</v>
      </c>
      <c r="D86" s="315" t="s">
        <v>35</v>
      </c>
      <c r="E86" s="315" t="s">
        <v>34</v>
      </c>
      <c r="F86" s="315" t="s">
        <v>35</v>
      </c>
      <c r="G86" s="315" t="s">
        <v>34</v>
      </c>
      <c r="H86" s="315" t="s">
        <v>35</v>
      </c>
      <c r="I86" s="315" t="s">
        <v>59</v>
      </c>
      <c r="J86" s="315" t="s">
        <v>60</v>
      </c>
      <c r="K86" s="315" t="s">
        <v>34</v>
      </c>
      <c r="L86" s="316" t="s">
        <v>35</v>
      </c>
      <c r="M86" s="317" t="s">
        <v>34</v>
      </c>
      <c r="N86" s="316" t="s">
        <v>35</v>
      </c>
    </row>
    <row r="87" spans="2:14" ht="12" customHeight="1" thickTop="1">
      <c r="B87" s="311">
        <f>B81</f>
        <v>43617</v>
      </c>
      <c r="C87" s="312">
        <f>'外国語実績201201-201712'!C961</f>
        <v>0</v>
      </c>
      <c r="D87" s="312">
        <f>'外国語実績201201-201712'!D961</f>
        <v>0</v>
      </c>
      <c r="E87" s="312">
        <f>'外国語実績201201-201712'!E961</f>
        <v>0</v>
      </c>
      <c r="F87" s="312">
        <f>'外国語実績201201-201712'!F961</f>
        <v>0</v>
      </c>
      <c r="G87" s="312">
        <f>'外国語実績201201-201712'!G961</f>
        <v>0</v>
      </c>
      <c r="H87" s="312">
        <f>'外国語実績201201-201712'!H961</f>
        <v>0</v>
      </c>
      <c r="I87" s="312">
        <f>'外国語実績201201-201712'!I961</f>
        <v>0</v>
      </c>
      <c r="J87" s="312">
        <f>'外国語実績201201-201712'!J961</f>
        <v>0</v>
      </c>
      <c r="K87" s="312">
        <f>'外国語実績201201-201712'!K961</f>
        <v>0</v>
      </c>
      <c r="L87" s="312">
        <f>'外国語実績201201-201712'!L961</f>
        <v>0</v>
      </c>
      <c r="M87" s="318">
        <f t="shared" ref="M87:M88" si="121">+C87+E87+G87+I87+K87</f>
        <v>0</v>
      </c>
      <c r="N87" s="313">
        <f>+D87+F87+H87+J87+L87</f>
        <v>0</v>
      </c>
    </row>
    <row r="88" spans="2:14" ht="12" customHeight="1">
      <c r="B88" s="309">
        <f>B82</f>
        <v>43983</v>
      </c>
      <c r="C88" s="304">
        <f>'外国語実績201201-201712'!C973</f>
        <v>0</v>
      </c>
      <c r="D88" s="304">
        <f>'外国語実績201201-201712'!D973</f>
        <v>0</v>
      </c>
      <c r="E88" s="304">
        <f>'外国語実績201201-201712'!E973</f>
        <v>0</v>
      </c>
      <c r="F88" s="304">
        <f>'外国語実績201201-201712'!F973</f>
        <v>0</v>
      </c>
      <c r="G88" s="304">
        <f>'外国語実績201201-201712'!G973</f>
        <v>0</v>
      </c>
      <c r="H88" s="304">
        <f>'外国語実績201201-201712'!H973</f>
        <v>0</v>
      </c>
      <c r="I88" s="304">
        <f>'外国語実績201201-201712'!I973</f>
        <v>0</v>
      </c>
      <c r="J88" s="304">
        <f>'外国語実績201201-201712'!J973</f>
        <v>0</v>
      </c>
      <c r="K88" s="304">
        <f>'外国語実績201201-201712'!K973</f>
        <v>0</v>
      </c>
      <c r="L88" s="304">
        <f>'外国語実績201201-201712'!L973</f>
        <v>0</v>
      </c>
      <c r="M88" s="319">
        <f t="shared" si="121"/>
        <v>0</v>
      </c>
      <c r="N88" s="305">
        <f>+D88+F88+H88+J88+L88</f>
        <v>0</v>
      </c>
    </row>
    <row r="89" spans="2:14" ht="12" customHeight="1" thickBot="1">
      <c r="B89" s="310" t="s">
        <v>241</v>
      </c>
      <c r="C89" s="328" t="e">
        <f>(C88-C87)/C87</f>
        <v>#DIV/0!</v>
      </c>
      <c r="D89" s="328" t="e">
        <f t="shared" ref="D89" si="122">(D88-D87)/D87</f>
        <v>#DIV/0!</v>
      </c>
      <c r="E89" s="328" t="e">
        <f t="shared" ref="E89" si="123">(E88-E87)/E87</f>
        <v>#DIV/0!</v>
      </c>
      <c r="F89" s="328" t="e">
        <f t="shared" ref="F89" si="124">(F88-F87)/F87</f>
        <v>#DIV/0!</v>
      </c>
      <c r="G89" s="328" t="e">
        <f t="shared" ref="G89" si="125">(G88-G87)/G87</f>
        <v>#DIV/0!</v>
      </c>
      <c r="H89" s="328" t="e">
        <f t="shared" ref="H89" si="126">(H88-H87)/H87</f>
        <v>#DIV/0!</v>
      </c>
      <c r="I89" s="328" t="e">
        <f t="shared" ref="I89" si="127">(I88-I87)/I87</f>
        <v>#DIV/0!</v>
      </c>
      <c r="J89" s="328" t="e">
        <f t="shared" ref="J89" si="128">(J88-J87)/J87</f>
        <v>#DIV/0!</v>
      </c>
      <c r="K89" s="328" t="e">
        <f t="shared" ref="K89" si="129">(K88-K87)/K87</f>
        <v>#DIV/0!</v>
      </c>
      <c r="L89" s="329" t="e">
        <f t="shared" ref="L89" si="130">(L88-L87)/L87</f>
        <v>#DIV/0!</v>
      </c>
      <c r="M89" s="330" t="e">
        <f t="shared" ref="M89" si="131">(M88-M87)/M87</f>
        <v>#DIV/0!</v>
      </c>
      <c r="N89" s="331" t="e">
        <f>(N88-N87)/N87</f>
        <v>#DIV/0!</v>
      </c>
    </row>
    <row r="90" spans="2:14" ht="12" customHeight="1" thickBot="1"/>
    <row r="91" spans="2:14" ht="12" customHeight="1">
      <c r="B91" s="23" t="s">
        <v>79</v>
      </c>
      <c r="C91" s="346" t="s">
        <v>29</v>
      </c>
      <c r="D91" s="347"/>
      <c r="E91" s="346" t="s">
        <v>30</v>
      </c>
      <c r="F91" s="347"/>
      <c r="G91" s="353" t="s">
        <v>31</v>
      </c>
      <c r="H91" s="347"/>
      <c r="I91" s="353" t="s">
        <v>58</v>
      </c>
      <c r="J91" s="347"/>
      <c r="K91" s="346" t="s">
        <v>57</v>
      </c>
      <c r="L91" s="345"/>
      <c r="M91" s="344" t="s">
        <v>5</v>
      </c>
      <c r="N91" s="345"/>
    </row>
    <row r="92" spans="2:14" ht="12" customHeight="1" thickBot="1">
      <c r="B92" s="314"/>
      <c r="C92" s="315" t="s">
        <v>34</v>
      </c>
      <c r="D92" s="315" t="s">
        <v>35</v>
      </c>
      <c r="E92" s="315" t="s">
        <v>34</v>
      </c>
      <c r="F92" s="315" t="s">
        <v>35</v>
      </c>
      <c r="G92" s="315" t="s">
        <v>34</v>
      </c>
      <c r="H92" s="315" t="s">
        <v>35</v>
      </c>
      <c r="I92" s="315" t="s">
        <v>59</v>
      </c>
      <c r="J92" s="315" t="s">
        <v>60</v>
      </c>
      <c r="K92" s="315" t="s">
        <v>34</v>
      </c>
      <c r="L92" s="322" t="s">
        <v>35</v>
      </c>
      <c r="M92" s="324" t="s">
        <v>34</v>
      </c>
      <c r="N92" s="316" t="s">
        <v>35</v>
      </c>
    </row>
    <row r="93" spans="2:14" ht="12" customHeight="1" thickTop="1">
      <c r="B93" s="311">
        <f>B87</f>
        <v>43617</v>
      </c>
      <c r="C93" s="312">
        <f>'外国語実績201201-201712'!C1013</f>
        <v>8</v>
      </c>
      <c r="D93" s="312">
        <f>'外国語実績201201-201712'!D1013</f>
        <v>11</v>
      </c>
      <c r="E93" s="312">
        <f>'外国語実績201201-201712'!E1013</f>
        <v>0</v>
      </c>
      <c r="F93" s="312">
        <f>'外国語実績201201-201712'!F1013</f>
        <v>0</v>
      </c>
      <c r="G93" s="312">
        <f>'外国語実績201201-201712'!G1013</f>
        <v>3</v>
      </c>
      <c r="H93" s="312">
        <f>'外国語実績201201-201712'!H1013</f>
        <v>4</v>
      </c>
      <c r="I93" s="312">
        <f>'外国語実績201201-201712'!I1013</f>
        <v>3</v>
      </c>
      <c r="J93" s="312">
        <f>'外国語実績201201-201712'!J1013</f>
        <v>8</v>
      </c>
      <c r="K93" s="312">
        <f>'外国語実績201201-201712'!K1013</f>
        <v>0</v>
      </c>
      <c r="L93" s="323">
        <f>'外国語実績201201-201712'!L1013</f>
        <v>0</v>
      </c>
      <c r="M93" s="325">
        <f t="shared" ref="M93:M94" si="132">+C93+E93+G93+I93+K93</f>
        <v>14</v>
      </c>
      <c r="N93" s="313">
        <f>+D93+F93+H93+J93+L93</f>
        <v>23</v>
      </c>
    </row>
    <row r="94" spans="2:14" ht="12" customHeight="1">
      <c r="B94" s="309">
        <f>B88</f>
        <v>43983</v>
      </c>
      <c r="C94" s="304">
        <f>'外国語実績201201-201712'!C1025</f>
        <v>0</v>
      </c>
      <c r="D94" s="304">
        <f>'外国語実績201201-201712'!D1025</f>
        <v>0</v>
      </c>
      <c r="E94" s="304">
        <f>'外国語実績201201-201712'!E1025</f>
        <v>0</v>
      </c>
      <c r="F94" s="304">
        <f>'外国語実績201201-201712'!F1025</f>
        <v>0</v>
      </c>
      <c r="G94" s="304">
        <f>'外国語実績201201-201712'!G1025</f>
        <v>0</v>
      </c>
      <c r="H94" s="304">
        <f>'外国語実績201201-201712'!H1025</f>
        <v>0</v>
      </c>
      <c r="I94" s="304">
        <f>'外国語実績201201-201712'!I1025</f>
        <v>0</v>
      </c>
      <c r="J94" s="304">
        <f>'外国語実績201201-201712'!J1025</f>
        <v>0</v>
      </c>
      <c r="K94" s="304">
        <f>'外国語実績201201-201712'!K1025</f>
        <v>0</v>
      </c>
      <c r="L94" s="306">
        <f>'外国語実績201201-201712'!L1025</f>
        <v>0</v>
      </c>
      <c r="M94" s="326">
        <f t="shared" si="132"/>
        <v>0</v>
      </c>
      <c r="N94" s="305">
        <f>+D94+F94+H94+J94+L94</f>
        <v>0</v>
      </c>
    </row>
    <row r="95" spans="2:14" ht="12" customHeight="1" thickBot="1">
      <c r="B95" s="310" t="s">
        <v>241</v>
      </c>
      <c r="C95" s="328">
        <f>(C94-C93)/C93</f>
        <v>-1</v>
      </c>
      <c r="D95" s="328">
        <f t="shared" ref="D95" si="133">(D94-D93)/D93</f>
        <v>-1</v>
      </c>
      <c r="E95" s="328" t="e">
        <f t="shared" ref="E95" si="134">(E94-E93)/E93</f>
        <v>#DIV/0!</v>
      </c>
      <c r="F95" s="328" t="e">
        <f t="shared" ref="F95" si="135">(F94-F93)/F93</f>
        <v>#DIV/0!</v>
      </c>
      <c r="G95" s="328">
        <f t="shared" ref="G95" si="136">(G94-G93)/G93</f>
        <v>-1</v>
      </c>
      <c r="H95" s="328">
        <f t="shared" ref="H95" si="137">(H94-H93)/H93</f>
        <v>-1</v>
      </c>
      <c r="I95" s="328">
        <f t="shared" ref="I95" si="138">(I94-I93)/I93</f>
        <v>-1</v>
      </c>
      <c r="J95" s="328">
        <f t="shared" ref="J95" si="139">(J94-J93)/J93</f>
        <v>-1</v>
      </c>
      <c r="K95" s="328" t="e">
        <f t="shared" ref="K95" si="140">(K94-K93)/K93</f>
        <v>#DIV/0!</v>
      </c>
      <c r="L95" s="329" t="e">
        <f t="shared" ref="L95" si="141">(L94-L93)/L93</f>
        <v>#DIV/0!</v>
      </c>
      <c r="M95" s="330">
        <f t="shared" ref="M95" si="142">(M94-M93)/M93</f>
        <v>-1</v>
      </c>
      <c r="N95" s="331">
        <f>(N94-N93)/N93</f>
        <v>-1</v>
      </c>
    </row>
    <row r="96" spans="2:14" ht="12" customHeight="1" thickBot="1"/>
    <row r="97" spans="2:14" ht="12" customHeight="1">
      <c r="B97" s="23" t="s">
        <v>80</v>
      </c>
      <c r="C97" s="346" t="s">
        <v>29</v>
      </c>
      <c r="D97" s="347"/>
      <c r="E97" s="346" t="s">
        <v>30</v>
      </c>
      <c r="F97" s="347"/>
      <c r="G97" s="353" t="s">
        <v>31</v>
      </c>
      <c r="H97" s="347"/>
      <c r="I97" s="353" t="s">
        <v>58</v>
      </c>
      <c r="J97" s="347"/>
      <c r="K97" s="346" t="s">
        <v>57</v>
      </c>
      <c r="L97" s="345"/>
      <c r="M97" s="344" t="s">
        <v>5</v>
      </c>
      <c r="N97" s="345"/>
    </row>
    <row r="98" spans="2:14" ht="12" customHeight="1" thickBot="1">
      <c r="B98" s="314"/>
      <c r="C98" s="315" t="s">
        <v>34</v>
      </c>
      <c r="D98" s="315" t="s">
        <v>35</v>
      </c>
      <c r="E98" s="315" t="s">
        <v>34</v>
      </c>
      <c r="F98" s="315" t="s">
        <v>35</v>
      </c>
      <c r="G98" s="315" t="s">
        <v>34</v>
      </c>
      <c r="H98" s="315" t="s">
        <v>35</v>
      </c>
      <c r="I98" s="315" t="s">
        <v>59</v>
      </c>
      <c r="J98" s="315" t="s">
        <v>60</v>
      </c>
      <c r="K98" s="315" t="s">
        <v>34</v>
      </c>
      <c r="L98" s="322" t="s">
        <v>35</v>
      </c>
      <c r="M98" s="324" t="s">
        <v>34</v>
      </c>
      <c r="N98" s="316" t="s">
        <v>35</v>
      </c>
    </row>
    <row r="99" spans="2:14" ht="12" customHeight="1" thickTop="1">
      <c r="B99" s="311">
        <f>B93</f>
        <v>43617</v>
      </c>
      <c r="C99" s="312">
        <f>'外国語実績201201-201712'!C1065</f>
        <v>5</v>
      </c>
      <c r="D99" s="312">
        <f>'外国語実績201201-201712'!D1065</f>
        <v>7</v>
      </c>
      <c r="E99" s="312">
        <f>'外国語実績201201-201712'!E1065</f>
        <v>1</v>
      </c>
      <c r="F99" s="312">
        <f>'外国語実績201201-201712'!F1065</f>
        <v>1</v>
      </c>
      <c r="G99" s="312">
        <f>'外国語実績201201-201712'!G1065</f>
        <v>1</v>
      </c>
      <c r="H99" s="312">
        <f>'外国語実績201201-201712'!H1065</f>
        <v>0</v>
      </c>
      <c r="I99" s="312">
        <f>'外国語実績201201-201712'!I1065</f>
        <v>1</v>
      </c>
      <c r="J99" s="312">
        <f>'外国語実績201201-201712'!J1065</f>
        <v>2</v>
      </c>
      <c r="K99" s="312">
        <f>'外国語実績201201-201712'!K1065</f>
        <v>0</v>
      </c>
      <c r="L99" s="323">
        <f>'外国語実績201201-201712'!L1065</f>
        <v>2</v>
      </c>
      <c r="M99" s="325">
        <f t="shared" ref="M99:M100" si="143">+C99+E99+G99+I99+K99</f>
        <v>8</v>
      </c>
      <c r="N99" s="313">
        <f>+D99+F99+H99+J99+L99</f>
        <v>12</v>
      </c>
    </row>
    <row r="100" spans="2:14" ht="12" customHeight="1">
      <c r="B100" s="309">
        <f>B94</f>
        <v>43983</v>
      </c>
      <c r="C100" s="304">
        <f>'外国語実績201201-201712'!C1077</f>
        <v>0</v>
      </c>
      <c r="D100" s="304">
        <f>'外国語実績201201-201712'!D1077</f>
        <v>1</v>
      </c>
      <c r="E100" s="304">
        <f>'外国語実績201201-201712'!E1077</f>
        <v>0</v>
      </c>
      <c r="F100" s="304">
        <f>'外国語実績201201-201712'!F1077</f>
        <v>0</v>
      </c>
      <c r="G100" s="304">
        <f>'外国語実績201201-201712'!G1077</f>
        <v>0</v>
      </c>
      <c r="H100" s="304">
        <f>'外国語実績201201-201712'!H1077</f>
        <v>0</v>
      </c>
      <c r="I100" s="304">
        <f>'外国語実績201201-201712'!I1077</f>
        <v>0</v>
      </c>
      <c r="J100" s="304">
        <f>'外国語実績201201-201712'!J1077</f>
        <v>0</v>
      </c>
      <c r="K100" s="304">
        <f>'外国語実績201201-201712'!K1077</f>
        <v>0</v>
      </c>
      <c r="L100" s="306">
        <f>'外国語実績201201-201712'!L1077</f>
        <v>0</v>
      </c>
      <c r="M100" s="326">
        <f t="shared" si="143"/>
        <v>0</v>
      </c>
      <c r="N100" s="305">
        <f>+D100+F100+H100+J100+L100</f>
        <v>1</v>
      </c>
    </row>
    <row r="101" spans="2:14" ht="12" customHeight="1" thickBot="1">
      <c r="B101" s="310" t="s">
        <v>241</v>
      </c>
      <c r="C101" s="328">
        <f>(C100-C99)/C99</f>
        <v>-1</v>
      </c>
      <c r="D101" s="328">
        <f t="shared" ref="D101" si="144">(D100-D99)/D99</f>
        <v>-0.8571428571428571</v>
      </c>
      <c r="E101" s="328">
        <f t="shared" ref="E101" si="145">(E100-E99)/E99</f>
        <v>-1</v>
      </c>
      <c r="F101" s="328">
        <f t="shared" ref="F101" si="146">(F100-F99)/F99</f>
        <v>-1</v>
      </c>
      <c r="G101" s="328">
        <f t="shared" ref="G101" si="147">(G100-G99)/G99</f>
        <v>-1</v>
      </c>
      <c r="H101" s="328" t="e">
        <f t="shared" ref="H101" si="148">(H100-H99)/H99</f>
        <v>#DIV/0!</v>
      </c>
      <c r="I101" s="328">
        <f t="shared" ref="I101" si="149">(I100-I99)/I99</f>
        <v>-1</v>
      </c>
      <c r="J101" s="328">
        <f t="shared" ref="J101" si="150">(J100-J99)/J99</f>
        <v>-1</v>
      </c>
      <c r="K101" s="328" t="e">
        <f t="shared" ref="K101" si="151">(K100-K99)/K99</f>
        <v>#DIV/0!</v>
      </c>
      <c r="L101" s="329">
        <f t="shared" ref="L101" si="152">(L100-L99)/L99</f>
        <v>-1</v>
      </c>
      <c r="M101" s="330">
        <f t="shared" ref="M101" si="153">(M100-M99)/M99</f>
        <v>-1</v>
      </c>
      <c r="N101" s="331">
        <f>(N100-N99)/N99</f>
        <v>-0.91666666666666663</v>
      </c>
    </row>
    <row r="102" spans="2:14" ht="12" customHeight="1" thickBot="1"/>
    <row r="103" spans="2:14" ht="12" customHeight="1">
      <c r="B103" s="23" t="s">
        <v>81</v>
      </c>
      <c r="C103" s="346" t="s">
        <v>29</v>
      </c>
      <c r="D103" s="347"/>
      <c r="E103" s="346" t="s">
        <v>30</v>
      </c>
      <c r="F103" s="347"/>
      <c r="G103" s="353" t="s">
        <v>31</v>
      </c>
      <c r="H103" s="347"/>
      <c r="I103" s="353" t="s">
        <v>58</v>
      </c>
      <c r="J103" s="347"/>
      <c r="K103" s="346" t="s">
        <v>57</v>
      </c>
      <c r="L103" s="345"/>
      <c r="M103" s="344" t="s">
        <v>5</v>
      </c>
      <c r="N103" s="345"/>
    </row>
    <row r="104" spans="2:14" ht="12" customHeight="1" thickBot="1">
      <c r="B104" s="314"/>
      <c r="C104" s="315" t="s">
        <v>34</v>
      </c>
      <c r="D104" s="315" t="s">
        <v>35</v>
      </c>
      <c r="E104" s="315" t="s">
        <v>34</v>
      </c>
      <c r="F104" s="315" t="s">
        <v>35</v>
      </c>
      <c r="G104" s="315" t="s">
        <v>34</v>
      </c>
      <c r="H104" s="315" t="s">
        <v>35</v>
      </c>
      <c r="I104" s="315" t="s">
        <v>59</v>
      </c>
      <c r="J104" s="315" t="s">
        <v>60</v>
      </c>
      <c r="K104" s="315" t="s">
        <v>34</v>
      </c>
      <c r="L104" s="322" t="s">
        <v>35</v>
      </c>
      <c r="M104" s="324" t="s">
        <v>34</v>
      </c>
      <c r="N104" s="316" t="s">
        <v>35</v>
      </c>
    </row>
    <row r="105" spans="2:14" ht="12" customHeight="1" thickTop="1">
      <c r="B105" s="311">
        <f>B99</f>
        <v>43617</v>
      </c>
      <c r="C105" s="312">
        <f>'外国語実績201201-201712'!C1117</f>
        <v>9</v>
      </c>
      <c r="D105" s="312">
        <f>'外国語実績201201-201712'!D1117</f>
        <v>11</v>
      </c>
      <c r="E105" s="312">
        <f>'外国語実績201201-201712'!E1117</f>
        <v>2</v>
      </c>
      <c r="F105" s="312">
        <f>'外国語実績201201-201712'!F1117</f>
        <v>3</v>
      </c>
      <c r="G105" s="312">
        <f>'外国語実績201201-201712'!G1117</f>
        <v>1</v>
      </c>
      <c r="H105" s="312">
        <f>'外国語実績201201-201712'!H1117</f>
        <v>5</v>
      </c>
      <c r="I105" s="312">
        <f>'外国語実績201201-201712'!I1117</f>
        <v>0</v>
      </c>
      <c r="J105" s="312">
        <f>'外国語実績201201-201712'!J1117</f>
        <v>0</v>
      </c>
      <c r="K105" s="312">
        <f>'外国語実績201201-201712'!K1117</f>
        <v>0</v>
      </c>
      <c r="L105" s="323">
        <f>'外国語実績201201-201712'!L1117</f>
        <v>0</v>
      </c>
      <c r="M105" s="325">
        <f t="shared" ref="M105:M106" si="154">+C105+E105+G105+I105+K105</f>
        <v>12</v>
      </c>
      <c r="N105" s="313">
        <f>+D105+F105+H105+J105+L105</f>
        <v>19</v>
      </c>
    </row>
    <row r="106" spans="2:14" ht="12" customHeight="1">
      <c r="B106" s="309">
        <f>B100</f>
        <v>43983</v>
      </c>
      <c r="C106" s="304">
        <f>'外国語実績201201-201712'!C1129</f>
        <v>4</v>
      </c>
      <c r="D106" s="304">
        <f>'外国語実績201201-201712'!D1129</f>
        <v>2</v>
      </c>
      <c r="E106" s="304">
        <f>'外国語実績201201-201712'!E1129</f>
        <v>0</v>
      </c>
      <c r="F106" s="304">
        <f>'外国語実績201201-201712'!F1129</f>
        <v>0</v>
      </c>
      <c r="G106" s="304">
        <f>'外国語実績201201-201712'!G1129</f>
        <v>0</v>
      </c>
      <c r="H106" s="304">
        <f>'外国語実績201201-201712'!H1129</f>
        <v>0</v>
      </c>
      <c r="I106" s="304">
        <f>'外国語実績201201-201712'!I1129</f>
        <v>0</v>
      </c>
      <c r="J106" s="304">
        <f>'外国語実績201201-201712'!J1129</f>
        <v>0</v>
      </c>
      <c r="K106" s="304">
        <f>'外国語実績201201-201712'!K1129</f>
        <v>0</v>
      </c>
      <c r="L106" s="306">
        <f>'外国語実績201201-201712'!L1129</f>
        <v>0</v>
      </c>
      <c r="M106" s="326">
        <f t="shared" si="154"/>
        <v>4</v>
      </c>
      <c r="N106" s="305">
        <f>+D106+F106+H106+J106+L106</f>
        <v>2</v>
      </c>
    </row>
    <row r="107" spans="2:14" ht="12" customHeight="1" thickBot="1">
      <c r="B107" s="310" t="s">
        <v>241</v>
      </c>
      <c r="C107" s="328">
        <f>(C106-C105)/C105</f>
        <v>-0.55555555555555558</v>
      </c>
      <c r="D107" s="328">
        <f t="shared" ref="D107" si="155">(D106-D105)/D105</f>
        <v>-0.81818181818181823</v>
      </c>
      <c r="E107" s="328">
        <f t="shared" ref="E107" si="156">(E106-E105)/E105</f>
        <v>-1</v>
      </c>
      <c r="F107" s="328">
        <f t="shared" ref="F107" si="157">(F106-F105)/F105</f>
        <v>-1</v>
      </c>
      <c r="G107" s="328">
        <f t="shared" ref="G107" si="158">(G106-G105)/G105</f>
        <v>-1</v>
      </c>
      <c r="H107" s="328">
        <f t="shared" ref="H107" si="159">(H106-H105)/H105</f>
        <v>-1</v>
      </c>
      <c r="I107" s="328" t="e">
        <f t="shared" ref="I107" si="160">(I106-I105)/I105</f>
        <v>#DIV/0!</v>
      </c>
      <c r="J107" s="328" t="e">
        <f t="shared" ref="J107" si="161">(J106-J105)/J105</f>
        <v>#DIV/0!</v>
      </c>
      <c r="K107" s="328" t="e">
        <f t="shared" ref="K107" si="162">(K106-K105)/K105</f>
        <v>#DIV/0!</v>
      </c>
      <c r="L107" s="329" t="e">
        <f t="shared" ref="L107" si="163">(L106-L105)/L105</f>
        <v>#DIV/0!</v>
      </c>
      <c r="M107" s="330">
        <f t="shared" ref="M107" si="164">(M106-M105)/M105</f>
        <v>-0.66666666666666663</v>
      </c>
      <c r="N107" s="331">
        <f>(N106-N105)/N105</f>
        <v>-0.89473684210526316</v>
      </c>
    </row>
    <row r="108" spans="2:14" ht="12" customHeight="1" thickBot="1"/>
    <row r="109" spans="2:14" ht="12" customHeight="1">
      <c r="B109" s="23" t="s">
        <v>82</v>
      </c>
      <c r="C109" s="346" t="s">
        <v>29</v>
      </c>
      <c r="D109" s="347"/>
      <c r="E109" s="346" t="s">
        <v>30</v>
      </c>
      <c r="F109" s="347"/>
      <c r="G109" s="353" t="s">
        <v>31</v>
      </c>
      <c r="H109" s="347"/>
      <c r="I109" s="353" t="s">
        <v>58</v>
      </c>
      <c r="J109" s="347"/>
      <c r="K109" s="346" t="s">
        <v>57</v>
      </c>
      <c r="L109" s="345"/>
      <c r="M109" s="344" t="s">
        <v>5</v>
      </c>
      <c r="N109" s="345"/>
    </row>
    <row r="110" spans="2:14" ht="12" customHeight="1" thickBot="1">
      <c r="B110" s="314"/>
      <c r="C110" s="315" t="s">
        <v>34</v>
      </c>
      <c r="D110" s="315" t="s">
        <v>35</v>
      </c>
      <c r="E110" s="315" t="s">
        <v>34</v>
      </c>
      <c r="F110" s="315" t="s">
        <v>35</v>
      </c>
      <c r="G110" s="315" t="s">
        <v>34</v>
      </c>
      <c r="H110" s="315" t="s">
        <v>35</v>
      </c>
      <c r="I110" s="315" t="s">
        <v>59</v>
      </c>
      <c r="J110" s="315" t="s">
        <v>60</v>
      </c>
      <c r="K110" s="315" t="s">
        <v>34</v>
      </c>
      <c r="L110" s="322" t="s">
        <v>35</v>
      </c>
      <c r="M110" s="324" t="s">
        <v>34</v>
      </c>
      <c r="N110" s="316" t="s">
        <v>35</v>
      </c>
    </row>
    <row r="111" spans="2:14" ht="12" customHeight="1" thickTop="1">
      <c r="B111" s="311">
        <f>B105</f>
        <v>43617</v>
      </c>
      <c r="C111" s="312">
        <f>'外国語実績201201-201712'!C1169</f>
        <v>2</v>
      </c>
      <c r="D111" s="312">
        <f>'外国語実績201201-201712'!D1169</f>
        <v>3</v>
      </c>
      <c r="E111" s="312">
        <f>'外国語実績201201-201712'!E1169</f>
        <v>0</v>
      </c>
      <c r="F111" s="312">
        <f>'外国語実績201201-201712'!F1169</f>
        <v>0</v>
      </c>
      <c r="G111" s="312">
        <f>'外国語実績201201-201712'!G1169</f>
        <v>2</v>
      </c>
      <c r="H111" s="312">
        <f>'外国語実績201201-201712'!H1169</f>
        <v>2</v>
      </c>
      <c r="I111" s="312">
        <f>'外国語実績201201-201712'!I1169</f>
        <v>0</v>
      </c>
      <c r="J111" s="312">
        <f>'外国語実績201201-201712'!J1169</f>
        <v>0</v>
      </c>
      <c r="K111" s="312">
        <f>'外国語実績201201-201712'!K1169</f>
        <v>2</v>
      </c>
      <c r="L111" s="323">
        <f>'外国語実績201201-201712'!L1169</f>
        <v>0</v>
      </c>
      <c r="M111" s="325">
        <f t="shared" ref="M111:M112" si="165">+C111+E111+G111+I111+K111</f>
        <v>6</v>
      </c>
      <c r="N111" s="313">
        <f>+D111+F111+H111+J111+L111</f>
        <v>5</v>
      </c>
    </row>
    <row r="112" spans="2:14" ht="12" customHeight="1">
      <c r="B112" s="309">
        <f>B106</f>
        <v>43983</v>
      </c>
      <c r="C112" s="304">
        <f>'外国語実績201201-201712'!C1181</f>
        <v>0</v>
      </c>
      <c r="D112" s="304">
        <f>'外国語実績201201-201712'!D1181</f>
        <v>0</v>
      </c>
      <c r="E112" s="304">
        <f>'外国語実績201201-201712'!E1181</f>
        <v>0</v>
      </c>
      <c r="F112" s="304">
        <f>'外国語実績201201-201712'!F1181</f>
        <v>0</v>
      </c>
      <c r="G112" s="304">
        <f>'外国語実績201201-201712'!G1181</f>
        <v>0</v>
      </c>
      <c r="H112" s="304">
        <f>'外国語実績201201-201712'!H1181</f>
        <v>0</v>
      </c>
      <c r="I112" s="304">
        <f>'外国語実績201201-201712'!I1181</f>
        <v>0</v>
      </c>
      <c r="J112" s="304">
        <f>'外国語実績201201-201712'!J1181</f>
        <v>0</v>
      </c>
      <c r="K112" s="304">
        <f>'外国語実績201201-201712'!K1181</f>
        <v>0</v>
      </c>
      <c r="L112" s="306">
        <f>'外国語実績201201-201712'!L1181</f>
        <v>0</v>
      </c>
      <c r="M112" s="326">
        <f t="shared" si="165"/>
        <v>0</v>
      </c>
      <c r="N112" s="305">
        <f>+D112+F112+H112+J112+L112</f>
        <v>0</v>
      </c>
    </row>
    <row r="113" spans="2:14" ht="12" customHeight="1" thickBot="1">
      <c r="B113" s="310" t="s">
        <v>241</v>
      </c>
      <c r="C113" s="328">
        <f>(C112-C111)/C111</f>
        <v>-1</v>
      </c>
      <c r="D113" s="328">
        <f t="shared" ref="D113" si="166">(D112-D111)/D111</f>
        <v>-1</v>
      </c>
      <c r="E113" s="328" t="e">
        <f t="shared" ref="E113" si="167">(E112-E111)/E111</f>
        <v>#DIV/0!</v>
      </c>
      <c r="F113" s="328" t="e">
        <f t="shared" ref="F113" si="168">(F112-F111)/F111</f>
        <v>#DIV/0!</v>
      </c>
      <c r="G113" s="328">
        <f t="shared" ref="G113" si="169">(G112-G111)/G111</f>
        <v>-1</v>
      </c>
      <c r="H113" s="328">
        <f t="shared" ref="H113" si="170">(H112-H111)/H111</f>
        <v>-1</v>
      </c>
      <c r="I113" s="328" t="e">
        <f t="shared" ref="I113" si="171">(I112-I111)/I111</f>
        <v>#DIV/0!</v>
      </c>
      <c r="J113" s="328" t="e">
        <f t="shared" ref="J113" si="172">(J112-J111)/J111</f>
        <v>#DIV/0!</v>
      </c>
      <c r="K113" s="328">
        <f t="shared" ref="K113" si="173">(K112-K111)/K111</f>
        <v>-1</v>
      </c>
      <c r="L113" s="329" t="e">
        <f t="shared" ref="L113" si="174">(L112-L111)/L111</f>
        <v>#DIV/0!</v>
      </c>
      <c r="M113" s="330">
        <f t="shared" ref="M113" si="175">(M112-M111)/M111</f>
        <v>-1</v>
      </c>
      <c r="N113" s="331">
        <f>(N112-N111)/N111</f>
        <v>-1</v>
      </c>
    </row>
    <row r="114" spans="2:14" ht="12" customHeight="1" thickBot="1"/>
    <row r="115" spans="2:14" ht="12" customHeight="1">
      <c r="B115" s="23" t="s">
        <v>83</v>
      </c>
      <c r="C115" s="346" t="s">
        <v>29</v>
      </c>
      <c r="D115" s="347"/>
      <c r="E115" s="346" t="s">
        <v>30</v>
      </c>
      <c r="F115" s="347"/>
      <c r="G115" s="353" t="s">
        <v>31</v>
      </c>
      <c r="H115" s="347"/>
      <c r="I115" s="353" t="s">
        <v>58</v>
      </c>
      <c r="J115" s="347"/>
      <c r="K115" s="346" t="s">
        <v>57</v>
      </c>
      <c r="L115" s="345"/>
      <c r="M115" s="344" t="s">
        <v>5</v>
      </c>
      <c r="N115" s="345"/>
    </row>
    <row r="116" spans="2:14" ht="12" customHeight="1" thickBot="1">
      <c r="B116" s="314"/>
      <c r="C116" s="315" t="s">
        <v>34</v>
      </c>
      <c r="D116" s="315" t="s">
        <v>35</v>
      </c>
      <c r="E116" s="315" t="s">
        <v>34</v>
      </c>
      <c r="F116" s="315" t="s">
        <v>35</v>
      </c>
      <c r="G116" s="315" t="s">
        <v>34</v>
      </c>
      <c r="H116" s="315" t="s">
        <v>35</v>
      </c>
      <c r="I116" s="315" t="s">
        <v>59</v>
      </c>
      <c r="J116" s="315" t="s">
        <v>60</v>
      </c>
      <c r="K116" s="315" t="s">
        <v>34</v>
      </c>
      <c r="L116" s="322" t="s">
        <v>35</v>
      </c>
      <c r="M116" s="324" t="s">
        <v>34</v>
      </c>
      <c r="N116" s="316" t="s">
        <v>35</v>
      </c>
    </row>
    <row r="117" spans="2:14" ht="12" customHeight="1" thickTop="1">
      <c r="B117" s="311">
        <f>B111</f>
        <v>43617</v>
      </c>
      <c r="C117" s="312">
        <f>'外国語実績201201-201712'!C1221</f>
        <v>5</v>
      </c>
      <c r="D117" s="312">
        <f>'外国語実績201201-201712'!D1221</f>
        <v>7</v>
      </c>
      <c r="E117" s="312">
        <f>'外国語実績201201-201712'!E1221</f>
        <v>0</v>
      </c>
      <c r="F117" s="312">
        <f>'外国語実績201201-201712'!F1221</f>
        <v>0</v>
      </c>
      <c r="G117" s="312">
        <f>'外国語実績201201-201712'!G1221</f>
        <v>1</v>
      </c>
      <c r="H117" s="312">
        <f>'外国語実績201201-201712'!H1221</f>
        <v>1</v>
      </c>
      <c r="I117" s="312">
        <f>'外国語実績201201-201712'!I1221</f>
        <v>0</v>
      </c>
      <c r="J117" s="312">
        <f>'外国語実績201201-201712'!J1221</f>
        <v>1</v>
      </c>
      <c r="K117" s="312">
        <f>'外国語実績201201-201712'!K1221</f>
        <v>0</v>
      </c>
      <c r="L117" s="323">
        <f>'外国語実績201201-201712'!L1221</f>
        <v>0</v>
      </c>
      <c r="M117" s="325">
        <f t="shared" ref="M117:M118" si="176">+C117+E117+G117+I117+K117</f>
        <v>6</v>
      </c>
      <c r="N117" s="313">
        <f>+D117+F117+H117+J117+L117</f>
        <v>9</v>
      </c>
    </row>
    <row r="118" spans="2:14" ht="12" customHeight="1">
      <c r="B118" s="309">
        <f>B112</f>
        <v>43983</v>
      </c>
      <c r="C118" s="304">
        <f>'外国語実績201201-201712'!C1233</f>
        <v>1</v>
      </c>
      <c r="D118" s="304">
        <f>'外国語実績201201-201712'!D1233</f>
        <v>1</v>
      </c>
      <c r="E118" s="304">
        <f>'外国語実績201201-201712'!E1233</f>
        <v>0</v>
      </c>
      <c r="F118" s="304">
        <f>'外国語実績201201-201712'!F1233</f>
        <v>0</v>
      </c>
      <c r="G118" s="304">
        <f>'外国語実績201201-201712'!G1233</f>
        <v>0</v>
      </c>
      <c r="H118" s="304">
        <f>'外国語実績201201-201712'!H1233</f>
        <v>0</v>
      </c>
      <c r="I118" s="304">
        <f>'外国語実績201201-201712'!I1233</f>
        <v>0</v>
      </c>
      <c r="J118" s="304">
        <f>'外国語実績201201-201712'!J1233</f>
        <v>0</v>
      </c>
      <c r="K118" s="304">
        <f>'外国語実績201201-201712'!K1233</f>
        <v>0</v>
      </c>
      <c r="L118" s="306">
        <f>'外国語実績201201-201712'!L1233</f>
        <v>0</v>
      </c>
      <c r="M118" s="326">
        <f t="shared" si="176"/>
        <v>1</v>
      </c>
      <c r="N118" s="305">
        <f>+D118+F118+H118+J118+L118</f>
        <v>1</v>
      </c>
    </row>
    <row r="119" spans="2:14" ht="12" customHeight="1" thickBot="1">
      <c r="B119" s="310" t="s">
        <v>241</v>
      </c>
      <c r="C119" s="328">
        <f>(C118-C117)/C117</f>
        <v>-0.8</v>
      </c>
      <c r="D119" s="328">
        <f t="shared" ref="D119" si="177">(D118-D117)/D117</f>
        <v>-0.8571428571428571</v>
      </c>
      <c r="E119" s="328" t="e">
        <f t="shared" ref="E119" si="178">(E118-E117)/E117</f>
        <v>#DIV/0!</v>
      </c>
      <c r="F119" s="328" t="e">
        <f t="shared" ref="F119" si="179">(F118-F117)/F117</f>
        <v>#DIV/0!</v>
      </c>
      <c r="G119" s="328">
        <f t="shared" ref="G119" si="180">(G118-G117)/G117</f>
        <v>-1</v>
      </c>
      <c r="H119" s="328">
        <f t="shared" ref="H119" si="181">(H118-H117)/H117</f>
        <v>-1</v>
      </c>
      <c r="I119" s="328" t="e">
        <f t="shared" ref="I119" si="182">(I118-I117)/I117</f>
        <v>#DIV/0!</v>
      </c>
      <c r="J119" s="328">
        <f t="shared" ref="J119" si="183">(J118-J117)/J117</f>
        <v>-1</v>
      </c>
      <c r="K119" s="328" t="e">
        <f t="shared" ref="K119" si="184">(K118-K117)/K117</f>
        <v>#DIV/0!</v>
      </c>
      <c r="L119" s="329" t="e">
        <f t="shared" ref="L119" si="185">(L118-L117)/L117</f>
        <v>#DIV/0!</v>
      </c>
      <c r="M119" s="330">
        <f t="shared" ref="M119" si="186">(M118-M117)/M117</f>
        <v>-0.83333333333333337</v>
      </c>
      <c r="N119" s="331">
        <f>(N118-N117)/N117</f>
        <v>-0.88888888888888884</v>
      </c>
    </row>
    <row r="120" spans="2:14" ht="12" customHeight="1" thickBot="1"/>
    <row r="121" spans="2:14" ht="12" customHeight="1">
      <c r="B121" s="23" t="s">
        <v>94</v>
      </c>
      <c r="C121" s="346" t="s">
        <v>29</v>
      </c>
      <c r="D121" s="347"/>
      <c r="E121" s="346" t="s">
        <v>30</v>
      </c>
      <c r="F121" s="347"/>
      <c r="G121" s="353" t="s">
        <v>31</v>
      </c>
      <c r="H121" s="347"/>
      <c r="I121" s="353" t="s">
        <v>58</v>
      </c>
      <c r="J121" s="347"/>
      <c r="K121" s="346" t="s">
        <v>57</v>
      </c>
      <c r="L121" s="345"/>
      <c r="M121" s="344" t="s">
        <v>5</v>
      </c>
      <c r="N121" s="345"/>
    </row>
    <row r="122" spans="2:14" ht="12" customHeight="1" thickBot="1">
      <c r="B122" s="314"/>
      <c r="C122" s="315" t="s">
        <v>34</v>
      </c>
      <c r="D122" s="315" t="s">
        <v>35</v>
      </c>
      <c r="E122" s="315" t="s">
        <v>34</v>
      </c>
      <c r="F122" s="315" t="s">
        <v>35</v>
      </c>
      <c r="G122" s="315" t="s">
        <v>34</v>
      </c>
      <c r="H122" s="315" t="s">
        <v>35</v>
      </c>
      <c r="I122" s="315" t="s">
        <v>59</v>
      </c>
      <c r="J122" s="315" t="s">
        <v>60</v>
      </c>
      <c r="K122" s="315" t="s">
        <v>34</v>
      </c>
      <c r="L122" s="322" t="s">
        <v>35</v>
      </c>
      <c r="M122" s="324" t="s">
        <v>34</v>
      </c>
      <c r="N122" s="316" t="s">
        <v>35</v>
      </c>
    </row>
    <row r="123" spans="2:14" ht="12" customHeight="1" thickTop="1">
      <c r="B123" s="311">
        <f>B117</f>
        <v>43617</v>
      </c>
      <c r="C123" s="312">
        <f>'外国語実績201201-201712'!C1288</f>
        <v>9</v>
      </c>
      <c r="D123" s="312">
        <f>'外国語実績201201-201712'!D1288</f>
        <v>8</v>
      </c>
      <c r="E123" s="312">
        <f>'外国語実績201201-201712'!E1288</f>
        <v>0</v>
      </c>
      <c r="F123" s="312">
        <f>'外国語実績201201-201712'!F1288</f>
        <v>0</v>
      </c>
      <c r="G123" s="312">
        <f>'外国語実績201201-201712'!G1288</f>
        <v>1</v>
      </c>
      <c r="H123" s="312">
        <f>'外国語実績201201-201712'!H1288</f>
        <v>0</v>
      </c>
      <c r="I123" s="312">
        <f>'外国語実績201201-201712'!I1288</f>
        <v>0</v>
      </c>
      <c r="J123" s="312">
        <f>'外国語実績201201-201712'!J1288</f>
        <v>0</v>
      </c>
      <c r="K123" s="312">
        <f>'外国語実績201201-201712'!K1288</f>
        <v>0</v>
      </c>
      <c r="L123" s="323">
        <f>'外国語実績201201-201712'!L1288</f>
        <v>0</v>
      </c>
      <c r="M123" s="325">
        <f t="shared" ref="M123:M124" si="187">+C123+E123+G123+I123+K123</f>
        <v>10</v>
      </c>
      <c r="N123" s="313">
        <f>+D123+F123+H123+J123+L123</f>
        <v>8</v>
      </c>
    </row>
    <row r="124" spans="2:14" ht="12" customHeight="1">
      <c r="B124" s="309">
        <f>B118</f>
        <v>43983</v>
      </c>
      <c r="C124" s="304">
        <f>'外国語実績201201-201712'!C1300</f>
        <v>0</v>
      </c>
      <c r="D124" s="304">
        <f>'外国語実績201201-201712'!D1300</f>
        <v>0</v>
      </c>
      <c r="E124" s="304">
        <f>'外国語実績201201-201712'!E1300</f>
        <v>0</v>
      </c>
      <c r="F124" s="304">
        <f>'外国語実績201201-201712'!F1300</f>
        <v>0</v>
      </c>
      <c r="G124" s="304">
        <f>'外国語実績201201-201712'!G1300</f>
        <v>0</v>
      </c>
      <c r="H124" s="304">
        <f>'外国語実績201201-201712'!H1300</f>
        <v>0</v>
      </c>
      <c r="I124" s="304">
        <f>'外国語実績201201-201712'!I1300</f>
        <v>0</v>
      </c>
      <c r="J124" s="304">
        <f>'外国語実績201201-201712'!J1300</f>
        <v>0</v>
      </c>
      <c r="K124" s="304">
        <f>'外国語実績201201-201712'!K1300</f>
        <v>0</v>
      </c>
      <c r="L124" s="306">
        <f>'外国語実績201201-201712'!L1300</f>
        <v>0</v>
      </c>
      <c r="M124" s="326">
        <f t="shared" si="187"/>
        <v>0</v>
      </c>
      <c r="N124" s="305">
        <f>+D124+F124+H124+J124+L124</f>
        <v>0</v>
      </c>
    </row>
    <row r="125" spans="2:14" ht="12" customHeight="1" thickBot="1">
      <c r="B125" s="310" t="s">
        <v>241</v>
      </c>
      <c r="C125" s="328">
        <f>(C124-C123)/C123</f>
        <v>-1</v>
      </c>
      <c r="D125" s="328">
        <f t="shared" ref="D125" si="188">(D124-D123)/D123</f>
        <v>-1</v>
      </c>
      <c r="E125" s="328" t="e">
        <f t="shared" ref="E125" si="189">(E124-E123)/E123</f>
        <v>#DIV/0!</v>
      </c>
      <c r="F125" s="328" t="e">
        <f t="shared" ref="F125" si="190">(F124-F123)/F123</f>
        <v>#DIV/0!</v>
      </c>
      <c r="G125" s="328">
        <f t="shared" ref="G125" si="191">(G124-G123)/G123</f>
        <v>-1</v>
      </c>
      <c r="H125" s="328" t="e">
        <f t="shared" ref="H125" si="192">(H124-H123)/H123</f>
        <v>#DIV/0!</v>
      </c>
      <c r="I125" s="328" t="e">
        <f t="shared" ref="I125" si="193">(I124-I123)/I123</f>
        <v>#DIV/0!</v>
      </c>
      <c r="J125" s="328" t="e">
        <f t="shared" ref="J125" si="194">(J124-J123)/J123</f>
        <v>#DIV/0!</v>
      </c>
      <c r="K125" s="328" t="e">
        <f t="shared" ref="K125" si="195">(K124-K123)/K123</f>
        <v>#DIV/0!</v>
      </c>
      <c r="L125" s="329" t="e">
        <f t="shared" ref="L125" si="196">(L124-L123)/L123</f>
        <v>#DIV/0!</v>
      </c>
      <c r="M125" s="330">
        <f t="shared" ref="M125" si="197">(M124-M123)/M123</f>
        <v>-1</v>
      </c>
      <c r="N125" s="331">
        <f>(N124-N123)/N123</f>
        <v>-1</v>
      </c>
    </row>
    <row r="126" spans="2:14" ht="12" customHeight="1" thickBot="1"/>
    <row r="127" spans="2:14" ht="12" customHeight="1">
      <c r="B127" s="23" t="s">
        <v>95</v>
      </c>
      <c r="C127" s="346" t="s">
        <v>29</v>
      </c>
      <c r="D127" s="347"/>
      <c r="E127" s="346" t="s">
        <v>30</v>
      </c>
      <c r="F127" s="347"/>
      <c r="G127" s="353" t="s">
        <v>31</v>
      </c>
      <c r="H127" s="347"/>
      <c r="I127" s="353" t="s">
        <v>58</v>
      </c>
      <c r="J127" s="347"/>
      <c r="K127" s="346" t="s">
        <v>57</v>
      </c>
      <c r="L127" s="345"/>
      <c r="M127" s="344" t="s">
        <v>5</v>
      </c>
      <c r="N127" s="345"/>
    </row>
    <row r="128" spans="2:14" ht="12" customHeight="1" thickBot="1">
      <c r="B128" s="314"/>
      <c r="C128" s="315" t="s">
        <v>34</v>
      </c>
      <c r="D128" s="315" t="s">
        <v>35</v>
      </c>
      <c r="E128" s="315" t="s">
        <v>34</v>
      </c>
      <c r="F128" s="315" t="s">
        <v>35</v>
      </c>
      <c r="G128" s="315" t="s">
        <v>34</v>
      </c>
      <c r="H128" s="315" t="s">
        <v>35</v>
      </c>
      <c r="I128" s="315" t="s">
        <v>59</v>
      </c>
      <c r="J128" s="315" t="s">
        <v>60</v>
      </c>
      <c r="K128" s="315" t="s">
        <v>34</v>
      </c>
      <c r="L128" s="322" t="s">
        <v>35</v>
      </c>
      <c r="M128" s="324" t="s">
        <v>34</v>
      </c>
      <c r="N128" s="316" t="s">
        <v>35</v>
      </c>
    </row>
    <row r="129" spans="2:14" ht="12" customHeight="1" thickTop="1">
      <c r="B129" s="311">
        <f>B123</f>
        <v>43617</v>
      </c>
      <c r="C129" s="312">
        <f>'外国語実績201201-201712'!C1340</f>
        <v>10</v>
      </c>
      <c r="D129" s="312">
        <f>'外国語実績201201-201712'!D1340</f>
        <v>22</v>
      </c>
      <c r="E129" s="312">
        <f>'外国語実績201201-201712'!E1340</f>
        <v>0</v>
      </c>
      <c r="F129" s="312">
        <f>'外国語実績201201-201712'!F1340</f>
        <v>0</v>
      </c>
      <c r="G129" s="312">
        <f>'外国語実績201201-201712'!G1340</f>
        <v>2</v>
      </c>
      <c r="H129" s="312">
        <f>'外国語実績201201-201712'!H1340</f>
        <v>4</v>
      </c>
      <c r="I129" s="312">
        <f>'外国語実績201201-201712'!I1340</f>
        <v>1</v>
      </c>
      <c r="J129" s="312">
        <f>'外国語実績201201-201712'!J1340</f>
        <v>0</v>
      </c>
      <c r="K129" s="312">
        <f>'外国語実績201201-201712'!K1340</f>
        <v>0</v>
      </c>
      <c r="L129" s="323">
        <f>'外国語実績201201-201712'!L1340</f>
        <v>14</v>
      </c>
      <c r="M129" s="325">
        <f t="shared" ref="M129:M130" si="198">+C129+E129+G129+I129+K129</f>
        <v>13</v>
      </c>
      <c r="N129" s="313">
        <f>+D129+F129+H129+J129+L129</f>
        <v>40</v>
      </c>
    </row>
    <row r="130" spans="2:14" ht="12" customHeight="1">
      <c r="B130" s="309">
        <f>B124</f>
        <v>43983</v>
      </c>
      <c r="C130" s="304">
        <f>'外国語実績201201-201712'!C1352</f>
        <v>6</v>
      </c>
      <c r="D130" s="304">
        <f>'外国語実績201201-201712'!D1352</f>
        <v>7</v>
      </c>
      <c r="E130" s="304">
        <f>'外国語実績201201-201712'!E1352</f>
        <v>0</v>
      </c>
      <c r="F130" s="304">
        <f>'外国語実績201201-201712'!F1352</f>
        <v>0</v>
      </c>
      <c r="G130" s="304">
        <f>'外国語実績201201-201712'!G1352</f>
        <v>0</v>
      </c>
      <c r="H130" s="304">
        <f>'外国語実績201201-201712'!H1352</f>
        <v>0</v>
      </c>
      <c r="I130" s="304">
        <f>'外国語実績201201-201712'!I1352</f>
        <v>0</v>
      </c>
      <c r="J130" s="304">
        <f>'外国語実績201201-201712'!J1352</f>
        <v>0</v>
      </c>
      <c r="K130" s="304">
        <f>'外国語実績201201-201712'!K1352</f>
        <v>0</v>
      </c>
      <c r="L130" s="306">
        <f>'外国語実績201201-201712'!L1352</f>
        <v>0</v>
      </c>
      <c r="M130" s="326">
        <f t="shared" si="198"/>
        <v>6</v>
      </c>
      <c r="N130" s="305">
        <f>+D130+F130+H130+J130+L130</f>
        <v>7</v>
      </c>
    </row>
    <row r="131" spans="2:14" ht="12" customHeight="1" thickBot="1">
      <c r="B131" s="310" t="s">
        <v>241</v>
      </c>
      <c r="C131" s="328">
        <f>(C130-C129)/C129</f>
        <v>-0.4</v>
      </c>
      <c r="D131" s="328">
        <f t="shared" ref="D131" si="199">(D130-D129)/D129</f>
        <v>-0.68181818181818177</v>
      </c>
      <c r="E131" s="328" t="e">
        <f t="shared" ref="E131" si="200">(E130-E129)/E129</f>
        <v>#DIV/0!</v>
      </c>
      <c r="F131" s="328" t="e">
        <f t="shared" ref="F131" si="201">(F130-F129)/F129</f>
        <v>#DIV/0!</v>
      </c>
      <c r="G131" s="328">
        <f t="shared" ref="G131" si="202">(G130-G129)/G129</f>
        <v>-1</v>
      </c>
      <c r="H131" s="328">
        <f t="shared" ref="H131" si="203">(H130-H129)/H129</f>
        <v>-1</v>
      </c>
      <c r="I131" s="328">
        <f t="shared" ref="I131" si="204">(I130-I129)/I129</f>
        <v>-1</v>
      </c>
      <c r="J131" s="328" t="e">
        <f t="shared" ref="J131" si="205">(J130-J129)/J129</f>
        <v>#DIV/0!</v>
      </c>
      <c r="K131" s="328" t="e">
        <f t="shared" ref="K131" si="206">(K130-K129)/K129</f>
        <v>#DIV/0!</v>
      </c>
      <c r="L131" s="329">
        <f t="shared" ref="L131" si="207">(L130-L129)/L129</f>
        <v>-1</v>
      </c>
      <c r="M131" s="330">
        <f t="shared" ref="M131" si="208">(M130-M129)/M129</f>
        <v>-0.53846153846153844</v>
      </c>
      <c r="N131" s="331">
        <f>(N130-N129)/N129</f>
        <v>-0.82499999999999996</v>
      </c>
    </row>
    <row r="132" spans="2:14" ht="12" customHeight="1" thickBot="1"/>
    <row r="133" spans="2:14" ht="12" customHeight="1">
      <c r="B133" s="23" t="s">
        <v>86</v>
      </c>
      <c r="C133" s="346" t="s">
        <v>29</v>
      </c>
      <c r="D133" s="347"/>
      <c r="E133" s="346" t="s">
        <v>30</v>
      </c>
      <c r="F133" s="347"/>
      <c r="G133" s="353" t="s">
        <v>31</v>
      </c>
      <c r="H133" s="347"/>
      <c r="I133" s="353" t="s">
        <v>58</v>
      </c>
      <c r="J133" s="347"/>
      <c r="K133" s="346" t="s">
        <v>57</v>
      </c>
      <c r="L133" s="345"/>
      <c r="M133" s="344" t="s">
        <v>5</v>
      </c>
      <c r="N133" s="345"/>
    </row>
    <row r="134" spans="2:14" ht="12" customHeight="1" thickBot="1">
      <c r="B134" s="314"/>
      <c r="C134" s="315" t="s">
        <v>34</v>
      </c>
      <c r="D134" s="315" t="s">
        <v>35</v>
      </c>
      <c r="E134" s="315" t="s">
        <v>34</v>
      </c>
      <c r="F134" s="315" t="s">
        <v>35</v>
      </c>
      <c r="G134" s="315" t="s">
        <v>34</v>
      </c>
      <c r="H134" s="315" t="s">
        <v>35</v>
      </c>
      <c r="I134" s="315" t="s">
        <v>59</v>
      </c>
      <c r="J134" s="315" t="s">
        <v>60</v>
      </c>
      <c r="K134" s="315" t="s">
        <v>34</v>
      </c>
      <c r="L134" s="322" t="s">
        <v>35</v>
      </c>
      <c r="M134" s="324" t="s">
        <v>34</v>
      </c>
      <c r="N134" s="316" t="s">
        <v>35</v>
      </c>
    </row>
    <row r="135" spans="2:14" ht="12" customHeight="1" thickTop="1">
      <c r="B135" s="311">
        <f>B129</f>
        <v>43617</v>
      </c>
      <c r="C135" s="312">
        <f>'外国語実績201201-201712'!C1392</f>
        <v>2</v>
      </c>
      <c r="D135" s="312">
        <f>'外国語実績201201-201712'!D1392</f>
        <v>0</v>
      </c>
      <c r="E135" s="312">
        <f>'外国語実績201201-201712'!E1392</f>
        <v>0</v>
      </c>
      <c r="F135" s="312">
        <f>'外国語実績201201-201712'!F1392</f>
        <v>0</v>
      </c>
      <c r="G135" s="312">
        <f>'外国語実績201201-201712'!G1392</f>
        <v>0</v>
      </c>
      <c r="H135" s="312">
        <f>'外国語実績201201-201712'!H1392</f>
        <v>0</v>
      </c>
      <c r="I135" s="312">
        <f>'外国語実績201201-201712'!I1392</f>
        <v>0</v>
      </c>
      <c r="J135" s="312">
        <f>'外国語実績201201-201712'!J1392</f>
        <v>0</v>
      </c>
      <c r="K135" s="312">
        <f>'外国語実績201201-201712'!K1392</f>
        <v>0</v>
      </c>
      <c r="L135" s="323">
        <f>'外国語実績201201-201712'!L1392</f>
        <v>0</v>
      </c>
      <c r="M135" s="325">
        <f t="shared" ref="M135:M136" si="209">+C135+E135+G135+I135+K135</f>
        <v>2</v>
      </c>
      <c r="N135" s="313">
        <f>+D135+F135+H135+J135+L135</f>
        <v>0</v>
      </c>
    </row>
    <row r="136" spans="2:14" ht="12" customHeight="1">
      <c r="B136" s="309">
        <f>B130</f>
        <v>43983</v>
      </c>
      <c r="C136" s="304">
        <f>'外国語実績201201-201712'!C1404</f>
        <v>0</v>
      </c>
      <c r="D136" s="304">
        <f>'外国語実績201201-201712'!D1404</f>
        <v>0</v>
      </c>
      <c r="E136" s="304">
        <f>'外国語実績201201-201712'!E1404</f>
        <v>0</v>
      </c>
      <c r="F136" s="304">
        <f>'外国語実績201201-201712'!F1404</f>
        <v>0</v>
      </c>
      <c r="G136" s="304">
        <f>'外国語実績201201-201712'!G1404</f>
        <v>0</v>
      </c>
      <c r="H136" s="304">
        <f>'外国語実績201201-201712'!H1404</f>
        <v>0</v>
      </c>
      <c r="I136" s="304">
        <f>'外国語実績201201-201712'!I1404</f>
        <v>0</v>
      </c>
      <c r="J136" s="304">
        <f>'外国語実績201201-201712'!J1404</f>
        <v>0</v>
      </c>
      <c r="K136" s="304">
        <f>'外国語実績201201-201712'!K1404</f>
        <v>0</v>
      </c>
      <c r="L136" s="306">
        <f>'外国語実績201201-201712'!L1404</f>
        <v>0</v>
      </c>
      <c r="M136" s="326">
        <f t="shared" si="209"/>
        <v>0</v>
      </c>
      <c r="N136" s="305">
        <f>+D136+F136+H136+J136+L136</f>
        <v>0</v>
      </c>
    </row>
    <row r="137" spans="2:14" ht="12" customHeight="1" thickBot="1">
      <c r="B137" s="310" t="s">
        <v>241</v>
      </c>
      <c r="C137" s="328">
        <f>(C136-C135)/C135</f>
        <v>-1</v>
      </c>
      <c r="D137" s="328" t="e">
        <f t="shared" ref="D137" si="210">(D136-D135)/D135</f>
        <v>#DIV/0!</v>
      </c>
      <c r="E137" s="328" t="e">
        <f t="shared" ref="E137" si="211">(E136-E135)/E135</f>
        <v>#DIV/0!</v>
      </c>
      <c r="F137" s="328" t="e">
        <f t="shared" ref="F137" si="212">(F136-F135)/F135</f>
        <v>#DIV/0!</v>
      </c>
      <c r="G137" s="328" t="e">
        <f t="shared" ref="G137" si="213">(G136-G135)/G135</f>
        <v>#DIV/0!</v>
      </c>
      <c r="H137" s="328" t="e">
        <f t="shared" ref="H137" si="214">(H136-H135)/H135</f>
        <v>#DIV/0!</v>
      </c>
      <c r="I137" s="328" t="e">
        <f t="shared" ref="I137" si="215">(I136-I135)/I135</f>
        <v>#DIV/0!</v>
      </c>
      <c r="J137" s="328" t="e">
        <f t="shared" ref="J137" si="216">(J136-J135)/J135</f>
        <v>#DIV/0!</v>
      </c>
      <c r="K137" s="328" t="e">
        <f t="shared" ref="K137" si="217">(K136-K135)/K135</f>
        <v>#DIV/0!</v>
      </c>
      <c r="L137" s="329" t="e">
        <f t="shared" ref="L137" si="218">(L136-L135)/L135</f>
        <v>#DIV/0!</v>
      </c>
      <c r="M137" s="330">
        <f t="shared" ref="M137" si="219">(M136-M135)/M135</f>
        <v>-1</v>
      </c>
      <c r="N137" s="331" t="e">
        <f>(N136-N135)/N135</f>
        <v>#DIV/0!</v>
      </c>
    </row>
    <row r="138" spans="2:14" ht="12" customHeight="1" thickBot="1"/>
    <row r="139" spans="2:14" ht="12" customHeight="1">
      <c r="B139" s="23" t="s">
        <v>91</v>
      </c>
      <c r="C139" s="346" t="s">
        <v>29</v>
      </c>
      <c r="D139" s="347"/>
      <c r="E139" s="346" t="s">
        <v>30</v>
      </c>
      <c r="F139" s="347"/>
      <c r="G139" s="353" t="s">
        <v>31</v>
      </c>
      <c r="H139" s="347"/>
      <c r="I139" s="353" t="s">
        <v>58</v>
      </c>
      <c r="J139" s="347"/>
      <c r="K139" s="346" t="s">
        <v>57</v>
      </c>
      <c r="L139" s="345"/>
      <c r="M139" s="344" t="s">
        <v>5</v>
      </c>
      <c r="N139" s="345"/>
    </row>
    <row r="140" spans="2:14" ht="12" customHeight="1" thickBot="1">
      <c r="B140" s="314"/>
      <c r="C140" s="315" t="s">
        <v>34</v>
      </c>
      <c r="D140" s="315" t="s">
        <v>35</v>
      </c>
      <c r="E140" s="315" t="s">
        <v>34</v>
      </c>
      <c r="F140" s="315" t="s">
        <v>35</v>
      </c>
      <c r="G140" s="315" t="s">
        <v>34</v>
      </c>
      <c r="H140" s="315" t="s">
        <v>35</v>
      </c>
      <c r="I140" s="315" t="s">
        <v>59</v>
      </c>
      <c r="J140" s="315" t="s">
        <v>60</v>
      </c>
      <c r="K140" s="315" t="s">
        <v>34</v>
      </c>
      <c r="L140" s="322" t="s">
        <v>35</v>
      </c>
      <c r="M140" s="324" t="s">
        <v>34</v>
      </c>
      <c r="N140" s="316" t="s">
        <v>35</v>
      </c>
    </row>
    <row r="141" spans="2:14" ht="12" customHeight="1" thickTop="1">
      <c r="B141" s="311">
        <f>B135</f>
        <v>43617</v>
      </c>
      <c r="C141" s="312">
        <f>'外国語実績201201-201712'!C1444</f>
        <v>6</v>
      </c>
      <c r="D141" s="312">
        <f>'外国語実績201201-201712'!D1444</f>
        <v>0</v>
      </c>
      <c r="E141" s="312">
        <f>'外国語実績201201-201712'!E1444</f>
        <v>0</v>
      </c>
      <c r="F141" s="312">
        <f>'外国語実績201201-201712'!F1444</f>
        <v>0</v>
      </c>
      <c r="G141" s="312">
        <f>'外国語実績201201-201712'!G1444</f>
        <v>0</v>
      </c>
      <c r="H141" s="312">
        <f>'外国語実績201201-201712'!H1444</f>
        <v>0</v>
      </c>
      <c r="I141" s="312">
        <f>'外国語実績201201-201712'!I1444</f>
        <v>0</v>
      </c>
      <c r="J141" s="312">
        <f>'外国語実績201201-201712'!J1444</f>
        <v>0</v>
      </c>
      <c r="K141" s="312">
        <f>'外国語実績201201-201712'!K1444</f>
        <v>1</v>
      </c>
      <c r="L141" s="323">
        <f>'外国語実績201201-201712'!L1444</f>
        <v>0</v>
      </c>
      <c r="M141" s="325">
        <f t="shared" ref="M141:M142" si="220">+C141+E141+G141+I141+K141</f>
        <v>7</v>
      </c>
      <c r="N141" s="313">
        <f>+D141+F141+H141+J141+L141</f>
        <v>0</v>
      </c>
    </row>
    <row r="142" spans="2:14" ht="12" customHeight="1">
      <c r="B142" s="309">
        <f>B136</f>
        <v>43983</v>
      </c>
      <c r="C142" s="304">
        <f>'外国語実績201201-201712'!C1456</f>
        <v>0</v>
      </c>
      <c r="D142" s="304">
        <f>'外国語実績201201-201712'!D1456</f>
        <v>0</v>
      </c>
      <c r="E142" s="304">
        <f>'外国語実績201201-201712'!E1456</f>
        <v>0</v>
      </c>
      <c r="F142" s="304">
        <f>'外国語実績201201-201712'!F1456</f>
        <v>0</v>
      </c>
      <c r="G142" s="304">
        <f>'外国語実績201201-201712'!G1456</f>
        <v>0</v>
      </c>
      <c r="H142" s="304">
        <f>'外国語実績201201-201712'!H1456</f>
        <v>0</v>
      </c>
      <c r="I142" s="304">
        <f>'外国語実績201201-201712'!I1456</f>
        <v>0</v>
      </c>
      <c r="J142" s="304">
        <f>'外国語実績201201-201712'!J1456</f>
        <v>0</v>
      </c>
      <c r="K142" s="304">
        <f>'外国語実績201201-201712'!K1456</f>
        <v>0</v>
      </c>
      <c r="L142" s="306">
        <f>'外国語実績201201-201712'!L1456</f>
        <v>0</v>
      </c>
      <c r="M142" s="326">
        <f t="shared" si="220"/>
        <v>0</v>
      </c>
      <c r="N142" s="305">
        <f>+D142+F142+H142+J142+L142</f>
        <v>0</v>
      </c>
    </row>
    <row r="143" spans="2:14" ht="12" customHeight="1" thickBot="1">
      <c r="B143" s="310" t="s">
        <v>241</v>
      </c>
      <c r="C143" s="328">
        <f>(C142-C141)/C141</f>
        <v>-1</v>
      </c>
      <c r="D143" s="328" t="e">
        <f t="shared" ref="D143" si="221">(D142-D141)/D141</f>
        <v>#DIV/0!</v>
      </c>
      <c r="E143" s="328" t="e">
        <f t="shared" ref="E143" si="222">(E142-E141)/E141</f>
        <v>#DIV/0!</v>
      </c>
      <c r="F143" s="328" t="e">
        <f t="shared" ref="F143" si="223">(F142-F141)/F141</f>
        <v>#DIV/0!</v>
      </c>
      <c r="G143" s="328" t="e">
        <f t="shared" ref="G143" si="224">(G142-G141)/G141</f>
        <v>#DIV/0!</v>
      </c>
      <c r="H143" s="328" t="e">
        <f t="shared" ref="H143" si="225">(H142-H141)/H141</f>
        <v>#DIV/0!</v>
      </c>
      <c r="I143" s="328" t="e">
        <f t="shared" ref="I143" si="226">(I142-I141)/I141</f>
        <v>#DIV/0!</v>
      </c>
      <c r="J143" s="328" t="e">
        <f t="shared" ref="J143" si="227">(J142-J141)/J141</f>
        <v>#DIV/0!</v>
      </c>
      <c r="K143" s="328">
        <f t="shared" ref="K143" si="228">(K142-K141)/K141</f>
        <v>-1</v>
      </c>
      <c r="L143" s="329" t="e">
        <f t="shared" ref="L143" si="229">(L142-L141)/L141</f>
        <v>#DIV/0!</v>
      </c>
      <c r="M143" s="330">
        <f t="shared" ref="M143" si="230">(M142-M141)/M141</f>
        <v>-1</v>
      </c>
      <c r="N143" s="331" t="e">
        <f>(N142-N141)/N141</f>
        <v>#DIV/0!</v>
      </c>
    </row>
    <row r="144" spans="2:14" ht="12" customHeight="1" thickBot="1"/>
    <row r="145" spans="2:14" ht="12" customHeight="1">
      <c r="B145" s="23" t="s">
        <v>92</v>
      </c>
      <c r="C145" s="346" t="s">
        <v>29</v>
      </c>
      <c r="D145" s="347"/>
      <c r="E145" s="346" t="s">
        <v>30</v>
      </c>
      <c r="F145" s="347"/>
      <c r="G145" s="353" t="s">
        <v>31</v>
      </c>
      <c r="H145" s="347"/>
      <c r="I145" s="353" t="s">
        <v>58</v>
      </c>
      <c r="J145" s="347"/>
      <c r="K145" s="346" t="s">
        <v>57</v>
      </c>
      <c r="L145" s="345"/>
      <c r="M145" s="344" t="s">
        <v>5</v>
      </c>
      <c r="N145" s="345"/>
    </row>
    <row r="146" spans="2:14" ht="12" customHeight="1" thickBot="1">
      <c r="B146" s="314"/>
      <c r="C146" s="315" t="s">
        <v>34</v>
      </c>
      <c r="D146" s="315" t="s">
        <v>35</v>
      </c>
      <c r="E146" s="315" t="s">
        <v>34</v>
      </c>
      <c r="F146" s="315" t="s">
        <v>35</v>
      </c>
      <c r="G146" s="315" t="s">
        <v>34</v>
      </c>
      <c r="H146" s="315" t="s">
        <v>35</v>
      </c>
      <c r="I146" s="315" t="s">
        <v>59</v>
      </c>
      <c r="J146" s="315" t="s">
        <v>60</v>
      </c>
      <c r="K146" s="315" t="s">
        <v>34</v>
      </c>
      <c r="L146" s="322" t="s">
        <v>35</v>
      </c>
      <c r="M146" s="324" t="s">
        <v>34</v>
      </c>
      <c r="N146" s="316" t="s">
        <v>35</v>
      </c>
    </row>
    <row r="147" spans="2:14" ht="12" customHeight="1" thickTop="1">
      <c r="B147" s="311">
        <f>B141</f>
        <v>43617</v>
      </c>
      <c r="C147" s="312">
        <f>'外国語実績201201-201712'!C1496</f>
        <v>0</v>
      </c>
      <c r="D147" s="312">
        <f>'外国語実績201201-201712'!D1496</f>
        <v>0</v>
      </c>
      <c r="E147" s="312">
        <f>'外国語実績201201-201712'!E1496</f>
        <v>0</v>
      </c>
      <c r="F147" s="312">
        <f>'外国語実績201201-201712'!F1496</f>
        <v>0</v>
      </c>
      <c r="G147" s="312">
        <f>'外国語実績201201-201712'!G1496</f>
        <v>0</v>
      </c>
      <c r="H147" s="312">
        <f>'外国語実績201201-201712'!H1496</f>
        <v>0</v>
      </c>
      <c r="I147" s="312">
        <f>'外国語実績201201-201712'!I1496</f>
        <v>0</v>
      </c>
      <c r="J147" s="312">
        <f>'外国語実績201201-201712'!J1496</f>
        <v>0</v>
      </c>
      <c r="K147" s="312">
        <f>'外国語実績201201-201712'!K1496</f>
        <v>0</v>
      </c>
      <c r="L147" s="323">
        <f>'外国語実績201201-201712'!L1496</f>
        <v>0</v>
      </c>
      <c r="M147" s="325">
        <f t="shared" ref="M147:M148" si="231">+C147+E147+G147+I147+K147</f>
        <v>0</v>
      </c>
      <c r="N147" s="313">
        <f>+D147+F147+H147+J147+L147</f>
        <v>0</v>
      </c>
    </row>
    <row r="148" spans="2:14" ht="12" customHeight="1">
      <c r="B148" s="309">
        <f>B142</f>
        <v>43983</v>
      </c>
      <c r="C148" s="304">
        <f>'外国語実績201201-201712'!C1508</f>
        <v>0</v>
      </c>
      <c r="D148" s="304">
        <f>'外国語実績201201-201712'!D1508</f>
        <v>0</v>
      </c>
      <c r="E148" s="304">
        <f>'外国語実績201201-201712'!E1508</f>
        <v>0</v>
      </c>
      <c r="F148" s="304">
        <f>'外国語実績201201-201712'!F1508</f>
        <v>0</v>
      </c>
      <c r="G148" s="304">
        <f>'外国語実績201201-201712'!G1508</f>
        <v>0</v>
      </c>
      <c r="H148" s="304">
        <f>'外国語実績201201-201712'!H1508</f>
        <v>0</v>
      </c>
      <c r="I148" s="304">
        <f>'外国語実績201201-201712'!I1508</f>
        <v>0</v>
      </c>
      <c r="J148" s="304">
        <f>'外国語実績201201-201712'!J1508</f>
        <v>0</v>
      </c>
      <c r="K148" s="304">
        <f>'外国語実績201201-201712'!K1508</f>
        <v>0</v>
      </c>
      <c r="L148" s="306">
        <f>'外国語実績201201-201712'!L1508</f>
        <v>0</v>
      </c>
      <c r="M148" s="326">
        <f t="shared" si="231"/>
        <v>0</v>
      </c>
      <c r="N148" s="305">
        <f>+D148+F148+H148+J148+L148</f>
        <v>0</v>
      </c>
    </row>
    <row r="149" spans="2:14" ht="12" customHeight="1" thickBot="1">
      <c r="B149" s="310" t="s">
        <v>241</v>
      </c>
      <c r="C149" s="328" t="e">
        <f>(C148-C147)/C147</f>
        <v>#DIV/0!</v>
      </c>
      <c r="D149" s="328" t="e">
        <f t="shared" ref="D149" si="232">(D148-D147)/D147</f>
        <v>#DIV/0!</v>
      </c>
      <c r="E149" s="328" t="e">
        <f t="shared" ref="E149" si="233">(E148-E147)/E147</f>
        <v>#DIV/0!</v>
      </c>
      <c r="F149" s="328" t="e">
        <f t="shared" ref="F149" si="234">(F148-F147)/F147</f>
        <v>#DIV/0!</v>
      </c>
      <c r="G149" s="328" t="e">
        <f t="shared" ref="G149" si="235">(G148-G147)/G147</f>
        <v>#DIV/0!</v>
      </c>
      <c r="H149" s="328" t="e">
        <f t="shared" ref="H149" si="236">(H148-H147)/H147</f>
        <v>#DIV/0!</v>
      </c>
      <c r="I149" s="328" t="e">
        <f t="shared" ref="I149" si="237">(I148-I147)/I147</f>
        <v>#DIV/0!</v>
      </c>
      <c r="J149" s="328" t="e">
        <f t="shared" ref="J149" si="238">(J148-J147)/J147</f>
        <v>#DIV/0!</v>
      </c>
      <c r="K149" s="328" t="e">
        <f t="shared" ref="K149" si="239">(K148-K147)/K147</f>
        <v>#DIV/0!</v>
      </c>
      <c r="L149" s="329" t="e">
        <f t="shared" ref="L149" si="240">(L148-L147)/L147</f>
        <v>#DIV/0!</v>
      </c>
      <c r="M149" s="330" t="e">
        <f t="shared" ref="M149" si="241">(M148-M147)/M147</f>
        <v>#DIV/0!</v>
      </c>
      <c r="N149" s="331" t="e">
        <f>(N148-N147)/N147</f>
        <v>#DIV/0!</v>
      </c>
    </row>
    <row r="150" spans="2:14" ht="12" customHeight="1" thickBot="1"/>
    <row r="151" spans="2:14" ht="12" customHeight="1">
      <c r="B151" s="23" t="s">
        <v>93</v>
      </c>
      <c r="C151" s="346" t="s">
        <v>29</v>
      </c>
      <c r="D151" s="347"/>
      <c r="E151" s="346" t="s">
        <v>30</v>
      </c>
      <c r="F151" s="347"/>
      <c r="G151" s="353" t="s">
        <v>31</v>
      </c>
      <c r="H151" s="347"/>
      <c r="I151" s="353" t="s">
        <v>58</v>
      </c>
      <c r="J151" s="347"/>
      <c r="K151" s="346" t="s">
        <v>57</v>
      </c>
      <c r="L151" s="345"/>
      <c r="M151" s="344" t="s">
        <v>5</v>
      </c>
      <c r="N151" s="345"/>
    </row>
    <row r="152" spans="2:14" ht="12" customHeight="1" thickBot="1">
      <c r="B152" s="314"/>
      <c r="C152" s="315" t="s">
        <v>34</v>
      </c>
      <c r="D152" s="315" t="s">
        <v>35</v>
      </c>
      <c r="E152" s="315" t="s">
        <v>34</v>
      </c>
      <c r="F152" s="315" t="s">
        <v>35</v>
      </c>
      <c r="G152" s="315" t="s">
        <v>34</v>
      </c>
      <c r="H152" s="315" t="s">
        <v>35</v>
      </c>
      <c r="I152" s="315" t="s">
        <v>59</v>
      </c>
      <c r="J152" s="315" t="s">
        <v>60</v>
      </c>
      <c r="K152" s="315" t="s">
        <v>34</v>
      </c>
      <c r="L152" s="322" t="s">
        <v>35</v>
      </c>
      <c r="M152" s="324" t="s">
        <v>34</v>
      </c>
      <c r="N152" s="316" t="s">
        <v>35</v>
      </c>
    </row>
    <row r="153" spans="2:14" ht="12" customHeight="1" thickTop="1">
      <c r="B153" s="311">
        <f>B147</f>
        <v>43617</v>
      </c>
      <c r="C153" s="312">
        <f>'外国語実績201201-201712'!C1548</f>
        <v>1</v>
      </c>
      <c r="D153" s="312">
        <f>'外国語実績201201-201712'!D1548</f>
        <v>0</v>
      </c>
      <c r="E153" s="312">
        <f>'外国語実績201201-201712'!E1548</f>
        <v>0</v>
      </c>
      <c r="F153" s="312">
        <f>'外国語実績201201-201712'!F1548</f>
        <v>0</v>
      </c>
      <c r="G153" s="312">
        <f>'外国語実績201201-201712'!G1548</f>
        <v>0</v>
      </c>
      <c r="H153" s="312">
        <f>'外国語実績201201-201712'!H1548</f>
        <v>0</v>
      </c>
      <c r="I153" s="312">
        <f>'外国語実績201201-201712'!I1548</f>
        <v>3</v>
      </c>
      <c r="J153" s="312">
        <f>'外国語実績201201-201712'!J1548</f>
        <v>14</v>
      </c>
      <c r="K153" s="312">
        <f>'外国語実績201201-201712'!K1548</f>
        <v>1</v>
      </c>
      <c r="L153" s="323">
        <f>'外国語実績201201-201712'!L1548</f>
        <v>0</v>
      </c>
      <c r="M153" s="325">
        <f t="shared" ref="M153:M154" si="242">+C153+E153+G153+I153+K153</f>
        <v>5</v>
      </c>
      <c r="N153" s="313">
        <f>+D153+F153+H153+J153+L153</f>
        <v>14</v>
      </c>
    </row>
    <row r="154" spans="2:14" ht="12" customHeight="1">
      <c r="B154" s="309">
        <f>B148</f>
        <v>43983</v>
      </c>
      <c r="C154" s="304">
        <f>'外国語実績201201-201712'!C1560</f>
        <v>0</v>
      </c>
      <c r="D154" s="304">
        <f>'外国語実績201201-201712'!D1560</f>
        <v>0</v>
      </c>
      <c r="E154" s="304">
        <f>'外国語実績201201-201712'!E1560</f>
        <v>0</v>
      </c>
      <c r="F154" s="304">
        <f>'外国語実績201201-201712'!F1560</f>
        <v>0</v>
      </c>
      <c r="G154" s="304">
        <f>'外国語実績201201-201712'!G1560</f>
        <v>0</v>
      </c>
      <c r="H154" s="304">
        <f>'外国語実績201201-201712'!H1560</f>
        <v>0</v>
      </c>
      <c r="I154" s="304">
        <f>'外国語実績201201-201712'!I1560</f>
        <v>0</v>
      </c>
      <c r="J154" s="304">
        <f>'外国語実績201201-201712'!J1560</f>
        <v>0</v>
      </c>
      <c r="K154" s="304">
        <f>'外国語実績201201-201712'!K1560</f>
        <v>0</v>
      </c>
      <c r="L154" s="306">
        <f>'外国語実績201201-201712'!L1560</f>
        <v>0</v>
      </c>
      <c r="M154" s="326">
        <f t="shared" si="242"/>
        <v>0</v>
      </c>
      <c r="N154" s="305">
        <f>+D154+F154+H154+J154+L154</f>
        <v>0</v>
      </c>
    </row>
    <row r="155" spans="2:14" ht="12" customHeight="1" thickBot="1">
      <c r="B155" s="310" t="s">
        <v>241</v>
      </c>
      <c r="C155" s="328">
        <f>(C154-C153)/C153</f>
        <v>-1</v>
      </c>
      <c r="D155" s="328" t="e">
        <f t="shared" ref="D155" si="243">(D154-D153)/D153</f>
        <v>#DIV/0!</v>
      </c>
      <c r="E155" s="328" t="e">
        <f t="shared" ref="E155" si="244">(E154-E153)/E153</f>
        <v>#DIV/0!</v>
      </c>
      <c r="F155" s="328" t="e">
        <f t="shared" ref="F155" si="245">(F154-F153)/F153</f>
        <v>#DIV/0!</v>
      </c>
      <c r="G155" s="328" t="e">
        <f t="shared" ref="G155" si="246">(G154-G153)/G153</f>
        <v>#DIV/0!</v>
      </c>
      <c r="H155" s="328" t="e">
        <f t="shared" ref="H155" si="247">(H154-H153)/H153</f>
        <v>#DIV/0!</v>
      </c>
      <c r="I155" s="328">
        <f t="shared" ref="I155" si="248">(I154-I153)/I153</f>
        <v>-1</v>
      </c>
      <c r="J155" s="328">
        <f t="shared" ref="J155" si="249">(J154-J153)/J153</f>
        <v>-1</v>
      </c>
      <c r="K155" s="328">
        <f t="shared" ref="K155" si="250">(K154-K153)/K153</f>
        <v>-1</v>
      </c>
      <c r="L155" s="329" t="e">
        <f t="shared" ref="L155" si="251">(L154-L153)/L153</f>
        <v>#DIV/0!</v>
      </c>
      <c r="M155" s="330">
        <f t="shared" ref="M155" si="252">(M154-M153)/M153</f>
        <v>-1</v>
      </c>
      <c r="N155" s="331">
        <f>(N154-N153)/N153</f>
        <v>-1</v>
      </c>
    </row>
    <row r="156" spans="2:14" ht="12" customHeight="1" thickBot="1"/>
    <row r="157" spans="2:14" ht="12" customHeight="1">
      <c r="B157" s="23" t="s">
        <v>96</v>
      </c>
      <c r="C157" s="346" t="s">
        <v>29</v>
      </c>
      <c r="D157" s="347"/>
      <c r="E157" s="346" t="s">
        <v>30</v>
      </c>
      <c r="F157" s="347"/>
      <c r="G157" s="353" t="s">
        <v>31</v>
      </c>
      <c r="H157" s="347"/>
      <c r="I157" s="353" t="s">
        <v>58</v>
      </c>
      <c r="J157" s="347"/>
      <c r="K157" s="346" t="s">
        <v>57</v>
      </c>
      <c r="L157" s="345"/>
      <c r="M157" s="344" t="s">
        <v>5</v>
      </c>
      <c r="N157" s="345"/>
    </row>
    <row r="158" spans="2:14" ht="12" customHeight="1" thickBot="1">
      <c r="B158" s="314"/>
      <c r="C158" s="315" t="s">
        <v>34</v>
      </c>
      <c r="D158" s="315" t="s">
        <v>35</v>
      </c>
      <c r="E158" s="315" t="s">
        <v>34</v>
      </c>
      <c r="F158" s="315" t="s">
        <v>35</v>
      </c>
      <c r="G158" s="315" t="s">
        <v>34</v>
      </c>
      <c r="H158" s="315" t="s">
        <v>35</v>
      </c>
      <c r="I158" s="315" t="s">
        <v>59</v>
      </c>
      <c r="J158" s="315" t="s">
        <v>60</v>
      </c>
      <c r="K158" s="315" t="s">
        <v>34</v>
      </c>
      <c r="L158" s="322" t="s">
        <v>35</v>
      </c>
      <c r="M158" s="324" t="s">
        <v>34</v>
      </c>
      <c r="N158" s="316" t="s">
        <v>35</v>
      </c>
    </row>
    <row r="159" spans="2:14" ht="12" customHeight="1" thickTop="1">
      <c r="B159" s="311">
        <f>B153</f>
        <v>43617</v>
      </c>
      <c r="C159" s="312">
        <f>'外国語実績201201-201712'!C1615</f>
        <v>9</v>
      </c>
      <c r="D159" s="312">
        <f>'外国語実績201201-201712'!D1615</f>
        <v>10</v>
      </c>
      <c r="E159" s="312">
        <f>'外国語実績201201-201712'!E1615</f>
        <v>0</v>
      </c>
      <c r="F159" s="312">
        <f>'外国語実績201201-201712'!F1615</f>
        <v>0</v>
      </c>
      <c r="G159" s="312">
        <f>'外国語実績201201-201712'!G1615</f>
        <v>4</v>
      </c>
      <c r="H159" s="312">
        <f>'外国語実績201201-201712'!H1615</f>
        <v>4</v>
      </c>
      <c r="I159" s="312">
        <f>'外国語実績201201-201712'!I1615</f>
        <v>0</v>
      </c>
      <c r="J159" s="312">
        <f>'外国語実績201201-201712'!J1615</f>
        <v>0</v>
      </c>
      <c r="K159" s="312">
        <f>'外国語実績201201-201712'!K1615</f>
        <v>2</v>
      </c>
      <c r="L159" s="323">
        <f>'外国語実績201201-201712'!L1615</f>
        <v>2</v>
      </c>
      <c r="M159" s="325">
        <f t="shared" ref="M159:M160" si="253">+C159+E159+G159+I159+K159</f>
        <v>15</v>
      </c>
      <c r="N159" s="313">
        <f>+D159+F159+H159+J159+L159</f>
        <v>16</v>
      </c>
    </row>
    <row r="160" spans="2:14" ht="12" customHeight="1">
      <c r="B160" s="309">
        <f>B154</f>
        <v>43983</v>
      </c>
      <c r="C160" s="304">
        <f>'外国語実績201201-201712'!C1627</f>
        <v>0</v>
      </c>
      <c r="D160" s="304">
        <f>'外国語実績201201-201712'!D1627</f>
        <v>0</v>
      </c>
      <c r="E160" s="304">
        <f>'外国語実績201201-201712'!E1627</f>
        <v>0</v>
      </c>
      <c r="F160" s="304">
        <f>'外国語実績201201-201712'!F1627</f>
        <v>0</v>
      </c>
      <c r="G160" s="304">
        <f>'外国語実績201201-201712'!G1627</f>
        <v>0</v>
      </c>
      <c r="H160" s="304">
        <f>'外国語実績201201-201712'!H1627</f>
        <v>0</v>
      </c>
      <c r="I160" s="304">
        <f>'外国語実績201201-201712'!I1627</f>
        <v>0</v>
      </c>
      <c r="J160" s="304">
        <f>'外国語実績201201-201712'!J1627</f>
        <v>0</v>
      </c>
      <c r="K160" s="304">
        <f>'外国語実績201201-201712'!K1627</f>
        <v>0</v>
      </c>
      <c r="L160" s="306">
        <f>'外国語実績201201-201712'!L1627</f>
        <v>0</v>
      </c>
      <c r="M160" s="326">
        <f t="shared" si="253"/>
        <v>0</v>
      </c>
      <c r="N160" s="305">
        <f>+D160+F160+H160+J160+L160</f>
        <v>0</v>
      </c>
    </row>
    <row r="161" spans="2:14" ht="12" customHeight="1" thickBot="1">
      <c r="B161" s="310" t="s">
        <v>241</v>
      </c>
      <c r="C161" s="328">
        <f>(C160-C159)/C159</f>
        <v>-1</v>
      </c>
      <c r="D161" s="328">
        <f t="shared" ref="D161" si="254">(D160-D159)/D159</f>
        <v>-1</v>
      </c>
      <c r="E161" s="328" t="e">
        <f t="shared" ref="E161" si="255">(E160-E159)/E159</f>
        <v>#DIV/0!</v>
      </c>
      <c r="F161" s="328" t="e">
        <f t="shared" ref="F161" si="256">(F160-F159)/F159</f>
        <v>#DIV/0!</v>
      </c>
      <c r="G161" s="328">
        <f t="shared" ref="G161" si="257">(G160-G159)/G159</f>
        <v>-1</v>
      </c>
      <c r="H161" s="328">
        <f t="shared" ref="H161" si="258">(H160-H159)/H159</f>
        <v>-1</v>
      </c>
      <c r="I161" s="328" t="e">
        <f t="shared" ref="I161" si="259">(I160-I159)/I159</f>
        <v>#DIV/0!</v>
      </c>
      <c r="J161" s="328" t="e">
        <f t="shared" ref="J161" si="260">(J160-J159)/J159</f>
        <v>#DIV/0!</v>
      </c>
      <c r="K161" s="328">
        <f t="shared" ref="K161" si="261">(K160-K159)/K159</f>
        <v>-1</v>
      </c>
      <c r="L161" s="329">
        <f t="shared" ref="L161" si="262">(L160-L159)/L159</f>
        <v>-1</v>
      </c>
      <c r="M161" s="330">
        <f t="shared" ref="M161" si="263">(M160-M159)/M159</f>
        <v>-1</v>
      </c>
      <c r="N161" s="331">
        <f>(N160-N159)/N159</f>
        <v>-1</v>
      </c>
    </row>
    <row r="162" spans="2:14" ht="12" customHeight="1" thickBot="1"/>
    <row r="163" spans="2:14" ht="12" customHeight="1">
      <c r="B163" s="23" t="s">
        <v>99</v>
      </c>
      <c r="C163" s="346" t="s">
        <v>29</v>
      </c>
      <c r="D163" s="347"/>
      <c r="E163" s="346" t="s">
        <v>30</v>
      </c>
      <c r="F163" s="347"/>
      <c r="G163" s="353" t="s">
        <v>31</v>
      </c>
      <c r="H163" s="347"/>
      <c r="I163" s="353" t="s">
        <v>58</v>
      </c>
      <c r="J163" s="347"/>
      <c r="K163" s="346" t="s">
        <v>57</v>
      </c>
      <c r="L163" s="345"/>
      <c r="M163" s="344" t="s">
        <v>5</v>
      </c>
      <c r="N163" s="345"/>
    </row>
    <row r="164" spans="2:14" ht="12" customHeight="1" thickBot="1">
      <c r="B164" s="314"/>
      <c r="C164" s="315" t="s">
        <v>34</v>
      </c>
      <c r="D164" s="315" t="s">
        <v>35</v>
      </c>
      <c r="E164" s="315" t="s">
        <v>34</v>
      </c>
      <c r="F164" s="315" t="s">
        <v>35</v>
      </c>
      <c r="G164" s="315" t="s">
        <v>34</v>
      </c>
      <c r="H164" s="315" t="s">
        <v>35</v>
      </c>
      <c r="I164" s="315" t="s">
        <v>59</v>
      </c>
      <c r="J164" s="315" t="s">
        <v>60</v>
      </c>
      <c r="K164" s="315" t="s">
        <v>34</v>
      </c>
      <c r="L164" s="322" t="s">
        <v>35</v>
      </c>
      <c r="M164" s="324" t="s">
        <v>34</v>
      </c>
      <c r="N164" s="316" t="s">
        <v>35</v>
      </c>
    </row>
    <row r="165" spans="2:14" ht="12" customHeight="1" thickTop="1">
      <c r="B165" s="311">
        <f>B159</f>
        <v>43617</v>
      </c>
      <c r="C165" s="312">
        <f>'外国語実績201201-201712'!C1667</f>
        <v>1</v>
      </c>
      <c r="D165" s="312">
        <f>'外国語実績201201-201712'!D1667</f>
        <v>1</v>
      </c>
      <c r="E165" s="312">
        <f>'外国語実績201201-201712'!E1667</f>
        <v>0</v>
      </c>
      <c r="F165" s="312">
        <f>'外国語実績201201-201712'!F1667</f>
        <v>0</v>
      </c>
      <c r="G165" s="312">
        <f>'外国語実績201201-201712'!G1667</f>
        <v>0</v>
      </c>
      <c r="H165" s="312">
        <f>'外国語実績201201-201712'!H1667</f>
        <v>0</v>
      </c>
      <c r="I165" s="312">
        <f>'外国語実績201201-201712'!I1667</f>
        <v>0</v>
      </c>
      <c r="J165" s="312">
        <f>'外国語実績201201-201712'!J1667</f>
        <v>0</v>
      </c>
      <c r="K165" s="312">
        <f>'外国語実績201201-201712'!K1667</f>
        <v>0</v>
      </c>
      <c r="L165" s="323">
        <f>'外国語実績201201-201712'!L1667</f>
        <v>0</v>
      </c>
      <c r="M165" s="325">
        <f t="shared" ref="M165:M166" si="264">+C165+E165+G165+I165+K165</f>
        <v>1</v>
      </c>
      <c r="N165" s="313">
        <f>+D165+F165+H165+J165+L165</f>
        <v>1</v>
      </c>
    </row>
    <row r="166" spans="2:14" ht="12" customHeight="1">
      <c r="B166" s="309">
        <f>B160</f>
        <v>43983</v>
      </c>
      <c r="C166" s="304">
        <f>'外国語実績201201-201712'!C1679</f>
        <v>0</v>
      </c>
      <c r="D166" s="304">
        <f>'外国語実績201201-201712'!D1679</f>
        <v>0</v>
      </c>
      <c r="E166" s="304">
        <f>'外国語実績201201-201712'!E1679</f>
        <v>0</v>
      </c>
      <c r="F166" s="304">
        <f>'外国語実績201201-201712'!F1679</f>
        <v>0</v>
      </c>
      <c r="G166" s="304">
        <f>'外国語実績201201-201712'!G1679</f>
        <v>0</v>
      </c>
      <c r="H166" s="304">
        <f>'外国語実績201201-201712'!H1679</f>
        <v>0</v>
      </c>
      <c r="I166" s="304">
        <f>'外国語実績201201-201712'!I1679</f>
        <v>0</v>
      </c>
      <c r="J166" s="304">
        <f>'外国語実績201201-201712'!J1679</f>
        <v>0</v>
      </c>
      <c r="K166" s="304">
        <f>'外国語実績201201-201712'!K1679</f>
        <v>0</v>
      </c>
      <c r="L166" s="306">
        <f>'外国語実績201201-201712'!L1679</f>
        <v>0</v>
      </c>
      <c r="M166" s="326">
        <f t="shared" si="264"/>
        <v>0</v>
      </c>
      <c r="N166" s="305">
        <f>+D166+F166+H166+J166+L166</f>
        <v>0</v>
      </c>
    </row>
    <row r="167" spans="2:14" ht="12" customHeight="1" thickBot="1">
      <c r="B167" s="310" t="s">
        <v>241</v>
      </c>
      <c r="C167" s="328">
        <f>(C166-C165)/C165</f>
        <v>-1</v>
      </c>
      <c r="D167" s="328">
        <f t="shared" ref="D167" si="265">(D166-D165)/D165</f>
        <v>-1</v>
      </c>
      <c r="E167" s="328" t="e">
        <f t="shared" ref="E167" si="266">(E166-E165)/E165</f>
        <v>#DIV/0!</v>
      </c>
      <c r="F167" s="328" t="e">
        <f t="shared" ref="F167" si="267">(F166-F165)/F165</f>
        <v>#DIV/0!</v>
      </c>
      <c r="G167" s="328" t="e">
        <f t="shared" ref="G167" si="268">(G166-G165)/G165</f>
        <v>#DIV/0!</v>
      </c>
      <c r="H167" s="328" t="e">
        <f t="shared" ref="H167" si="269">(H166-H165)/H165</f>
        <v>#DIV/0!</v>
      </c>
      <c r="I167" s="328" t="e">
        <f t="shared" ref="I167" si="270">(I166-I165)/I165</f>
        <v>#DIV/0!</v>
      </c>
      <c r="J167" s="328" t="e">
        <f t="shared" ref="J167" si="271">(J166-J165)/J165</f>
        <v>#DIV/0!</v>
      </c>
      <c r="K167" s="328" t="e">
        <f t="shared" ref="K167" si="272">(K166-K165)/K165</f>
        <v>#DIV/0!</v>
      </c>
      <c r="L167" s="329" t="e">
        <f t="shared" ref="L167" si="273">(L166-L165)/L165</f>
        <v>#DIV/0!</v>
      </c>
      <c r="M167" s="330">
        <f t="shared" ref="M167" si="274">(M166-M165)/M165</f>
        <v>-1</v>
      </c>
      <c r="N167" s="331">
        <f>(N166-N165)/N165</f>
        <v>-1</v>
      </c>
    </row>
    <row r="168" spans="2:14" ht="12" customHeight="1" thickBot="1"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</row>
    <row r="169" spans="2:14" ht="12" customHeight="1">
      <c r="B169" s="22" t="s">
        <v>101</v>
      </c>
      <c r="C169" s="346" t="s">
        <v>29</v>
      </c>
      <c r="D169" s="347"/>
      <c r="E169" s="346" t="s">
        <v>30</v>
      </c>
      <c r="F169" s="347"/>
      <c r="G169" s="353" t="s">
        <v>31</v>
      </c>
      <c r="H169" s="347"/>
      <c r="I169" s="353" t="s">
        <v>58</v>
      </c>
      <c r="J169" s="347"/>
      <c r="K169" s="346" t="s">
        <v>57</v>
      </c>
      <c r="L169" s="345"/>
      <c r="M169" s="344" t="s">
        <v>5</v>
      </c>
      <c r="N169" s="345"/>
    </row>
    <row r="170" spans="2:14" ht="12" customHeight="1" thickBot="1">
      <c r="B170" s="314"/>
      <c r="C170" s="315" t="s">
        <v>34</v>
      </c>
      <c r="D170" s="315" t="s">
        <v>35</v>
      </c>
      <c r="E170" s="315" t="s">
        <v>34</v>
      </c>
      <c r="F170" s="315" t="s">
        <v>35</v>
      </c>
      <c r="G170" s="315" t="s">
        <v>34</v>
      </c>
      <c r="H170" s="315" t="s">
        <v>35</v>
      </c>
      <c r="I170" s="315" t="s">
        <v>59</v>
      </c>
      <c r="J170" s="315" t="s">
        <v>60</v>
      </c>
      <c r="K170" s="315" t="s">
        <v>34</v>
      </c>
      <c r="L170" s="322" t="s">
        <v>35</v>
      </c>
      <c r="M170" s="324" t="s">
        <v>34</v>
      </c>
      <c r="N170" s="316" t="s">
        <v>35</v>
      </c>
    </row>
    <row r="171" spans="2:14" ht="12" customHeight="1" thickTop="1">
      <c r="B171" s="311">
        <f>B165</f>
        <v>43617</v>
      </c>
      <c r="C171" s="312">
        <f>'外国語実績201201-201712'!C1719</f>
        <v>0</v>
      </c>
      <c r="D171" s="312">
        <f>'外国語実績201201-201712'!D1719</f>
        <v>0</v>
      </c>
      <c r="E171" s="312">
        <f>'外国語実績201201-201712'!E1719</f>
        <v>0</v>
      </c>
      <c r="F171" s="312">
        <f>'外国語実績201201-201712'!F1719</f>
        <v>0</v>
      </c>
      <c r="G171" s="312">
        <f>'外国語実績201201-201712'!G1719</f>
        <v>0</v>
      </c>
      <c r="H171" s="312">
        <f>'外国語実績201201-201712'!H1719</f>
        <v>0</v>
      </c>
      <c r="I171" s="312">
        <f>'外国語実績201201-201712'!I1719</f>
        <v>0</v>
      </c>
      <c r="J171" s="312">
        <f>'外国語実績201201-201712'!J1719</f>
        <v>0</v>
      </c>
      <c r="K171" s="312">
        <f>'外国語実績201201-201712'!K1719</f>
        <v>0</v>
      </c>
      <c r="L171" s="323">
        <f>'外国語実績201201-201712'!L1719</f>
        <v>0</v>
      </c>
      <c r="M171" s="325">
        <f t="shared" ref="M171:M172" si="275">+C171+E171+G171+I171+K171</f>
        <v>0</v>
      </c>
      <c r="N171" s="313">
        <f>+D171+F171+H171+J171+L171</f>
        <v>0</v>
      </c>
    </row>
    <row r="172" spans="2:14" ht="12" customHeight="1">
      <c r="B172" s="309">
        <f>B166</f>
        <v>43983</v>
      </c>
      <c r="C172" s="304">
        <f>'外国語実績201201-201712'!C1731</f>
        <v>0</v>
      </c>
      <c r="D172" s="304">
        <f>'外国語実績201201-201712'!D1731</f>
        <v>0</v>
      </c>
      <c r="E172" s="304">
        <f>'外国語実績201201-201712'!E1731</f>
        <v>0</v>
      </c>
      <c r="F172" s="304">
        <f>'外国語実績201201-201712'!F1731</f>
        <v>0</v>
      </c>
      <c r="G172" s="304">
        <f>'外国語実績201201-201712'!G1731</f>
        <v>0</v>
      </c>
      <c r="H172" s="304">
        <f>'外国語実績201201-201712'!H1731</f>
        <v>0</v>
      </c>
      <c r="I172" s="304">
        <f>'外国語実績201201-201712'!I1731</f>
        <v>0</v>
      </c>
      <c r="J172" s="304">
        <f>'外国語実績201201-201712'!J1731</f>
        <v>0</v>
      </c>
      <c r="K172" s="304">
        <f>'外国語実績201201-201712'!K1731</f>
        <v>0</v>
      </c>
      <c r="L172" s="306">
        <f>'外国語実績201201-201712'!L1731</f>
        <v>0</v>
      </c>
      <c r="M172" s="326">
        <f t="shared" si="275"/>
        <v>0</v>
      </c>
      <c r="N172" s="305">
        <f>+D172+F172+H172+J172+L172</f>
        <v>0</v>
      </c>
    </row>
    <row r="173" spans="2:14" ht="12" customHeight="1" thickBot="1">
      <c r="B173" s="310" t="s">
        <v>241</v>
      </c>
      <c r="C173" s="328" t="e">
        <f>(C172-C171)/C171</f>
        <v>#DIV/0!</v>
      </c>
      <c r="D173" s="328" t="e">
        <f t="shared" ref="D173" si="276">(D172-D171)/D171</f>
        <v>#DIV/0!</v>
      </c>
      <c r="E173" s="328" t="e">
        <f t="shared" ref="E173" si="277">(E172-E171)/E171</f>
        <v>#DIV/0!</v>
      </c>
      <c r="F173" s="328" t="e">
        <f t="shared" ref="F173" si="278">(F172-F171)/F171</f>
        <v>#DIV/0!</v>
      </c>
      <c r="G173" s="328" t="e">
        <f t="shared" ref="G173" si="279">(G172-G171)/G171</f>
        <v>#DIV/0!</v>
      </c>
      <c r="H173" s="328" t="e">
        <f t="shared" ref="H173" si="280">(H172-H171)/H171</f>
        <v>#DIV/0!</v>
      </c>
      <c r="I173" s="328" t="e">
        <f t="shared" ref="I173" si="281">(I172-I171)/I171</f>
        <v>#DIV/0!</v>
      </c>
      <c r="J173" s="328" t="e">
        <f t="shared" ref="J173" si="282">(J172-J171)/J171</f>
        <v>#DIV/0!</v>
      </c>
      <c r="K173" s="328" t="e">
        <f t="shared" ref="K173" si="283">(K172-K171)/K171</f>
        <v>#DIV/0!</v>
      </c>
      <c r="L173" s="329" t="e">
        <f t="shared" ref="L173" si="284">(L172-L171)/L171</f>
        <v>#DIV/0!</v>
      </c>
      <c r="M173" s="330" t="e">
        <f t="shared" ref="M173" si="285">(M172-M171)/M171</f>
        <v>#DIV/0!</v>
      </c>
      <c r="N173" s="331" t="e">
        <f>(N172-N171)/N171</f>
        <v>#DIV/0!</v>
      </c>
    </row>
    <row r="174" spans="2:14" ht="12" customHeight="1" thickBot="1"/>
    <row r="175" spans="2:14" ht="12" customHeight="1">
      <c r="B175" s="23" t="s">
        <v>103</v>
      </c>
      <c r="C175" s="346" t="s">
        <v>29</v>
      </c>
      <c r="D175" s="347"/>
      <c r="E175" s="346" t="s">
        <v>30</v>
      </c>
      <c r="F175" s="347"/>
      <c r="G175" s="353" t="s">
        <v>31</v>
      </c>
      <c r="H175" s="347"/>
      <c r="I175" s="353" t="s">
        <v>58</v>
      </c>
      <c r="J175" s="347"/>
      <c r="K175" s="346" t="s">
        <v>57</v>
      </c>
      <c r="L175" s="345"/>
      <c r="M175" s="344" t="s">
        <v>5</v>
      </c>
      <c r="N175" s="345"/>
    </row>
    <row r="176" spans="2:14" ht="12" customHeight="1" thickBot="1">
      <c r="B176" s="314"/>
      <c r="C176" s="315" t="s">
        <v>34</v>
      </c>
      <c r="D176" s="315" t="s">
        <v>35</v>
      </c>
      <c r="E176" s="315" t="s">
        <v>34</v>
      </c>
      <c r="F176" s="315" t="s">
        <v>35</v>
      </c>
      <c r="G176" s="315" t="s">
        <v>34</v>
      </c>
      <c r="H176" s="315" t="s">
        <v>35</v>
      </c>
      <c r="I176" s="315" t="s">
        <v>59</v>
      </c>
      <c r="J176" s="315" t="s">
        <v>60</v>
      </c>
      <c r="K176" s="315" t="s">
        <v>34</v>
      </c>
      <c r="L176" s="322" t="s">
        <v>35</v>
      </c>
      <c r="M176" s="324" t="s">
        <v>34</v>
      </c>
      <c r="N176" s="316" t="s">
        <v>35</v>
      </c>
    </row>
    <row r="177" spans="2:14" ht="12" customHeight="1" thickTop="1">
      <c r="B177" s="311">
        <f>B171</f>
        <v>43617</v>
      </c>
      <c r="C177" s="312">
        <f>'外国語実績201201-201712'!C1771</f>
        <v>0</v>
      </c>
      <c r="D177" s="312">
        <f>'外国語実績201201-201712'!D1771</f>
        <v>0</v>
      </c>
      <c r="E177" s="312">
        <f>'外国語実績201201-201712'!E1771</f>
        <v>0</v>
      </c>
      <c r="F177" s="312">
        <f>'外国語実績201201-201712'!F1771</f>
        <v>0</v>
      </c>
      <c r="G177" s="312">
        <f>'外国語実績201201-201712'!G1771</f>
        <v>0</v>
      </c>
      <c r="H177" s="312">
        <f>'外国語実績201201-201712'!H1771</f>
        <v>0</v>
      </c>
      <c r="I177" s="312">
        <f>'外国語実績201201-201712'!I1771</f>
        <v>0</v>
      </c>
      <c r="J177" s="312">
        <f>'外国語実績201201-201712'!J1771</f>
        <v>0</v>
      </c>
      <c r="K177" s="312">
        <f>'外国語実績201201-201712'!K1771</f>
        <v>0</v>
      </c>
      <c r="L177" s="323">
        <f>'外国語実績201201-201712'!L1771</f>
        <v>0</v>
      </c>
      <c r="M177" s="325">
        <f t="shared" ref="M177:M178" si="286">+C177+E177+G177+I177+K177</f>
        <v>0</v>
      </c>
      <c r="N177" s="313">
        <f>+D177+F177+H177+J177+L177</f>
        <v>0</v>
      </c>
    </row>
    <row r="178" spans="2:14" ht="12" customHeight="1">
      <c r="B178" s="309">
        <f>B172</f>
        <v>43983</v>
      </c>
      <c r="C178" s="304">
        <f>'外国語実績201201-201712'!C1783</f>
        <v>0</v>
      </c>
      <c r="D178" s="304">
        <f>'外国語実績201201-201712'!D1783</f>
        <v>0</v>
      </c>
      <c r="E178" s="304">
        <f>'外国語実績201201-201712'!E1783</f>
        <v>0</v>
      </c>
      <c r="F178" s="304">
        <f>'外国語実績201201-201712'!F1783</f>
        <v>0</v>
      </c>
      <c r="G178" s="304">
        <f>'外国語実績201201-201712'!G1783</f>
        <v>0</v>
      </c>
      <c r="H178" s="304">
        <f>'外国語実績201201-201712'!H1783</f>
        <v>0</v>
      </c>
      <c r="I178" s="304">
        <f>'外国語実績201201-201712'!I1783</f>
        <v>0</v>
      </c>
      <c r="J178" s="304">
        <f>'外国語実績201201-201712'!J1783</f>
        <v>0</v>
      </c>
      <c r="K178" s="304">
        <f>'外国語実績201201-201712'!K1783</f>
        <v>0</v>
      </c>
      <c r="L178" s="306">
        <f>'外国語実績201201-201712'!L1783</f>
        <v>0</v>
      </c>
      <c r="M178" s="326">
        <f t="shared" si="286"/>
        <v>0</v>
      </c>
      <c r="N178" s="305">
        <f>+D178+F178+H178+J178+L178</f>
        <v>0</v>
      </c>
    </row>
    <row r="179" spans="2:14" ht="12" customHeight="1" thickBot="1">
      <c r="B179" s="310" t="s">
        <v>241</v>
      </c>
      <c r="C179" s="328" t="e">
        <f>(C178-C177)/C177</f>
        <v>#DIV/0!</v>
      </c>
      <c r="D179" s="328" t="e">
        <f t="shared" ref="D179" si="287">(D178-D177)/D177</f>
        <v>#DIV/0!</v>
      </c>
      <c r="E179" s="328" t="e">
        <f t="shared" ref="E179" si="288">(E178-E177)/E177</f>
        <v>#DIV/0!</v>
      </c>
      <c r="F179" s="328" t="e">
        <f t="shared" ref="F179" si="289">(F178-F177)/F177</f>
        <v>#DIV/0!</v>
      </c>
      <c r="G179" s="328" t="e">
        <f t="shared" ref="G179" si="290">(G178-G177)/G177</f>
        <v>#DIV/0!</v>
      </c>
      <c r="H179" s="328" t="e">
        <f t="shared" ref="H179" si="291">(H178-H177)/H177</f>
        <v>#DIV/0!</v>
      </c>
      <c r="I179" s="328" t="e">
        <f t="shared" ref="I179" si="292">(I178-I177)/I177</f>
        <v>#DIV/0!</v>
      </c>
      <c r="J179" s="328" t="e">
        <f t="shared" ref="J179" si="293">(J178-J177)/J177</f>
        <v>#DIV/0!</v>
      </c>
      <c r="K179" s="328" t="e">
        <f t="shared" ref="K179" si="294">(K178-K177)/K177</f>
        <v>#DIV/0!</v>
      </c>
      <c r="L179" s="329" t="e">
        <f t="shared" ref="L179" si="295">(L178-L177)/L177</f>
        <v>#DIV/0!</v>
      </c>
      <c r="M179" s="330" t="e">
        <f t="shared" ref="M179" si="296">(M178-M177)/M177</f>
        <v>#DIV/0!</v>
      </c>
      <c r="N179" s="331" t="e">
        <f>(N178-N177)/N177</f>
        <v>#DIV/0!</v>
      </c>
    </row>
    <row r="180" spans="2:14" ht="12" customHeight="1" thickBot="1"/>
    <row r="181" spans="2:14" ht="12" customHeight="1">
      <c r="B181" s="23" t="s">
        <v>106</v>
      </c>
      <c r="C181" s="346" t="s">
        <v>29</v>
      </c>
      <c r="D181" s="347"/>
      <c r="E181" s="346" t="s">
        <v>30</v>
      </c>
      <c r="F181" s="347"/>
      <c r="G181" s="353" t="s">
        <v>31</v>
      </c>
      <c r="H181" s="347"/>
      <c r="I181" s="353" t="s">
        <v>58</v>
      </c>
      <c r="J181" s="347"/>
      <c r="K181" s="346" t="s">
        <v>57</v>
      </c>
      <c r="L181" s="345"/>
      <c r="M181" s="344" t="s">
        <v>5</v>
      </c>
      <c r="N181" s="345"/>
    </row>
    <row r="182" spans="2:14" ht="12" customHeight="1" thickBot="1">
      <c r="B182" s="314"/>
      <c r="C182" s="315" t="s">
        <v>34</v>
      </c>
      <c r="D182" s="315" t="s">
        <v>35</v>
      </c>
      <c r="E182" s="315" t="s">
        <v>34</v>
      </c>
      <c r="F182" s="315" t="s">
        <v>35</v>
      </c>
      <c r="G182" s="315" t="s">
        <v>34</v>
      </c>
      <c r="H182" s="315" t="s">
        <v>35</v>
      </c>
      <c r="I182" s="315" t="s">
        <v>59</v>
      </c>
      <c r="J182" s="315" t="s">
        <v>60</v>
      </c>
      <c r="K182" s="315" t="s">
        <v>34</v>
      </c>
      <c r="L182" s="322" t="s">
        <v>35</v>
      </c>
      <c r="M182" s="324" t="s">
        <v>34</v>
      </c>
      <c r="N182" s="316" t="s">
        <v>35</v>
      </c>
    </row>
    <row r="183" spans="2:14" ht="12" customHeight="1" thickTop="1">
      <c r="B183" s="311">
        <f>B177</f>
        <v>43617</v>
      </c>
      <c r="C183" s="312">
        <f>'外国語実績201201-201712'!C1811</f>
        <v>6</v>
      </c>
      <c r="D183" s="312">
        <f>'外国語実績201201-201712'!D1811</f>
        <v>11</v>
      </c>
      <c r="E183" s="312">
        <f>'外国語実績201201-201712'!E1811</f>
        <v>5</v>
      </c>
      <c r="F183" s="312">
        <f>'外国語実績201201-201712'!F1811</f>
        <v>3</v>
      </c>
      <c r="G183" s="312">
        <f>'外国語実績201201-201712'!G1811</f>
        <v>2</v>
      </c>
      <c r="H183" s="312">
        <f>'外国語実績201201-201712'!H1811</f>
        <v>2</v>
      </c>
      <c r="I183" s="312">
        <f>'外国語実績201201-201712'!I1811</f>
        <v>0</v>
      </c>
      <c r="J183" s="312">
        <f>'外国語実績201201-201712'!J1811</f>
        <v>0</v>
      </c>
      <c r="K183" s="312">
        <f>'外国語実績201201-201712'!K1811</f>
        <v>0</v>
      </c>
      <c r="L183" s="323">
        <f>'外国語実績201201-201712'!L1811</f>
        <v>0</v>
      </c>
      <c r="M183" s="325">
        <f t="shared" ref="M183:M184" si="297">+C183+E183+G183+I183+K183</f>
        <v>13</v>
      </c>
      <c r="N183" s="313">
        <f>+D183+F183+H183+J183+L183</f>
        <v>16</v>
      </c>
    </row>
    <row r="184" spans="2:14" ht="12" customHeight="1">
      <c r="B184" s="309">
        <f>B178</f>
        <v>43983</v>
      </c>
      <c r="C184" s="304">
        <f>'外国語実績201201-201712'!C1823</f>
        <v>0</v>
      </c>
      <c r="D184" s="304">
        <f>'外国語実績201201-201712'!D1823</f>
        <v>0</v>
      </c>
      <c r="E184" s="304">
        <f>'外国語実績201201-201712'!E1823</f>
        <v>0</v>
      </c>
      <c r="F184" s="304">
        <f>'外国語実績201201-201712'!F1823</f>
        <v>0</v>
      </c>
      <c r="G184" s="304">
        <f>'外国語実績201201-201712'!G1823</f>
        <v>0</v>
      </c>
      <c r="H184" s="304">
        <f>'外国語実績201201-201712'!H1823</f>
        <v>0</v>
      </c>
      <c r="I184" s="304">
        <f>'外国語実績201201-201712'!I1823</f>
        <v>0</v>
      </c>
      <c r="J184" s="304">
        <f>'外国語実績201201-201712'!J1823</f>
        <v>0</v>
      </c>
      <c r="K184" s="304">
        <f>'外国語実績201201-201712'!K1823</f>
        <v>0</v>
      </c>
      <c r="L184" s="306">
        <f>'外国語実績201201-201712'!L1823</f>
        <v>0</v>
      </c>
      <c r="M184" s="326">
        <f t="shared" si="297"/>
        <v>0</v>
      </c>
      <c r="N184" s="305">
        <f>+D184+F184+H184+J184+L184</f>
        <v>0</v>
      </c>
    </row>
    <row r="185" spans="2:14" ht="12" customHeight="1" thickBot="1">
      <c r="B185" s="310" t="s">
        <v>241</v>
      </c>
      <c r="C185" s="328">
        <f>(C184-C183)/C183</f>
        <v>-1</v>
      </c>
      <c r="D185" s="328">
        <f t="shared" ref="D185" si="298">(D184-D183)/D183</f>
        <v>-1</v>
      </c>
      <c r="E185" s="328">
        <f t="shared" ref="E185" si="299">(E184-E183)/E183</f>
        <v>-1</v>
      </c>
      <c r="F185" s="328">
        <f t="shared" ref="F185" si="300">(F184-F183)/F183</f>
        <v>-1</v>
      </c>
      <c r="G185" s="328">
        <f t="shared" ref="G185" si="301">(G184-G183)/G183</f>
        <v>-1</v>
      </c>
      <c r="H185" s="328">
        <f t="shared" ref="H185" si="302">(H184-H183)/H183</f>
        <v>-1</v>
      </c>
      <c r="I185" s="328" t="e">
        <f t="shared" ref="I185" si="303">(I184-I183)/I183</f>
        <v>#DIV/0!</v>
      </c>
      <c r="J185" s="328" t="e">
        <f t="shared" ref="J185" si="304">(J184-J183)/J183</f>
        <v>#DIV/0!</v>
      </c>
      <c r="K185" s="328" t="e">
        <f t="shared" ref="K185" si="305">(K184-K183)/K183</f>
        <v>#DIV/0!</v>
      </c>
      <c r="L185" s="329" t="e">
        <f t="shared" ref="L185" si="306">(L184-L183)/L183</f>
        <v>#DIV/0!</v>
      </c>
      <c r="M185" s="330">
        <f t="shared" ref="M185" si="307">(M184-M183)/M183</f>
        <v>-1</v>
      </c>
      <c r="N185" s="331">
        <f>(N184-N183)/N183</f>
        <v>-1</v>
      </c>
    </row>
    <row r="186" spans="2:14" ht="12" customHeight="1" thickBot="1"/>
    <row r="187" spans="2:14" ht="12" customHeight="1">
      <c r="B187" s="23" t="s">
        <v>108</v>
      </c>
      <c r="C187" s="346" t="s">
        <v>29</v>
      </c>
      <c r="D187" s="347"/>
      <c r="E187" s="346" t="s">
        <v>30</v>
      </c>
      <c r="F187" s="347"/>
      <c r="G187" s="353" t="s">
        <v>31</v>
      </c>
      <c r="H187" s="347"/>
      <c r="I187" s="353" t="s">
        <v>58</v>
      </c>
      <c r="J187" s="347"/>
      <c r="K187" s="346" t="s">
        <v>57</v>
      </c>
      <c r="L187" s="345"/>
      <c r="M187" s="344" t="s">
        <v>5</v>
      </c>
      <c r="N187" s="345"/>
    </row>
    <row r="188" spans="2:14" ht="12" customHeight="1" thickBot="1">
      <c r="B188" s="314"/>
      <c r="C188" s="315" t="s">
        <v>34</v>
      </c>
      <c r="D188" s="315" t="s">
        <v>35</v>
      </c>
      <c r="E188" s="315" t="s">
        <v>34</v>
      </c>
      <c r="F188" s="315" t="s">
        <v>35</v>
      </c>
      <c r="G188" s="315" t="s">
        <v>34</v>
      </c>
      <c r="H188" s="315" t="s">
        <v>35</v>
      </c>
      <c r="I188" s="315" t="s">
        <v>59</v>
      </c>
      <c r="J188" s="315" t="s">
        <v>60</v>
      </c>
      <c r="K188" s="315" t="s">
        <v>34</v>
      </c>
      <c r="L188" s="322" t="s">
        <v>35</v>
      </c>
      <c r="M188" s="324" t="s">
        <v>34</v>
      </c>
      <c r="N188" s="316" t="s">
        <v>35</v>
      </c>
    </row>
    <row r="189" spans="2:14" ht="12" customHeight="1" thickTop="1">
      <c r="B189" s="311">
        <f>B183</f>
        <v>43617</v>
      </c>
      <c r="C189" s="312">
        <f>'外国語実績201201-201712'!C1851</f>
        <v>26</v>
      </c>
      <c r="D189" s="312">
        <f>'外国語実績201201-201712'!D1851</f>
        <v>71</v>
      </c>
      <c r="E189" s="312">
        <f>'外国語実績201201-201712'!E1851</f>
        <v>0</v>
      </c>
      <c r="F189" s="312">
        <f>'外国語実績201201-201712'!F1851</f>
        <v>0</v>
      </c>
      <c r="G189" s="312">
        <f>'外国語実績201201-201712'!G1851</f>
        <v>5</v>
      </c>
      <c r="H189" s="312">
        <f>'外国語実績201201-201712'!H1851</f>
        <v>19</v>
      </c>
      <c r="I189" s="312">
        <f>'外国語実績201201-201712'!I1851</f>
        <v>2</v>
      </c>
      <c r="J189" s="312">
        <f>'外国語実績201201-201712'!J1851</f>
        <v>4</v>
      </c>
      <c r="K189" s="312">
        <f>'外国語実績201201-201712'!K1851</f>
        <v>1</v>
      </c>
      <c r="L189" s="323">
        <f>'外国語実績201201-201712'!L1851</f>
        <v>0</v>
      </c>
      <c r="M189" s="325">
        <f t="shared" ref="M189:M190" si="308">+C189+E189+G189+I189+K189</f>
        <v>34</v>
      </c>
      <c r="N189" s="313">
        <f>+D189+F189+H189+J189+L189</f>
        <v>94</v>
      </c>
    </row>
    <row r="190" spans="2:14" ht="12" customHeight="1">
      <c r="B190" s="309">
        <f>B184</f>
        <v>43983</v>
      </c>
      <c r="C190" s="304">
        <f>'外国語実績201201-201712'!C1863</f>
        <v>0</v>
      </c>
      <c r="D190" s="304">
        <f>'外国語実績201201-201712'!D1863</f>
        <v>0</v>
      </c>
      <c r="E190" s="304">
        <f>'外国語実績201201-201712'!E1863</f>
        <v>0</v>
      </c>
      <c r="F190" s="304">
        <f>'外国語実績201201-201712'!F1863</f>
        <v>0</v>
      </c>
      <c r="G190" s="304">
        <f>'外国語実績201201-201712'!G1863</f>
        <v>0</v>
      </c>
      <c r="H190" s="304">
        <f>'外国語実績201201-201712'!H1863</f>
        <v>0</v>
      </c>
      <c r="I190" s="304">
        <f>'外国語実績201201-201712'!I1863</f>
        <v>0</v>
      </c>
      <c r="J190" s="304">
        <f>'外国語実績201201-201712'!J1863</f>
        <v>0</v>
      </c>
      <c r="K190" s="304">
        <f>'外国語実績201201-201712'!K1863</f>
        <v>0</v>
      </c>
      <c r="L190" s="306">
        <f>'外国語実績201201-201712'!L1863</f>
        <v>0</v>
      </c>
      <c r="M190" s="326">
        <f t="shared" si="308"/>
        <v>0</v>
      </c>
      <c r="N190" s="305">
        <f>+D190+F190+H190+J190+L190</f>
        <v>0</v>
      </c>
    </row>
    <row r="191" spans="2:14" ht="12" customHeight="1" thickBot="1">
      <c r="B191" s="310" t="s">
        <v>241</v>
      </c>
      <c r="C191" s="328">
        <f>(C190-C189)/C189</f>
        <v>-1</v>
      </c>
      <c r="D191" s="328">
        <f t="shared" ref="D191" si="309">(D190-D189)/D189</f>
        <v>-1</v>
      </c>
      <c r="E191" s="328" t="e">
        <f t="shared" ref="E191" si="310">(E190-E189)/E189</f>
        <v>#DIV/0!</v>
      </c>
      <c r="F191" s="328" t="e">
        <f t="shared" ref="F191" si="311">(F190-F189)/F189</f>
        <v>#DIV/0!</v>
      </c>
      <c r="G191" s="328">
        <f t="shared" ref="G191" si="312">(G190-G189)/G189</f>
        <v>-1</v>
      </c>
      <c r="H191" s="328">
        <f t="shared" ref="H191" si="313">(H190-H189)/H189</f>
        <v>-1</v>
      </c>
      <c r="I191" s="328">
        <f t="shared" ref="I191" si="314">(I190-I189)/I189</f>
        <v>-1</v>
      </c>
      <c r="J191" s="328">
        <f t="shared" ref="J191" si="315">(J190-J189)/J189</f>
        <v>-1</v>
      </c>
      <c r="K191" s="328">
        <f t="shared" ref="K191" si="316">(K190-K189)/K189</f>
        <v>-1</v>
      </c>
      <c r="L191" s="329" t="e">
        <f t="shared" ref="L191" si="317">(L190-L189)/L189</f>
        <v>#DIV/0!</v>
      </c>
      <c r="M191" s="330">
        <f t="shared" ref="M191" si="318">(M190-M189)/M189</f>
        <v>-1</v>
      </c>
      <c r="N191" s="331">
        <f>(N190-N189)/N189</f>
        <v>-1</v>
      </c>
    </row>
    <row r="192" spans="2:14" ht="12" customHeight="1" thickBot="1"/>
    <row r="193" spans="2:14" ht="12" customHeight="1">
      <c r="B193" s="23" t="s">
        <v>150</v>
      </c>
      <c r="C193" s="346" t="s">
        <v>29</v>
      </c>
      <c r="D193" s="347"/>
      <c r="E193" s="346" t="s">
        <v>30</v>
      </c>
      <c r="F193" s="347"/>
      <c r="G193" s="353" t="s">
        <v>31</v>
      </c>
      <c r="H193" s="347"/>
      <c r="I193" s="353" t="s">
        <v>58</v>
      </c>
      <c r="J193" s="347"/>
      <c r="K193" s="346" t="s">
        <v>57</v>
      </c>
      <c r="L193" s="345"/>
      <c r="M193" s="344" t="s">
        <v>5</v>
      </c>
      <c r="N193" s="345"/>
    </row>
    <row r="194" spans="2:14" ht="12" customHeight="1" thickBot="1">
      <c r="B194" s="314"/>
      <c r="C194" s="315" t="s">
        <v>34</v>
      </c>
      <c r="D194" s="315" t="s">
        <v>35</v>
      </c>
      <c r="E194" s="315" t="s">
        <v>34</v>
      </c>
      <c r="F194" s="315" t="s">
        <v>35</v>
      </c>
      <c r="G194" s="315" t="s">
        <v>34</v>
      </c>
      <c r="H194" s="315" t="s">
        <v>35</v>
      </c>
      <c r="I194" s="315" t="s">
        <v>59</v>
      </c>
      <c r="J194" s="315" t="s">
        <v>60</v>
      </c>
      <c r="K194" s="315" t="s">
        <v>34</v>
      </c>
      <c r="L194" s="322" t="s">
        <v>35</v>
      </c>
      <c r="M194" s="324" t="s">
        <v>34</v>
      </c>
      <c r="N194" s="316" t="s">
        <v>35</v>
      </c>
    </row>
    <row r="195" spans="2:14" ht="12" customHeight="1" thickTop="1">
      <c r="B195" s="311">
        <f>B189</f>
        <v>43617</v>
      </c>
      <c r="C195" s="312">
        <f>'外国語実績201201-201712'!C1891</f>
        <v>5</v>
      </c>
      <c r="D195" s="312">
        <f>'外国語実績201201-201712'!D1891</f>
        <v>10</v>
      </c>
      <c r="E195" s="312">
        <f>'外国語実績201201-201712'!E1891</f>
        <v>2</v>
      </c>
      <c r="F195" s="312">
        <f>'外国語実績201201-201712'!F1891</f>
        <v>2</v>
      </c>
      <c r="G195" s="312">
        <f>'外国語実績201201-201712'!G1891</f>
        <v>2</v>
      </c>
      <c r="H195" s="312">
        <f>'外国語実績201201-201712'!H1891</f>
        <v>3</v>
      </c>
      <c r="I195" s="312">
        <f>'外国語実績201201-201712'!I1891</f>
        <v>1</v>
      </c>
      <c r="J195" s="312">
        <f>'外国語実績201201-201712'!J1891</f>
        <v>0</v>
      </c>
      <c r="K195" s="312">
        <f>'外国語実績201201-201712'!K1891</f>
        <v>0</v>
      </c>
      <c r="L195" s="323">
        <f>'外国語実績201201-201712'!L1891</f>
        <v>0</v>
      </c>
      <c r="M195" s="325">
        <f t="shared" ref="M195:M196" si="319">+C195+E195+G195+I195+K195</f>
        <v>10</v>
      </c>
      <c r="N195" s="313">
        <f>+D195+F195+H195+J195+L195</f>
        <v>15</v>
      </c>
    </row>
    <row r="196" spans="2:14" ht="12" customHeight="1">
      <c r="B196" s="309">
        <f>B190</f>
        <v>43983</v>
      </c>
      <c r="C196" s="304">
        <f>'外国語実績201201-201712'!C1903</f>
        <v>0</v>
      </c>
      <c r="D196" s="304">
        <f>'外国語実績201201-201712'!D1903</f>
        <v>0</v>
      </c>
      <c r="E196" s="304">
        <f>'外国語実績201201-201712'!E1903</f>
        <v>0</v>
      </c>
      <c r="F196" s="304">
        <f>'外国語実績201201-201712'!F1903</f>
        <v>0</v>
      </c>
      <c r="G196" s="304">
        <f>'外国語実績201201-201712'!G1903</f>
        <v>0</v>
      </c>
      <c r="H196" s="304">
        <f>'外国語実績201201-201712'!H1903</f>
        <v>0</v>
      </c>
      <c r="I196" s="304">
        <f>'外国語実績201201-201712'!I1903</f>
        <v>0</v>
      </c>
      <c r="J196" s="304">
        <f>'外国語実績201201-201712'!J1903</f>
        <v>0</v>
      </c>
      <c r="K196" s="304">
        <f>'外国語実績201201-201712'!K1903</f>
        <v>0</v>
      </c>
      <c r="L196" s="306">
        <f>'外国語実績201201-201712'!L1903</f>
        <v>0</v>
      </c>
      <c r="M196" s="326">
        <f t="shared" si="319"/>
        <v>0</v>
      </c>
      <c r="N196" s="305">
        <f>+D196+F196+H196+J196+L196</f>
        <v>0</v>
      </c>
    </row>
    <row r="197" spans="2:14" ht="12" customHeight="1" thickBot="1">
      <c r="B197" s="310" t="s">
        <v>241</v>
      </c>
      <c r="C197" s="328">
        <f>(C196-C195)/C195</f>
        <v>-1</v>
      </c>
      <c r="D197" s="328">
        <f t="shared" ref="D197" si="320">(D196-D195)/D195</f>
        <v>-1</v>
      </c>
      <c r="E197" s="328">
        <f t="shared" ref="E197" si="321">(E196-E195)/E195</f>
        <v>-1</v>
      </c>
      <c r="F197" s="328">
        <f t="shared" ref="F197" si="322">(F196-F195)/F195</f>
        <v>-1</v>
      </c>
      <c r="G197" s="328">
        <f t="shared" ref="G197" si="323">(G196-G195)/G195</f>
        <v>-1</v>
      </c>
      <c r="H197" s="328">
        <f t="shared" ref="H197" si="324">(H196-H195)/H195</f>
        <v>-1</v>
      </c>
      <c r="I197" s="328">
        <f t="shared" ref="I197" si="325">(I196-I195)/I195</f>
        <v>-1</v>
      </c>
      <c r="J197" s="328" t="e">
        <f t="shared" ref="J197" si="326">(J196-J195)/J195</f>
        <v>#DIV/0!</v>
      </c>
      <c r="K197" s="328" t="e">
        <f t="shared" ref="K197" si="327">(K196-K195)/K195</f>
        <v>#DIV/0!</v>
      </c>
      <c r="L197" s="329" t="e">
        <f t="shared" ref="L197" si="328">(L196-L195)/L195</f>
        <v>#DIV/0!</v>
      </c>
      <c r="M197" s="330">
        <f t="shared" ref="M197" si="329">(M196-M195)/M195</f>
        <v>-1</v>
      </c>
      <c r="N197" s="331">
        <f>(N196-N195)/N195</f>
        <v>-1</v>
      </c>
    </row>
    <row r="198" spans="2:14" ht="12" customHeight="1" thickBot="1"/>
    <row r="199" spans="2:14" ht="12" customHeight="1">
      <c r="B199" s="23" t="s">
        <v>151</v>
      </c>
      <c r="C199" s="346" t="s">
        <v>29</v>
      </c>
      <c r="D199" s="347"/>
      <c r="E199" s="346" t="s">
        <v>30</v>
      </c>
      <c r="F199" s="347"/>
      <c r="G199" s="353" t="s">
        <v>31</v>
      </c>
      <c r="H199" s="347"/>
      <c r="I199" s="353" t="s">
        <v>58</v>
      </c>
      <c r="J199" s="347"/>
      <c r="K199" s="346" t="s">
        <v>57</v>
      </c>
      <c r="L199" s="345"/>
      <c r="M199" s="344" t="s">
        <v>5</v>
      </c>
      <c r="N199" s="345"/>
    </row>
    <row r="200" spans="2:14" ht="12" customHeight="1" thickBot="1">
      <c r="B200" s="314"/>
      <c r="C200" s="315" t="s">
        <v>34</v>
      </c>
      <c r="D200" s="315" t="s">
        <v>35</v>
      </c>
      <c r="E200" s="315" t="s">
        <v>34</v>
      </c>
      <c r="F200" s="315" t="s">
        <v>35</v>
      </c>
      <c r="G200" s="315" t="s">
        <v>34</v>
      </c>
      <c r="H200" s="315" t="s">
        <v>35</v>
      </c>
      <c r="I200" s="315" t="s">
        <v>59</v>
      </c>
      <c r="J200" s="315" t="s">
        <v>60</v>
      </c>
      <c r="K200" s="315" t="s">
        <v>34</v>
      </c>
      <c r="L200" s="322" t="s">
        <v>35</v>
      </c>
      <c r="M200" s="324" t="s">
        <v>34</v>
      </c>
      <c r="N200" s="316" t="s">
        <v>35</v>
      </c>
    </row>
    <row r="201" spans="2:14" ht="12" customHeight="1" thickTop="1">
      <c r="B201" s="311">
        <f>B195</f>
        <v>43617</v>
      </c>
      <c r="C201" s="312">
        <f>'外国語実績201201-201712'!C1931</f>
        <v>0</v>
      </c>
      <c r="D201" s="312">
        <f>'外国語実績201201-201712'!D1931</f>
        <v>0</v>
      </c>
      <c r="E201" s="312">
        <f>'外国語実績201201-201712'!E1931</f>
        <v>0</v>
      </c>
      <c r="F201" s="312">
        <f>'外国語実績201201-201712'!F1931</f>
        <v>0</v>
      </c>
      <c r="G201" s="312">
        <f>'外国語実績201201-201712'!G1931</f>
        <v>0</v>
      </c>
      <c r="H201" s="312">
        <f>'外国語実績201201-201712'!H1931</f>
        <v>0</v>
      </c>
      <c r="I201" s="312">
        <f>'外国語実績201201-201712'!I1931</f>
        <v>0</v>
      </c>
      <c r="J201" s="312">
        <f>'外国語実績201201-201712'!J1931</f>
        <v>0</v>
      </c>
      <c r="K201" s="312">
        <f>'外国語実績201201-201712'!K1931</f>
        <v>0</v>
      </c>
      <c r="L201" s="323">
        <f>'外国語実績201201-201712'!L1931</f>
        <v>0</v>
      </c>
      <c r="M201" s="325">
        <f t="shared" ref="M201:M202" si="330">+C201+E201+G201+I201+K201</f>
        <v>0</v>
      </c>
      <c r="N201" s="313">
        <f>+D201+F201+H201+J201+L201</f>
        <v>0</v>
      </c>
    </row>
    <row r="202" spans="2:14" ht="12" customHeight="1">
      <c r="B202" s="309">
        <f>B196</f>
        <v>43983</v>
      </c>
      <c r="C202" s="304">
        <f>'外国語実績201201-201712'!C1943</f>
        <v>0</v>
      </c>
      <c r="D202" s="304">
        <f>'外国語実績201201-201712'!D1943</f>
        <v>0</v>
      </c>
      <c r="E202" s="304">
        <f>'外国語実績201201-201712'!E1943</f>
        <v>0</v>
      </c>
      <c r="F202" s="304">
        <f>'外国語実績201201-201712'!F1943</f>
        <v>0</v>
      </c>
      <c r="G202" s="304">
        <f>'外国語実績201201-201712'!G1943</f>
        <v>0</v>
      </c>
      <c r="H202" s="304">
        <f>'外国語実績201201-201712'!H1943</f>
        <v>0</v>
      </c>
      <c r="I202" s="304">
        <f>'外国語実績201201-201712'!I1943</f>
        <v>0</v>
      </c>
      <c r="J202" s="304">
        <f>'外国語実績201201-201712'!J1943</f>
        <v>0</v>
      </c>
      <c r="K202" s="304">
        <f>'外国語実績201201-201712'!K1943</f>
        <v>0</v>
      </c>
      <c r="L202" s="306">
        <f>'外国語実績201201-201712'!L1943</f>
        <v>0</v>
      </c>
      <c r="M202" s="326">
        <f t="shared" si="330"/>
        <v>0</v>
      </c>
      <c r="N202" s="305">
        <f>+D202+F202+H202+J202+L202</f>
        <v>0</v>
      </c>
    </row>
    <row r="203" spans="2:14" ht="12" customHeight="1" thickBot="1">
      <c r="B203" s="310" t="s">
        <v>241</v>
      </c>
      <c r="C203" s="328" t="e">
        <f>(C202-C201)/C201</f>
        <v>#DIV/0!</v>
      </c>
      <c r="D203" s="328" t="e">
        <f t="shared" ref="D203" si="331">(D202-D201)/D201</f>
        <v>#DIV/0!</v>
      </c>
      <c r="E203" s="328" t="e">
        <f t="shared" ref="E203" si="332">(E202-E201)/E201</f>
        <v>#DIV/0!</v>
      </c>
      <c r="F203" s="328" t="e">
        <f t="shared" ref="F203" si="333">(F202-F201)/F201</f>
        <v>#DIV/0!</v>
      </c>
      <c r="G203" s="328" t="e">
        <f t="shared" ref="G203" si="334">(G202-G201)/G201</f>
        <v>#DIV/0!</v>
      </c>
      <c r="H203" s="328" t="e">
        <f t="shared" ref="H203" si="335">(H202-H201)/H201</f>
        <v>#DIV/0!</v>
      </c>
      <c r="I203" s="328" t="e">
        <f t="shared" ref="I203" si="336">(I202-I201)/I201</f>
        <v>#DIV/0!</v>
      </c>
      <c r="J203" s="328" t="e">
        <f t="shared" ref="J203" si="337">(J202-J201)/J201</f>
        <v>#DIV/0!</v>
      </c>
      <c r="K203" s="328" t="e">
        <f t="shared" ref="K203" si="338">(K202-K201)/K201</f>
        <v>#DIV/0!</v>
      </c>
      <c r="L203" s="329" t="e">
        <f t="shared" ref="L203" si="339">(L202-L201)/L201</f>
        <v>#DIV/0!</v>
      </c>
      <c r="M203" s="330" t="e">
        <f t="shared" ref="M203" si="340">(M202-M201)/M201</f>
        <v>#DIV/0!</v>
      </c>
      <c r="N203" s="331" t="e">
        <f>(N202-N201)/N201</f>
        <v>#DIV/0!</v>
      </c>
    </row>
    <row r="204" spans="2:14" ht="12" customHeight="1" thickBot="1"/>
    <row r="205" spans="2:14" ht="12" customHeight="1">
      <c r="B205" s="23" t="s">
        <v>152</v>
      </c>
      <c r="C205" s="346" t="s">
        <v>29</v>
      </c>
      <c r="D205" s="347"/>
      <c r="E205" s="346" t="s">
        <v>30</v>
      </c>
      <c r="F205" s="347"/>
      <c r="G205" s="353" t="s">
        <v>31</v>
      </c>
      <c r="H205" s="347"/>
      <c r="I205" s="353" t="s">
        <v>58</v>
      </c>
      <c r="J205" s="347"/>
      <c r="K205" s="346" t="s">
        <v>57</v>
      </c>
      <c r="L205" s="345"/>
      <c r="M205" s="344" t="s">
        <v>5</v>
      </c>
      <c r="N205" s="345"/>
    </row>
    <row r="206" spans="2:14" ht="12" customHeight="1" thickBot="1">
      <c r="B206" s="314"/>
      <c r="C206" s="315" t="s">
        <v>34</v>
      </c>
      <c r="D206" s="315" t="s">
        <v>35</v>
      </c>
      <c r="E206" s="315" t="s">
        <v>34</v>
      </c>
      <c r="F206" s="315" t="s">
        <v>35</v>
      </c>
      <c r="G206" s="315" t="s">
        <v>34</v>
      </c>
      <c r="H206" s="315" t="s">
        <v>35</v>
      </c>
      <c r="I206" s="315" t="s">
        <v>59</v>
      </c>
      <c r="J206" s="315" t="s">
        <v>60</v>
      </c>
      <c r="K206" s="315" t="s">
        <v>34</v>
      </c>
      <c r="L206" s="322" t="s">
        <v>35</v>
      </c>
      <c r="M206" s="324" t="s">
        <v>34</v>
      </c>
      <c r="N206" s="316" t="s">
        <v>35</v>
      </c>
    </row>
    <row r="207" spans="2:14" ht="12" customHeight="1" thickTop="1">
      <c r="B207" s="311">
        <f>B201</f>
        <v>43617</v>
      </c>
      <c r="C207" s="312">
        <f>'外国語実績201201-201712'!C1983</f>
        <v>0</v>
      </c>
      <c r="D207" s="312">
        <f>'外国語実績201201-201712'!D1983</f>
        <v>0</v>
      </c>
      <c r="E207" s="312">
        <f>'外国語実績201201-201712'!E1983</f>
        <v>0</v>
      </c>
      <c r="F207" s="312">
        <f>'外国語実績201201-201712'!F1983</f>
        <v>0</v>
      </c>
      <c r="G207" s="312">
        <f>'外国語実績201201-201712'!G1983</f>
        <v>0</v>
      </c>
      <c r="H207" s="312">
        <f>'外国語実績201201-201712'!H1983</f>
        <v>0</v>
      </c>
      <c r="I207" s="312">
        <f>'外国語実績201201-201712'!I1983</f>
        <v>0</v>
      </c>
      <c r="J207" s="312">
        <f>'外国語実績201201-201712'!J1983</f>
        <v>0</v>
      </c>
      <c r="K207" s="312">
        <f>'外国語実績201201-201712'!K1983</f>
        <v>0</v>
      </c>
      <c r="L207" s="323">
        <f>'外国語実績201201-201712'!L1983</f>
        <v>0</v>
      </c>
      <c r="M207" s="325">
        <f t="shared" ref="M207:M208" si="341">+C207+E207+G207+I207+K207</f>
        <v>0</v>
      </c>
      <c r="N207" s="313">
        <f>+D207+F207+H207+J207+L207</f>
        <v>0</v>
      </c>
    </row>
    <row r="208" spans="2:14" ht="12" customHeight="1">
      <c r="B208" s="309">
        <f>B202</f>
        <v>43983</v>
      </c>
      <c r="C208" s="304">
        <f>'外国語実績201201-201712'!C1995</f>
        <v>2</v>
      </c>
      <c r="D208" s="304">
        <f>'外国語実績201201-201712'!D1995</f>
        <v>2</v>
      </c>
      <c r="E208" s="304">
        <f>'外国語実績201201-201712'!E1995</f>
        <v>0</v>
      </c>
      <c r="F208" s="304">
        <f>'外国語実績201201-201712'!F1995</f>
        <v>0</v>
      </c>
      <c r="G208" s="304">
        <f>'外国語実績201201-201712'!G1995</f>
        <v>0</v>
      </c>
      <c r="H208" s="304">
        <f>'外国語実績201201-201712'!H1995</f>
        <v>0</v>
      </c>
      <c r="I208" s="304">
        <f>'外国語実績201201-201712'!I1995</f>
        <v>0</v>
      </c>
      <c r="J208" s="304">
        <f>'外国語実績201201-201712'!J1995</f>
        <v>0</v>
      </c>
      <c r="K208" s="304">
        <f>'外国語実績201201-201712'!K1995</f>
        <v>0</v>
      </c>
      <c r="L208" s="306">
        <f>'外国語実績201201-201712'!L1995</f>
        <v>0</v>
      </c>
      <c r="M208" s="326">
        <f t="shared" si="341"/>
        <v>2</v>
      </c>
      <c r="N208" s="305">
        <f>+D208+F208+H208+J208+L208</f>
        <v>2</v>
      </c>
    </row>
    <row r="209" spans="2:14" ht="12" customHeight="1" thickBot="1">
      <c r="B209" s="310" t="s">
        <v>241</v>
      </c>
      <c r="C209" s="328" t="e">
        <f>(C208-C207)/C207</f>
        <v>#DIV/0!</v>
      </c>
      <c r="D209" s="328" t="e">
        <f t="shared" ref="D209" si="342">(D208-D207)/D207</f>
        <v>#DIV/0!</v>
      </c>
      <c r="E209" s="328" t="e">
        <f t="shared" ref="E209" si="343">(E208-E207)/E207</f>
        <v>#DIV/0!</v>
      </c>
      <c r="F209" s="328" t="e">
        <f t="shared" ref="F209" si="344">(F208-F207)/F207</f>
        <v>#DIV/0!</v>
      </c>
      <c r="G209" s="328" t="e">
        <f t="shared" ref="G209" si="345">(G208-G207)/G207</f>
        <v>#DIV/0!</v>
      </c>
      <c r="H209" s="328" t="e">
        <f t="shared" ref="H209" si="346">(H208-H207)/H207</f>
        <v>#DIV/0!</v>
      </c>
      <c r="I209" s="328" t="e">
        <f t="shared" ref="I209" si="347">(I208-I207)/I207</f>
        <v>#DIV/0!</v>
      </c>
      <c r="J209" s="328" t="e">
        <f t="shared" ref="J209" si="348">(J208-J207)/J207</f>
        <v>#DIV/0!</v>
      </c>
      <c r="K209" s="328" t="e">
        <f t="shared" ref="K209" si="349">(K208-K207)/K207</f>
        <v>#DIV/0!</v>
      </c>
      <c r="L209" s="329" t="e">
        <f t="shared" ref="L209" si="350">(L208-L207)/L207</f>
        <v>#DIV/0!</v>
      </c>
      <c r="M209" s="330" t="e">
        <f t="shared" ref="M209" si="351">(M208-M207)/M207</f>
        <v>#DIV/0!</v>
      </c>
      <c r="N209" s="331" t="e">
        <f>(N208-N207)/N207</f>
        <v>#DIV/0!</v>
      </c>
    </row>
    <row r="210" spans="2:14" ht="12" customHeight="1" thickBot="1"/>
    <row r="211" spans="2:14" ht="12" customHeight="1">
      <c r="B211" s="23" t="s">
        <v>153</v>
      </c>
      <c r="C211" s="346" t="s">
        <v>29</v>
      </c>
      <c r="D211" s="347"/>
      <c r="E211" s="346" t="s">
        <v>30</v>
      </c>
      <c r="F211" s="347"/>
      <c r="G211" s="353" t="s">
        <v>31</v>
      </c>
      <c r="H211" s="347"/>
      <c r="I211" s="353" t="s">
        <v>58</v>
      </c>
      <c r="J211" s="347"/>
      <c r="K211" s="346" t="s">
        <v>57</v>
      </c>
      <c r="L211" s="345"/>
      <c r="M211" s="344" t="s">
        <v>5</v>
      </c>
      <c r="N211" s="345"/>
    </row>
    <row r="212" spans="2:14" ht="12" customHeight="1" thickBot="1">
      <c r="B212" s="314"/>
      <c r="C212" s="315" t="s">
        <v>34</v>
      </c>
      <c r="D212" s="315" t="s">
        <v>35</v>
      </c>
      <c r="E212" s="315" t="s">
        <v>34</v>
      </c>
      <c r="F212" s="315" t="s">
        <v>35</v>
      </c>
      <c r="G212" s="315" t="s">
        <v>34</v>
      </c>
      <c r="H212" s="315" t="s">
        <v>35</v>
      </c>
      <c r="I212" s="315" t="s">
        <v>59</v>
      </c>
      <c r="J212" s="315" t="s">
        <v>60</v>
      </c>
      <c r="K212" s="315" t="s">
        <v>34</v>
      </c>
      <c r="L212" s="322" t="s">
        <v>35</v>
      </c>
      <c r="M212" s="324" t="s">
        <v>34</v>
      </c>
      <c r="N212" s="316" t="s">
        <v>35</v>
      </c>
    </row>
    <row r="213" spans="2:14" ht="12" customHeight="1" thickTop="1">
      <c r="B213" s="311">
        <f>B207</f>
        <v>43617</v>
      </c>
      <c r="C213" s="312">
        <f>'外国語実績201201-201712'!C2023</f>
        <v>4</v>
      </c>
      <c r="D213" s="312">
        <f>'外国語実績201201-201712'!D2023</f>
        <v>25</v>
      </c>
      <c r="E213" s="312">
        <f>'外国語実績201201-201712'!E2023</f>
        <v>0</v>
      </c>
      <c r="F213" s="312">
        <f>'外国語実績201201-201712'!F2023</f>
        <v>0</v>
      </c>
      <c r="G213" s="312">
        <f>'外国語実績201201-201712'!G2023</f>
        <v>1</v>
      </c>
      <c r="H213" s="312">
        <f>'外国語実績201201-201712'!H2023</f>
        <v>0</v>
      </c>
      <c r="I213" s="312">
        <f>'外国語実績201201-201712'!I2023</f>
        <v>1</v>
      </c>
      <c r="J213" s="312">
        <f>'外国語実績201201-201712'!J2023</f>
        <v>5</v>
      </c>
      <c r="K213" s="312">
        <f>'外国語実績201201-201712'!K2023</f>
        <v>0</v>
      </c>
      <c r="L213" s="323">
        <f>'外国語実績201201-201712'!L2023</f>
        <v>0</v>
      </c>
      <c r="M213" s="325">
        <f t="shared" ref="M213:M214" si="352">+C213+E213+G213+I213+K213</f>
        <v>6</v>
      </c>
      <c r="N213" s="313">
        <f>+D213+F213+H213+J213+L213</f>
        <v>30</v>
      </c>
    </row>
    <row r="214" spans="2:14" ht="12" customHeight="1">
      <c r="B214" s="309">
        <f>B208</f>
        <v>43983</v>
      </c>
      <c r="C214" s="304">
        <f>'外国語実績201201-201712'!C2035</f>
        <v>0</v>
      </c>
      <c r="D214" s="304">
        <f>'外国語実績201201-201712'!D2035</f>
        <v>0</v>
      </c>
      <c r="E214" s="304">
        <f>'外国語実績201201-201712'!E2035</f>
        <v>0</v>
      </c>
      <c r="F214" s="304">
        <f>'外国語実績201201-201712'!F2035</f>
        <v>0</v>
      </c>
      <c r="G214" s="304">
        <f>'外国語実績201201-201712'!G2035</f>
        <v>0</v>
      </c>
      <c r="H214" s="304">
        <f>'外国語実績201201-201712'!H2035</f>
        <v>0</v>
      </c>
      <c r="I214" s="304">
        <f>'外国語実績201201-201712'!I2035</f>
        <v>0</v>
      </c>
      <c r="J214" s="304">
        <f>'外国語実績201201-201712'!J2035</f>
        <v>0</v>
      </c>
      <c r="K214" s="304">
        <f>'外国語実績201201-201712'!K2035</f>
        <v>0</v>
      </c>
      <c r="L214" s="306">
        <f>'外国語実績201201-201712'!L2035</f>
        <v>0</v>
      </c>
      <c r="M214" s="326">
        <f t="shared" si="352"/>
        <v>0</v>
      </c>
      <c r="N214" s="305">
        <f>+D214+F214+H214+J214+L214</f>
        <v>0</v>
      </c>
    </row>
    <row r="215" spans="2:14" ht="12" customHeight="1" thickBot="1">
      <c r="B215" s="310" t="s">
        <v>241</v>
      </c>
      <c r="C215" s="328">
        <f>(C214-C213)/C213</f>
        <v>-1</v>
      </c>
      <c r="D215" s="328">
        <f t="shared" ref="D215" si="353">(D214-D213)/D213</f>
        <v>-1</v>
      </c>
      <c r="E215" s="328" t="e">
        <f t="shared" ref="E215" si="354">(E214-E213)/E213</f>
        <v>#DIV/0!</v>
      </c>
      <c r="F215" s="328" t="e">
        <f t="shared" ref="F215" si="355">(F214-F213)/F213</f>
        <v>#DIV/0!</v>
      </c>
      <c r="G215" s="328">
        <f t="shared" ref="G215" si="356">(G214-G213)/G213</f>
        <v>-1</v>
      </c>
      <c r="H215" s="328" t="e">
        <f t="shared" ref="H215" si="357">(H214-H213)/H213</f>
        <v>#DIV/0!</v>
      </c>
      <c r="I215" s="328">
        <f t="shared" ref="I215" si="358">(I214-I213)/I213</f>
        <v>-1</v>
      </c>
      <c r="J215" s="328">
        <f t="shared" ref="J215" si="359">(J214-J213)/J213</f>
        <v>-1</v>
      </c>
      <c r="K215" s="328" t="e">
        <f t="shared" ref="K215" si="360">(K214-K213)/K213</f>
        <v>#DIV/0!</v>
      </c>
      <c r="L215" s="329" t="e">
        <f t="shared" ref="L215" si="361">(L214-L213)/L213</f>
        <v>#DIV/0!</v>
      </c>
      <c r="M215" s="330">
        <f t="shared" ref="M215" si="362">(M214-M213)/M213</f>
        <v>-1</v>
      </c>
      <c r="N215" s="331">
        <f>(N214-N213)/N213</f>
        <v>-1</v>
      </c>
    </row>
    <row r="216" spans="2:14" ht="12" customHeight="1" thickBot="1"/>
    <row r="217" spans="2:14" ht="12" customHeight="1">
      <c r="B217" s="23" t="s">
        <v>169</v>
      </c>
      <c r="C217" s="346" t="s">
        <v>29</v>
      </c>
      <c r="D217" s="347"/>
      <c r="E217" s="346" t="s">
        <v>30</v>
      </c>
      <c r="F217" s="347"/>
      <c r="G217" s="353" t="s">
        <v>31</v>
      </c>
      <c r="H217" s="347"/>
      <c r="I217" s="353" t="s">
        <v>58</v>
      </c>
      <c r="J217" s="347"/>
      <c r="K217" s="346" t="s">
        <v>57</v>
      </c>
      <c r="L217" s="345"/>
      <c r="M217" s="344" t="s">
        <v>5</v>
      </c>
      <c r="N217" s="345"/>
    </row>
    <row r="218" spans="2:14" ht="12" customHeight="1" thickBot="1">
      <c r="B218" s="314"/>
      <c r="C218" s="315" t="s">
        <v>34</v>
      </c>
      <c r="D218" s="315" t="s">
        <v>35</v>
      </c>
      <c r="E218" s="315" t="s">
        <v>34</v>
      </c>
      <c r="F218" s="315" t="s">
        <v>35</v>
      </c>
      <c r="G218" s="315" t="s">
        <v>34</v>
      </c>
      <c r="H218" s="315" t="s">
        <v>35</v>
      </c>
      <c r="I218" s="315" t="s">
        <v>59</v>
      </c>
      <c r="J218" s="315" t="s">
        <v>60</v>
      </c>
      <c r="K218" s="315" t="s">
        <v>34</v>
      </c>
      <c r="L218" s="322" t="s">
        <v>35</v>
      </c>
      <c r="M218" s="324" t="s">
        <v>34</v>
      </c>
      <c r="N218" s="316" t="s">
        <v>35</v>
      </c>
    </row>
    <row r="219" spans="2:14" ht="12" customHeight="1" thickTop="1">
      <c r="B219" s="311">
        <f>B213</f>
        <v>43617</v>
      </c>
      <c r="C219" s="312">
        <f>'外国語実績201201-201712'!C2063</f>
        <v>0</v>
      </c>
      <c r="D219" s="312">
        <f>'外国語実績201201-201712'!D2063</f>
        <v>0</v>
      </c>
      <c r="E219" s="312">
        <f>'外国語実績201201-201712'!E2063</f>
        <v>0</v>
      </c>
      <c r="F219" s="312">
        <f>'外国語実績201201-201712'!F2063</f>
        <v>0</v>
      </c>
      <c r="G219" s="312">
        <f>'外国語実績201201-201712'!G2063</f>
        <v>0</v>
      </c>
      <c r="H219" s="312">
        <f>'外国語実績201201-201712'!H2063</f>
        <v>0</v>
      </c>
      <c r="I219" s="312">
        <f>'外国語実績201201-201712'!I2063</f>
        <v>2</v>
      </c>
      <c r="J219" s="312">
        <f>'外国語実績201201-201712'!J2063</f>
        <v>7</v>
      </c>
      <c r="K219" s="312">
        <f>'外国語実績201201-201712'!K2063</f>
        <v>0</v>
      </c>
      <c r="L219" s="323">
        <f>'外国語実績201201-201712'!L2063</f>
        <v>0</v>
      </c>
      <c r="M219" s="325">
        <f t="shared" ref="M219:M220" si="363">+C219+E219+G219+I219+K219</f>
        <v>2</v>
      </c>
      <c r="N219" s="313">
        <f>+D219+F219+H219+J219+L219</f>
        <v>7</v>
      </c>
    </row>
    <row r="220" spans="2:14" ht="12" customHeight="1">
      <c r="B220" s="309">
        <f>B214</f>
        <v>43983</v>
      </c>
      <c r="C220" s="304">
        <f>'外国語実績201201-201712'!C2075</f>
        <v>0</v>
      </c>
      <c r="D220" s="304">
        <f>'外国語実績201201-201712'!D2075</f>
        <v>0</v>
      </c>
      <c r="E220" s="304">
        <f>'外国語実績201201-201712'!E2075</f>
        <v>0</v>
      </c>
      <c r="F220" s="304">
        <f>'外国語実績201201-201712'!F2075</f>
        <v>0</v>
      </c>
      <c r="G220" s="304">
        <f>'外国語実績201201-201712'!G2075</f>
        <v>0</v>
      </c>
      <c r="H220" s="304">
        <f>'外国語実績201201-201712'!H2075</f>
        <v>0</v>
      </c>
      <c r="I220" s="304">
        <f>'外国語実績201201-201712'!I2075</f>
        <v>0</v>
      </c>
      <c r="J220" s="304">
        <f>'外国語実績201201-201712'!J2075</f>
        <v>0</v>
      </c>
      <c r="K220" s="304">
        <f>'外国語実績201201-201712'!K2075</f>
        <v>0</v>
      </c>
      <c r="L220" s="306">
        <f>'外国語実績201201-201712'!L2075</f>
        <v>0</v>
      </c>
      <c r="M220" s="326">
        <f t="shared" si="363"/>
        <v>0</v>
      </c>
      <c r="N220" s="305">
        <f>+D220+F220+H220+J220+L220</f>
        <v>0</v>
      </c>
    </row>
    <row r="221" spans="2:14" ht="12" customHeight="1" thickBot="1">
      <c r="B221" s="310" t="s">
        <v>241</v>
      </c>
      <c r="C221" s="328" t="e">
        <f>(C220-C219)/C219</f>
        <v>#DIV/0!</v>
      </c>
      <c r="D221" s="328" t="e">
        <f t="shared" ref="D221" si="364">(D220-D219)/D219</f>
        <v>#DIV/0!</v>
      </c>
      <c r="E221" s="328" t="e">
        <f t="shared" ref="E221" si="365">(E220-E219)/E219</f>
        <v>#DIV/0!</v>
      </c>
      <c r="F221" s="328" t="e">
        <f t="shared" ref="F221" si="366">(F220-F219)/F219</f>
        <v>#DIV/0!</v>
      </c>
      <c r="G221" s="328" t="e">
        <f t="shared" ref="G221" si="367">(G220-G219)/G219</f>
        <v>#DIV/0!</v>
      </c>
      <c r="H221" s="328" t="e">
        <f t="shared" ref="H221" si="368">(H220-H219)/H219</f>
        <v>#DIV/0!</v>
      </c>
      <c r="I221" s="328">
        <f t="shared" ref="I221" si="369">(I220-I219)/I219</f>
        <v>-1</v>
      </c>
      <c r="J221" s="328">
        <f t="shared" ref="J221" si="370">(J220-J219)/J219</f>
        <v>-1</v>
      </c>
      <c r="K221" s="328" t="e">
        <f t="shared" ref="K221" si="371">(K220-K219)/K219</f>
        <v>#DIV/0!</v>
      </c>
      <c r="L221" s="329" t="e">
        <f t="shared" ref="L221" si="372">(L220-L219)/L219</f>
        <v>#DIV/0!</v>
      </c>
      <c r="M221" s="330">
        <f t="shared" ref="M221" si="373">(M220-M219)/M219</f>
        <v>-1</v>
      </c>
      <c r="N221" s="331">
        <f>(N220-N219)/N219</f>
        <v>-1</v>
      </c>
    </row>
    <row r="222" spans="2:14" ht="12" customHeight="1" thickBot="1"/>
    <row r="223" spans="2:14" ht="12" customHeight="1">
      <c r="B223" s="23" t="s">
        <v>173</v>
      </c>
      <c r="C223" s="346" t="s">
        <v>29</v>
      </c>
      <c r="D223" s="347"/>
      <c r="E223" s="346" t="s">
        <v>30</v>
      </c>
      <c r="F223" s="347"/>
      <c r="G223" s="353" t="s">
        <v>31</v>
      </c>
      <c r="H223" s="347"/>
      <c r="I223" s="353" t="s">
        <v>58</v>
      </c>
      <c r="J223" s="347"/>
      <c r="K223" s="346" t="s">
        <v>57</v>
      </c>
      <c r="L223" s="345"/>
      <c r="M223" s="344" t="s">
        <v>5</v>
      </c>
      <c r="N223" s="345"/>
    </row>
    <row r="224" spans="2:14" ht="12" customHeight="1" thickBot="1">
      <c r="B224" s="314"/>
      <c r="C224" s="315" t="s">
        <v>34</v>
      </c>
      <c r="D224" s="315" t="s">
        <v>35</v>
      </c>
      <c r="E224" s="315" t="s">
        <v>34</v>
      </c>
      <c r="F224" s="315" t="s">
        <v>35</v>
      </c>
      <c r="G224" s="315" t="s">
        <v>34</v>
      </c>
      <c r="H224" s="315" t="s">
        <v>35</v>
      </c>
      <c r="I224" s="315" t="s">
        <v>59</v>
      </c>
      <c r="J224" s="315" t="s">
        <v>60</v>
      </c>
      <c r="K224" s="315" t="s">
        <v>34</v>
      </c>
      <c r="L224" s="322" t="s">
        <v>35</v>
      </c>
      <c r="M224" s="324" t="s">
        <v>34</v>
      </c>
      <c r="N224" s="316" t="s">
        <v>35</v>
      </c>
    </row>
    <row r="225" spans="2:14" ht="12" customHeight="1" thickTop="1">
      <c r="B225" s="311">
        <f>B219</f>
        <v>43617</v>
      </c>
      <c r="C225" s="312">
        <f>'外国語実績201201-201712'!C2103</f>
        <v>0</v>
      </c>
      <c r="D225" s="312">
        <f>'外国語実績201201-201712'!D2103</f>
        <v>0</v>
      </c>
      <c r="E225" s="312">
        <f>'外国語実績201201-201712'!E2103</f>
        <v>0</v>
      </c>
      <c r="F225" s="312">
        <f>'外国語実績201201-201712'!F2103</f>
        <v>0</v>
      </c>
      <c r="G225" s="312">
        <f>'外国語実績201201-201712'!G2103</f>
        <v>0</v>
      </c>
      <c r="H225" s="312">
        <f>'外国語実績201201-201712'!H2103</f>
        <v>0</v>
      </c>
      <c r="I225" s="312">
        <f>'外国語実績201201-201712'!I2103</f>
        <v>0</v>
      </c>
      <c r="J225" s="312">
        <f>'外国語実績201201-201712'!J2103</f>
        <v>0</v>
      </c>
      <c r="K225" s="312">
        <f>'外国語実績201201-201712'!K2103</f>
        <v>0</v>
      </c>
      <c r="L225" s="323">
        <f>'外国語実績201201-201712'!L2103</f>
        <v>0</v>
      </c>
      <c r="M225" s="325">
        <f t="shared" ref="M225:M226" si="374">+C225+E225+G225+I225+K225</f>
        <v>0</v>
      </c>
      <c r="N225" s="313">
        <f>+D225+F225+H225+J225+L225</f>
        <v>0</v>
      </c>
    </row>
    <row r="226" spans="2:14" ht="12" customHeight="1">
      <c r="B226" s="309">
        <f>B220</f>
        <v>43983</v>
      </c>
      <c r="C226" s="304">
        <f>'外国語実績201201-201712'!C2115</f>
        <v>0</v>
      </c>
      <c r="D226" s="304">
        <f>'外国語実績201201-201712'!D2115</f>
        <v>0</v>
      </c>
      <c r="E226" s="304">
        <f>'外国語実績201201-201712'!E2115</f>
        <v>0</v>
      </c>
      <c r="F226" s="304">
        <f>'外国語実績201201-201712'!F2115</f>
        <v>0</v>
      </c>
      <c r="G226" s="304">
        <f>'外国語実績201201-201712'!G2115</f>
        <v>0</v>
      </c>
      <c r="H226" s="304">
        <f>'外国語実績201201-201712'!H2115</f>
        <v>0</v>
      </c>
      <c r="I226" s="304">
        <f>'外国語実績201201-201712'!I2115</f>
        <v>0</v>
      </c>
      <c r="J226" s="304">
        <f>'外国語実績201201-201712'!J2115</f>
        <v>0</v>
      </c>
      <c r="K226" s="304">
        <f>'外国語実績201201-201712'!K2115</f>
        <v>0</v>
      </c>
      <c r="L226" s="306">
        <f>'外国語実績201201-201712'!L2115</f>
        <v>0</v>
      </c>
      <c r="M226" s="326">
        <f t="shared" si="374"/>
        <v>0</v>
      </c>
      <c r="N226" s="305">
        <f>+D226+F226+H226+J226+L226</f>
        <v>0</v>
      </c>
    </row>
    <row r="227" spans="2:14" ht="12" customHeight="1" thickBot="1">
      <c r="B227" s="310" t="s">
        <v>241</v>
      </c>
      <c r="C227" s="328" t="e">
        <f>(C226-C225)/C225</f>
        <v>#DIV/0!</v>
      </c>
      <c r="D227" s="328" t="e">
        <f t="shared" ref="D227" si="375">(D226-D225)/D225</f>
        <v>#DIV/0!</v>
      </c>
      <c r="E227" s="328" t="e">
        <f t="shared" ref="E227" si="376">(E226-E225)/E225</f>
        <v>#DIV/0!</v>
      </c>
      <c r="F227" s="328" t="e">
        <f t="shared" ref="F227" si="377">(F226-F225)/F225</f>
        <v>#DIV/0!</v>
      </c>
      <c r="G227" s="328" t="e">
        <f t="shared" ref="G227" si="378">(G226-G225)/G225</f>
        <v>#DIV/0!</v>
      </c>
      <c r="H227" s="328" t="e">
        <f t="shared" ref="H227" si="379">(H226-H225)/H225</f>
        <v>#DIV/0!</v>
      </c>
      <c r="I227" s="328" t="e">
        <f t="shared" ref="I227" si="380">(I226-I225)/I225</f>
        <v>#DIV/0!</v>
      </c>
      <c r="J227" s="328" t="e">
        <f t="shared" ref="J227" si="381">(J226-J225)/J225</f>
        <v>#DIV/0!</v>
      </c>
      <c r="K227" s="328" t="e">
        <f t="shared" ref="K227" si="382">(K226-K225)/K225</f>
        <v>#DIV/0!</v>
      </c>
      <c r="L227" s="329" t="e">
        <f t="shared" ref="L227" si="383">(L226-L225)/L225</f>
        <v>#DIV/0!</v>
      </c>
      <c r="M227" s="330" t="e">
        <f t="shared" ref="M227" si="384">(M226-M225)/M225</f>
        <v>#DIV/0!</v>
      </c>
      <c r="N227" s="331" t="e">
        <f>(N226-N225)/N225</f>
        <v>#DIV/0!</v>
      </c>
    </row>
    <row r="228" spans="2:14" ht="12" customHeight="1" thickBot="1"/>
    <row r="229" spans="2:14" ht="12" customHeight="1">
      <c r="B229" s="23" t="s">
        <v>176</v>
      </c>
      <c r="C229" s="346" t="s">
        <v>29</v>
      </c>
      <c r="D229" s="347"/>
      <c r="E229" s="346" t="s">
        <v>30</v>
      </c>
      <c r="F229" s="347"/>
      <c r="G229" s="353" t="s">
        <v>31</v>
      </c>
      <c r="H229" s="347"/>
      <c r="I229" s="353" t="s">
        <v>58</v>
      </c>
      <c r="J229" s="347"/>
      <c r="K229" s="346" t="s">
        <v>57</v>
      </c>
      <c r="L229" s="345"/>
      <c r="M229" s="344" t="s">
        <v>5</v>
      </c>
      <c r="N229" s="345"/>
    </row>
    <row r="230" spans="2:14" ht="12" customHeight="1" thickBot="1">
      <c r="B230" s="314"/>
      <c r="C230" s="315" t="s">
        <v>34</v>
      </c>
      <c r="D230" s="315" t="s">
        <v>35</v>
      </c>
      <c r="E230" s="315" t="s">
        <v>34</v>
      </c>
      <c r="F230" s="315" t="s">
        <v>35</v>
      </c>
      <c r="G230" s="315" t="s">
        <v>34</v>
      </c>
      <c r="H230" s="315" t="s">
        <v>35</v>
      </c>
      <c r="I230" s="315" t="s">
        <v>59</v>
      </c>
      <c r="J230" s="315" t="s">
        <v>60</v>
      </c>
      <c r="K230" s="315" t="s">
        <v>34</v>
      </c>
      <c r="L230" s="322" t="s">
        <v>35</v>
      </c>
      <c r="M230" s="324" t="s">
        <v>34</v>
      </c>
      <c r="N230" s="316" t="s">
        <v>35</v>
      </c>
    </row>
    <row r="231" spans="2:14" ht="12" customHeight="1" thickTop="1">
      <c r="B231" s="311">
        <f>B225</f>
        <v>43617</v>
      </c>
      <c r="C231" s="312">
        <f>'外国語実績201201-201712'!C2143</f>
        <v>0</v>
      </c>
      <c r="D231" s="312">
        <f>'外国語実績201201-201712'!D2143</f>
        <v>0</v>
      </c>
      <c r="E231" s="312">
        <f>'外国語実績201201-201712'!E2143</f>
        <v>0</v>
      </c>
      <c r="F231" s="312">
        <f>'外国語実績201201-201712'!F2143</f>
        <v>0</v>
      </c>
      <c r="G231" s="312">
        <f>'外国語実績201201-201712'!G2143</f>
        <v>0</v>
      </c>
      <c r="H231" s="312">
        <f>'外国語実績201201-201712'!H2143</f>
        <v>0</v>
      </c>
      <c r="I231" s="312">
        <f>'外国語実績201201-201712'!I2143</f>
        <v>0</v>
      </c>
      <c r="J231" s="312">
        <f>'外国語実績201201-201712'!J2143</f>
        <v>0</v>
      </c>
      <c r="K231" s="312">
        <f>'外国語実績201201-201712'!K2143</f>
        <v>0</v>
      </c>
      <c r="L231" s="323">
        <f>'外国語実績201201-201712'!L2143</f>
        <v>0</v>
      </c>
      <c r="M231" s="325">
        <f t="shared" ref="M231:M232" si="385">+C231+E231+G231+I231+K231</f>
        <v>0</v>
      </c>
      <c r="N231" s="313">
        <f>+D231+F231+H231+J231+L231</f>
        <v>0</v>
      </c>
    </row>
    <row r="232" spans="2:14" ht="12" customHeight="1">
      <c r="B232" s="309">
        <f>B226</f>
        <v>43983</v>
      </c>
      <c r="C232" s="304">
        <f>'外国語実績201201-201712'!C2155</f>
        <v>0</v>
      </c>
      <c r="D232" s="304">
        <f>'外国語実績201201-201712'!D2155</f>
        <v>0</v>
      </c>
      <c r="E232" s="304">
        <f>'外国語実績201201-201712'!E2155</f>
        <v>0</v>
      </c>
      <c r="F232" s="304">
        <f>'外国語実績201201-201712'!F2155</f>
        <v>0</v>
      </c>
      <c r="G232" s="304">
        <f>'外国語実績201201-201712'!G2155</f>
        <v>0</v>
      </c>
      <c r="H232" s="304">
        <f>'外国語実績201201-201712'!H2155</f>
        <v>0</v>
      </c>
      <c r="I232" s="304">
        <f>'外国語実績201201-201712'!I2155</f>
        <v>0</v>
      </c>
      <c r="J232" s="304">
        <f>'外国語実績201201-201712'!J2155</f>
        <v>0</v>
      </c>
      <c r="K232" s="304">
        <f>'外国語実績201201-201712'!K2155</f>
        <v>0</v>
      </c>
      <c r="L232" s="306">
        <f>'外国語実績201201-201712'!L2155</f>
        <v>0</v>
      </c>
      <c r="M232" s="326">
        <f t="shared" si="385"/>
        <v>0</v>
      </c>
      <c r="N232" s="305">
        <f>+D232+F232+H232+J232+L232</f>
        <v>0</v>
      </c>
    </row>
    <row r="233" spans="2:14" ht="12" customHeight="1" thickBot="1">
      <c r="B233" s="310" t="s">
        <v>241</v>
      </c>
      <c r="C233" s="328" t="e">
        <f>(C232-C231)/C231</f>
        <v>#DIV/0!</v>
      </c>
      <c r="D233" s="328" t="e">
        <f t="shared" ref="D233" si="386">(D232-D231)/D231</f>
        <v>#DIV/0!</v>
      </c>
      <c r="E233" s="328" t="e">
        <f t="shared" ref="E233" si="387">(E232-E231)/E231</f>
        <v>#DIV/0!</v>
      </c>
      <c r="F233" s="328" t="e">
        <f t="shared" ref="F233" si="388">(F232-F231)/F231</f>
        <v>#DIV/0!</v>
      </c>
      <c r="G233" s="328" t="e">
        <f t="shared" ref="G233" si="389">(G232-G231)/G231</f>
        <v>#DIV/0!</v>
      </c>
      <c r="H233" s="328" t="e">
        <f t="shared" ref="H233" si="390">(H232-H231)/H231</f>
        <v>#DIV/0!</v>
      </c>
      <c r="I233" s="328" t="e">
        <f t="shared" ref="I233" si="391">(I232-I231)/I231</f>
        <v>#DIV/0!</v>
      </c>
      <c r="J233" s="328" t="e">
        <f t="shared" ref="J233" si="392">(J232-J231)/J231</f>
        <v>#DIV/0!</v>
      </c>
      <c r="K233" s="328" t="e">
        <f t="shared" ref="K233" si="393">(K232-K231)/K231</f>
        <v>#DIV/0!</v>
      </c>
      <c r="L233" s="329" t="e">
        <f t="shared" ref="L233" si="394">(L232-L231)/L231</f>
        <v>#DIV/0!</v>
      </c>
      <c r="M233" s="330" t="e">
        <f t="shared" ref="M233" si="395">(M232-M231)/M231</f>
        <v>#DIV/0!</v>
      </c>
      <c r="N233" s="331" t="e">
        <f>(N232-N231)/N231</f>
        <v>#DIV/0!</v>
      </c>
    </row>
    <row r="234" spans="2:14" ht="12" customHeight="1" thickBot="1"/>
    <row r="235" spans="2:14" ht="12" customHeight="1">
      <c r="B235" s="23" t="s">
        <v>182</v>
      </c>
      <c r="C235" s="346" t="s">
        <v>29</v>
      </c>
      <c r="D235" s="347"/>
      <c r="E235" s="346" t="s">
        <v>30</v>
      </c>
      <c r="F235" s="347"/>
      <c r="G235" s="353" t="s">
        <v>31</v>
      </c>
      <c r="H235" s="347"/>
      <c r="I235" s="353" t="s">
        <v>58</v>
      </c>
      <c r="J235" s="347"/>
      <c r="K235" s="346" t="s">
        <v>57</v>
      </c>
      <c r="L235" s="345"/>
      <c r="M235" s="344" t="s">
        <v>5</v>
      </c>
      <c r="N235" s="345"/>
    </row>
    <row r="236" spans="2:14" ht="12" customHeight="1" thickBot="1">
      <c r="B236" s="314"/>
      <c r="C236" s="315" t="s">
        <v>34</v>
      </c>
      <c r="D236" s="315" t="s">
        <v>35</v>
      </c>
      <c r="E236" s="315" t="s">
        <v>34</v>
      </c>
      <c r="F236" s="315" t="s">
        <v>35</v>
      </c>
      <c r="G236" s="315" t="s">
        <v>34</v>
      </c>
      <c r="H236" s="315" t="s">
        <v>35</v>
      </c>
      <c r="I236" s="315" t="s">
        <v>59</v>
      </c>
      <c r="J236" s="315" t="s">
        <v>60</v>
      </c>
      <c r="K236" s="315" t="s">
        <v>34</v>
      </c>
      <c r="L236" s="322" t="s">
        <v>35</v>
      </c>
      <c r="M236" s="324" t="s">
        <v>34</v>
      </c>
      <c r="N236" s="316" t="s">
        <v>35</v>
      </c>
    </row>
    <row r="237" spans="2:14" ht="12" customHeight="1" thickTop="1">
      <c r="B237" s="311">
        <f>B231</f>
        <v>43617</v>
      </c>
      <c r="C237" s="312">
        <f>'外国語実績201201-201712'!C2196</f>
        <v>0</v>
      </c>
      <c r="D237" s="312">
        <f>'外国語実績201201-201712'!D2196</f>
        <v>0</v>
      </c>
      <c r="E237" s="312">
        <f>'外国語実績201201-201712'!E2196</f>
        <v>1</v>
      </c>
      <c r="F237" s="312">
        <f>'外国語実績201201-201712'!F2196</f>
        <v>1</v>
      </c>
      <c r="G237" s="312">
        <f>'外国語実績201201-201712'!G2196</f>
        <v>0</v>
      </c>
      <c r="H237" s="312">
        <f>'外国語実績201201-201712'!H2196</f>
        <v>0</v>
      </c>
      <c r="I237" s="312">
        <f>'外国語実績201201-201712'!I2196</f>
        <v>2</v>
      </c>
      <c r="J237" s="312">
        <f>'外国語実績201201-201712'!J2196</f>
        <v>0</v>
      </c>
      <c r="K237" s="312">
        <f>'外国語実績201201-201712'!K2196</f>
        <v>0</v>
      </c>
      <c r="L237" s="312">
        <f>'外国語実績201201-201712'!L2196</f>
        <v>0</v>
      </c>
      <c r="M237" s="325">
        <f t="shared" ref="M237:M238" si="396">+C237+E237+G237+I237+K237</f>
        <v>3</v>
      </c>
      <c r="N237" s="313">
        <f>+D237+F237+H237+J237+L237</f>
        <v>1</v>
      </c>
    </row>
    <row r="238" spans="2:14" ht="12" customHeight="1">
      <c r="B238" s="309">
        <f>B232</f>
        <v>43983</v>
      </c>
      <c r="C238" s="304">
        <f>'外国語実績201201-201712'!C2208</f>
        <v>0</v>
      </c>
      <c r="D238" s="304">
        <f>'外国語実績201201-201712'!D2208</f>
        <v>0</v>
      </c>
      <c r="E238" s="304">
        <f>'外国語実績201201-201712'!E2208</f>
        <v>0</v>
      </c>
      <c r="F238" s="304">
        <f>'外国語実績201201-201712'!F2208</f>
        <v>0</v>
      </c>
      <c r="G238" s="304">
        <f>'外国語実績201201-201712'!G2208</f>
        <v>0</v>
      </c>
      <c r="H238" s="304">
        <f>'外国語実績201201-201712'!H2208</f>
        <v>0</v>
      </c>
      <c r="I238" s="304">
        <f>'外国語実績201201-201712'!I2208</f>
        <v>0</v>
      </c>
      <c r="J238" s="304">
        <f>'外国語実績201201-201712'!J2208</f>
        <v>0</v>
      </c>
      <c r="K238" s="304">
        <f>'外国語実績201201-201712'!K2208</f>
        <v>0</v>
      </c>
      <c r="L238" s="304">
        <f>'外国語実績201201-201712'!L2208</f>
        <v>0</v>
      </c>
      <c r="M238" s="326">
        <f t="shared" si="396"/>
        <v>0</v>
      </c>
      <c r="N238" s="305">
        <f>+D238+F238+H238+J238+L238</f>
        <v>0</v>
      </c>
    </row>
    <row r="239" spans="2:14" ht="12" customHeight="1" thickBot="1">
      <c r="B239" s="310" t="s">
        <v>241</v>
      </c>
      <c r="C239" s="328" t="e">
        <f>(C238-C237)/C237</f>
        <v>#DIV/0!</v>
      </c>
      <c r="D239" s="328" t="e">
        <f t="shared" ref="D239" si="397">(D238-D237)/D237</f>
        <v>#DIV/0!</v>
      </c>
      <c r="E239" s="328">
        <f t="shared" ref="E239" si="398">(E238-E237)/E237</f>
        <v>-1</v>
      </c>
      <c r="F239" s="328">
        <f t="shared" ref="F239" si="399">(F238-F237)/F237</f>
        <v>-1</v>
      </c>
      <c r="G239" s="328" t="e">
        <f t="shared" ref="G239" si="400">(G238-G237)/G237</f>
        <v>#DIV/0!</v>
      </c>
      <c r="H239" s="328" t="e">
        <f t="shared" ref="H239" si="401">(H238-H237)/H237</f>
        <v>#DIV/0!</v>
      </c>
      <c r="I239" s="328">
        <f t="shared" ref="I239" si="402">(I238-I237)/I237</f>
        <v>-1</v>
      </c>
      <c r="J239" s="328" t="e">
        <f t="shared" ref="J239" si="403">(J238-J237)/J237</f>
        <v>#DIV/0!</v>
      </c>
      <c r="K239" s="328" t="e">
        <f t="shared" ref="K239" si="404">(K238-K237)/K237</f>
        <v>#DIV/0!</v>
      </c>
      <c r="L239" s="329" t="e">
        <f t="shared" ref="L239" si="405">(L238-L237)/L237</f>
        <v>#DIV/0!</v>
      </c>
      <c r="M239" s="330">
        <f t="shared" ref="M239" si="406">(M238-M237)/M237</f>
        <v>-1</v>
      </c>
      <c r="N239" s="331">
        <f>(N238-N237)/N237</f>
        <v>-1</v>
      </c>
    </row>
    <row r="240" spans="2:14" ht="12" customHeight="1" thickBot="1"/>
    <row r="241" spans="2:14" ht="12" customHeight="1">
      <c r="B241" s="23" t="s">
        <v>194</v>
      </c>
      <c r="C241" s="346" t="s">
        <v>29</v>
      </c>
      <c r="D241" s="347"/>
      <c r="E241" s="346" t="s">
        <v>30</v>
      </c>
      <c r="F241" s="347"/>
      <c r="G241" s="353" t="s">
        <v>31</v>
      </c>
      <c r="H241" s="347"/>
      <c r="I241" s="353" t="s">
        <v>58</v>
      </c>
      <c r="J241" s="347"/>
      <c r="K241" s="346" t="s">
        <v>57</v>
      </c>
      <c r="L241" s="345"/>
      <c r="M241" s="344" t="s">
        <v>5</v>
      </c>
      <c r="N241" s="345"/>
    </row>
    <row r="242" spans="2:14" ht="12" customHeight="1" thickBot="1">
      <c r="B242" s="314"/>
      <c r="C242" s="315" t="s">
        <v>34</v>
      </c>
      <c r="D242" s="315" t="s">
        <v>35</v>
      </c>
      <c r="E242" s="315" t="s">
        <v>34</v>
      </c>
      <c r="F242" s="315" t="s">
        <v>35</v>
      </c>
      <c r="G242" s="315" t="s">
        <v>34</v>
      </c>
      <c r="H242" s="315" t="s">
        <v>35</v>
      </c>
      <c r="I242" s="315" t="s">
        <v>59</v>
      </c>
      <c r="J242" s="315" t="s">
        <v>60</v>
      </c>
      <c r="K242" s="315" t="s">
        <v>34</v>
      </c>
      <c r="L242" s="322" t="s">
        <v>35</v>
      </c>
      <c r="M242" s="324" t="s">
        <v>34</v>
      </c>
      <c r="N242" s="316" t="s">
        <v>35</v>
      </c>
    </row>
    <row r="243" spans="2:14" ht="12" customHeight="1" thickTop="1">
      <c r="B243" s="311">
        <f>B237</f>
        <v>43617</v>
      </c>
      <c r="C243" s="312">
        <f>'外国語実績201201-201712'!C2238</f>
        <v>0</v>
      </c>
      <c r="D243" s="312">
        <f>'外国語実績201201-201712'!D2238</f>
        <v>0</v>
      </c>
      <c r="E243" s="312">
        <f>'外国語実績201201-201712'!E2238</f>
        <v>0</v>
      </c>
      <c r="F243" s="312">
        <f>'外国語実績201201-201712'!F2238</f>
        <v>0</v>
      </c>
      <c r="G243" s="312">
        <f>'外国語実績201201-201712'!G2238</f>
        <v>0</v>
      </c>
      <c r="H243" s="312">
        <f>'外国語実績201201-201712'!H2238</f>
        <v>0</v>
      </c>
      <c r="I243" s="312">
        <f>'外国語実績201201-201712'!I2238</f>
        <v>0</v>
      </c>
      <c r="J243" s="312">
        <f>'外国語実績201201-201712'!J2238</f>
        <v>0</v>
      </c>
      <c r="K243" s="312">
        <f>'外国語実績201201-201712'!K2238</f>
        <v>0</v>
      </c>
      <c r="L243" s="312">
        <f>'外国語実績201201-201712'!L2238</f>
        <v>0</v>
      </c>
      <c r="M243" s="325">
        <f t="shared" ref="M243:M244" si="407">+C243+E243+G243+I243+K243</f>
        <v>0</v>
      </c>
      <c r="N243" s="313">
        <f>+D243+F243+H243+J243+L243</f>
        <v>0</v>
      </c>
    </row>
    <row r="244" spans="2:14" ht="12" customHeight="1">
      <c r="B244" s="309">
        <f>B238</f>
        <v>43983</v>
      </c>
      <c r="C244" s="304">
        <f>'外国語実績201201-201712'!C2250</f>
        <v>0</v>
      </c>
      <c r="D244" s="304">
        <f>'外国語実績201201-201712'!D2250</f>
        <v>0</v>
      </c>
      <c r="E244" s="304">
        <f>'外国語実績201201-201712'!E2250</f>
        <v>0</v>
      </c>
      <c r="F244" s="304">
        <f>'外国語実績201201-201712'!F2250</f>
        <v>0</v>
      </c>
      <c r="G244" s="304">
        <f>'外国語実績201201-201712'!G2250</f>
        <v>0</v>
      </c>
      <c r="H244" s="304">
        <f>'外国語実績201201-201712'!H2250</f>
        <v>0</v>
      </c>
      <c r="I244" s="304">
        <f>'外国語実績201201-201712'!I2250</f>
        <v>0</v>
      </c>
      <c r="J244" s="304">
        <f>'外国語実績201201-201712'!J2250</f>
        <v>0</v>
      </c>
      <c r="K244" s="304">
        <f>'外国語実績201201-201712'!K2250</f>
        <v>0</v>
      </c>
      <c r="L244" s="304">
        <f>'外国語実績201201-201712'!L2250</f>
        <v>0</v>
      </c>
      <c r="M244" s="326">
        <f t="shared" si="407"/>
        <v>0</v>
      </c>
      <c r="N244" s="305">
        <f>+D244+F244+H244+J244+L244</f>
        <v>0</v>
      </c>
    </row>
    <row r="245" spans="2:14" ht="12" customHeight="1" thickBot="1">
      <c r="B245" s="310" t="s">
        <v>241</v>
      </c>
      <c r="C245" s="328" t="e">
        <f>(C244-C243)/C243</f>
        <v>#DIV/0!</v>
      </c>
      <c r="D245" s="328" t="e">
        <f t="shared" ref="D245" si="408">(D244-D243)/D243</f>
        <v>#DIV/0!</v>
      </c>
      <c r="E245" s="328" t="e">
        <f t="shared" ref="E245" si="409">(E244-E243)/E243</f>
        <v>#DIV/0!</v>
      </c>
      <c r="F245" s="328" t="e">
        <f t="shared" ref="F245" si="410">(F244-F243)/F243</f>
        <v>#DIV/0!</v>
      </c>
      <c r="G245" s="328" t="e">
        <f t="shared" ref="G245" si="411">(G244-G243)/G243</f>
        <v>#DIV/0!</v>
      </c>
      <c r="H245" s="328" t="e">
        <f t="shared" ref="H245" si="412">(H244-H243)/H243</f>
        <v>#DIV/0!</v>
      </c>
      <c r="I245" s="328" t="e">
        <f t="shared" ref="I245" si="413">(I244-I243)/I243</f>
        <v>#DIV/0!</v>
      </c>
      <c r="J245" s="328" t="e">
        <f t="shared" ref="J245" si="414">(J244-J243)/J243</f>
        <v>#DIV/0!</v>
      </c>
      <c r="K245" s="328" t="e">
        <f t="shared" ref="K245" si="415">(K244-K243)/K243</f>
        <v>#DIV/0!</v>
      </c>
      <c r="L245" s="329" t="e">
        <f t="shared" ref="L245" si="416">(L244-L243)/L243</f>
        <v>#DIV/0!</v>
      </c>
      <c r="M245" s="330" t="e">
        <f t="shared" ref="M245" si="417">(M244-M243)/M243</f>
        <v>#DIV/0!</v>
      </c>
      <c r="N245" s="331" t="e">
        <f>(N244-N243)/N243</f>
        <v>#DIV/0!</v>
      </c>
    </row>
    <row r="246" spans="2:14" ht="12" customHeight="1" thickBot="1"/>
    <row r="247" spans="2:14" ht="12" customHeight="1">
      <c r="B247" s="23" t="s">
        <v>193</v>
      </c>
      <c r="C247" s="346" t="s">
        <v>29</v>
      </c>
      <c r="D247" s="347"/>
      <c r="E247" s="346" t="s">
        <v>30</v>
      </c>
      <c r="F247" s="347"/>
      <c r="G247" s="353" t="s">
        <v>31</v>
      </c>
      <c r="H247" s="347"/>
      <c r="I247" s="353" t="s">
        <v>58</v>
      </c>
      <c r="J247" s="347"/>
      <c r="K247" s="346" t="s">
        <v>57</v>
      </c>
      <c r="L247" s="345"/>
      <c r="M247" s="344" t="s">
        <v>5</v>
      </c>
      <c r="N247" s="345"/>
    </row>
    <row r="248" spans="2:14" ht="12" customHeight="1" thickBot="1">
      <c r="B248" s="314"/>
      <c r="C248" s="315" t="s">
        <v>34</v>
      </c>
      <c r="D248" s="315" t="s">
        <v>35</v>
      </c>
      <c r="E248" s="315" t="s">
        <v>34</v>
      </c>
      <c r="F248" s="315" t="s">
        <v>35</v>
      </c>
      <c r="G248" s="315" t="s">
        <v>34</v>
      </c>
      <c r="H248" s="315" t="s">
        <v>35</v>
      </c>
      <c r="I248" s="315" t="s">
        <v>59</v>
      </c>
      <c r="J248" s="315" t="s">
        <v>60</v>
      </c>
      <c r="K248" s="315" t="s">
        <v>34</v>
      </c>
      <c r="L248" s="322" t="s">
        <v>35</v>
      </c>
      <c r="M248" s="324" t="s">
        <v>34</v>
      </c>
      <c r="N248" s="316" t="s">
        <v>35</v>
      </c>
    </row>
    <row r="249" spans="2:14" ht="12" customHeight="1" thickTop="1">
      <c r="B249" s="311">
        <f>B243</f>
        <v>43617</v>
      </c>
      <c r="C249" s="312">
        <f>'外国語実績201201-201712'!C2267</f>
        <v>6</v>
      </c>
      <c r="D249" s="312">
        <f>'外国語実績201201-201712'!D2267</f>
        <v>7</v>
      </c>
      <c r="E249" s="312">
        <f>'外国語実績201201-201712'!E2267</f>
        <v>0</v>
      </c>
      <c r="F249" s="312">
        <f>'外国語実績201201-201712'!F2267</f>
        <v>0</v>
      </c>
      <c r="G249" s="312">
        <f>'外国語実績201201-201712'!G2267</f>
        <v>2</v>
      </c>
      <c r="H249" s="312">
        <f>'外国語実績201201-201712'!H2267</f>
        <v>2</v>
      </c>
      <c r="I249" s="312">
        <f>'外国語実績201201-201712'!I2267</f>
        <v>1</v>
      </c>
      <c r="J249" s="312">
        <f>'外国語実績201201-201712'!J2267</f>
        <v>0</v>
      </c>
      <c r="K249" s="312">
        <f>'外国語実績201201-201712'!K2267</f>
        <v>0</v>
      </c>
      <c r="L249" s="312">
        <f>'外国語実績201201-201712'!L2267</f>
        <v>0</v>
      </c>
      <c r="M249" s="325">
        <f t="shared" ref="M249:M250" si="418">+C249+E249+G249+I249+K249</f>
        <v>9</v>
      </c>
      <c r="N249" s="313">
        <f>+D249+F249+H249+J249+L249</f>
        <v>9</v>
      </c>
    </row>
    <row r="250" spans="2:14" ht="12" customHeight="1">
      <c r="B250" s="309">
        <f>B244</f>
        <v>43983</v>
      </c>
      <c r="C250" s="304">
        <f>'外国語実績201201-201712'!C2279</f>
        <v>0</v>
      </c>
      <c r="D250" s="304">
        <f>'外国語実績201201-201712'!D2279</f>
        <v>0</v>
      </c>
      <c r="E250" s="304">
        <f>'外国語実績201201-201712'!E2279</f>
        <v>0</v>
      </c>
      <c r="F250" s="304">
        <f>'外国語実績201201-201712'!F2279</f>
        <v>0</v>
      </c>
      <c r="G250" s="304">
        <f>'外国語実績201201-201712'!G2279</f>
        <v>0</v>
      </c>
      <c r="H250" s="304">
        <f>'外国語実績201201-201712'!H2279</f>
        <v>0</v>
      </c>
      <c r="I250" s="304">
        <f>'外国語実績201201-201712'!I2279</f>
        <v>0</v>
      </c>
      <c r="J250" s="304">
        <f>'外国語実績201201-201712'!J2279</f>
        <v>0</v>
      </c>
      <c r="K250" s="304">
        <f>'外国語実績201201-201712'!K2279</f>
        <v>0</v>
      </c>
      <c r="L250" s="304">
        <f>'外国語実績201201-201712'!L2279</f>
        <v>0</v>
      </c>
      <c r="M250" s="326">
        <f t="shared" si="418"/>
        <v>0</v>
      </c>
      <c r="N250" s="305">
        <f>+D250+F250+H250+J250+L250</f>
        <v>0</v>
      </c>
    </row>
    <row r="251" spans="2:14" ht="12" customHeight="1" thickBot="1">
      <c r="B251" s="310" t="s">
        <v>241</v>
      </c>
      <c r="C251" s="328">
        <f>(C250-C249)/C249</f>
        <v>-1</v>
      </c>
      <c r="D251" s="328">
        <f t="shared" ref="D251" si="419">(D250-D249)/D249</f>
        <v>-1</v>
      </c>
      <c r="E251" s="328" t="e">
        <f t="shared" ref="E251" si="420">(E250-E249)/E249</f>
        <v>#DIV/0!</v>
      </c>
      <c r="F251" s="328" t="e">
        <f t="shared" ref="F251" si="421">(F250-F249)/F249</f>
        <v>#DIV/0!</v>
      </c>
      <c r="G251" s="328">
        <f t="shared" ref="G251" si="422">(G250-G249)/G249</f>
        <v>-1</v>
      </c>
      <c r="H251" s="328">
        <f t="shared" ref="H251" si="423">(H250-H249)/H249</f>
        <v>-1</v>
      </c>
      <c r="I251" s="328">
        <f t="shared" ref="I251" si="424">(I250-I249)/I249</f>
        <v>-1</v>
      </c>
      <c r="J251" s="328" t="e">
        <f t="shared" ref="J251" si="425">(J250-J249)/J249</f>
        <v>#DIV/0!</v>
      </c>
      <c r="K251" s="328" t="e">
        <f t="shared" ref="K251" si="426">(K250-K249)/K249</f>
        <v>#DIV/0!</v>
      </c>
      <c r="L251" s="329" t="e">
        <f t="shared" ref="L251" si="427">(L250-L249)/L249</f>
        <v>#DIV/0!</v>
      </c>
      <c r="M251" s="330">
        <f t="shared" ref="M251" si="428">(M250-M249)/M249</f>
        <v>-1</v>
      </c>
      <c r="N251" s="331">
        <f>(N250-N249)/N249</f>
        <v>-1</v>
      </c>
    </row>
    <row r="252" spans="2:14" ht="12" customHeight="1" thickBot="1"/>
    <row r="253" spans="2:14" ht="12" customHeight="1">
      <c r="B253" s="23" t="s">
        <v>201</v>
      </c>
      <c r="C253" s="346" t="s">
        <v>29</v>
      </c>
      <c r="D253" s="347"/>
      <c r="E253" s="346" t="s">
        <v>30</v>
      </c>
      <c r="F253" s="347"/>
      <c r="G253" s="353" t="s">
        <v>31</v>
      </c>
      <c r="H253" s="347"/>
      <c r="I253" s="353" t="s">
        <v>58</v>
      </c>
      <c r="J253" s="347"/>
      <c r="K253" s="346" t="s">
        <v>57</v>
      </c>
      <c r="L253" s="345"/>
      <c r="M253" s="344" t="s">
        <v>5</v>
      </c>
      <c r="N253" s="345"/>
    </row>
    <row r="254" spans="2:14" ht="12" customHeight="1" thickBot="1">
      <c r="B254" s="314"/>
      <c r="C254" s="315" t="s">
        <v>34</v>
      </c>
      <c r="D254" s="315" t="s">
        <v>35</v>
      </c>
      <c r="E254" s="315" t="s">
        <v>34</v>
      </c>
      <c r="F254" s="315" t="s">
        <v>35</v>
      </c>
      <c r="G254" s="315" t="s">
        <v>34</v>
      </c>
      <c r="H254" s="315" t="s">
        <v>35</v>
      </c>
      <c r="I254" s="315" t="s">
        <v>59</v>
      </c>
      <c r="J254" s="315" t="s">
        <v>60</v>
      </c>
      <c r="K254" s="315" t="s">
        <v>34</v>
      </c>
      <c r="L254" s="322" t="s">
        <v>35</v>
      </c>
      <c r="M254" s="324" t="s">
        <v>34</v>
      </c>
      <c r="N254" s="316" t="s">
        <v>35</v>
      </c>
    </row>
    <row r="255" spans="2:14" ht="12" customHeight="1" thickTop="1">
      <c r="B255" s="311">
        <f>B249</f>
        <v>43617</v>
      </c>
      <c r="C255" s="312">
        <f>'外国語実績201201-201712'!C2295</f>
        <v>0</v>
      </c>
      <c r="D255" s="312">
        <f>'外国語実績201201-201712'!D2295</f>
        <v>4</v>
      </c>
      <c r="E255" s="312">
        <f>'外国語実績201201-201712'!E2295</f>
        <v>0</v>
      </c>
      <c r="F255" s="312">
        <f>'外国語実績201201-201712'!F2295</f>
        <v>0</v>
      </c>
      <c r="G255" s="312">
        <f>'外国語実績201201-201712'!G2295</f>
        <v>0</v>
      </c>
      <c r="H255" s="312">
        <f>'外国語実績201201-201712'!H2295</f>
        <v>0</v>
      </c>
      <c r="I255" s="312">
        <f>'外国語実績201201-201712'!I2295</f>
        <v>1</v>
      </c>
      <c r="J255" s="312">
        <f>'外国語実績201201-201712'!J2295</f>
        <v>0</v>
      </c>
      <c r="K255" s="312">
        <f>'外国語実績201201-201712'!K2295</f>
        <v>0</v>
      </c>
      <c r="L255" s="312">
        <f>'外国語実績201201-201712'!L2295</f>
        <v>0</v>
      </c>
      <c r="M255" s="325">
        <f t="shared" ref="M255:M256" si="429">+C255+E255+G255+I255+K255</f>
        <v>1</v>
      </c>
      <c r="N255" s="313">
        <f>+D255+F255+H255+J255+L255</f>
        <v>4</v>
      </c>
    </row>
    <row r="256" spans="2:14" ht="12" customHeight="1">
      <c r="B256" s="309">
        <f>B250</f>
        <v>43983</v>
      </c>
      <c r="C256" s="304">
        <f>'外国語実績201201-201712'!C2307</f>
        <v>0</v>
      </c>
      <c r="D256" s="304">
        <f>'外国語実績201201-201712'!D2307</f>
        <v>0</v>
      </c>
      <c r="E256" s="304">
        <f>'外国語実績201201-201712'!E2307</f>
        <v>1</v>
      </c>
      <c r="F256" s="304">
        <f>'外国語実績201201-201712'!F2307</f>
        <v>1</v>
      </c>
      <c r="G256" s="304">
        <f>'外国語実績201201-201712'!G2307</f>
        <v>0</v>
      </c>
      <c r="H256" s="304">
        <f>'外国語実績201201-201712'!H2307</f>
        <v>0</v>
      </c>
      <c r="I256" s="304">
        <f>'外国語実績201201-201712'!I2307</f>
        <v>0</v>
      </c>
      <c r="J256" s="304">
        <f>'外国語実績201201-201712'!J2307</f>
        <v>0</v>
      </c>
      <c r="K256" s="304">
        <f>'外国語実績201201-201712'!K2307</f>
        <v>0</v>
      </c>
      <c r="L256" s="304">
        <f>'外国語実績201201-201712'!L2307</f>
        <v>0</v>
      </c>
      <c r="M256" s="326">
        <f t="shared" si="429"/>
        <v>1</v>
      </c>
      <c r="N256" s="305">
        <f>+D256+F256+H256+J256+L256</f>
        <v>1</v>
      </c>
    </row>
    <row r="257" spans="2:14" ht="12" customHeight="1" thickBot="1">
      <c r="B257" s="310" t="s">
        <v>241</v>
      </c>
      <c r="C257" s="328" t="e">
        <f>(C256-C255)/C255</f>
        <v>#DIV/0!</v>
      </c>
      <c r="D257" s="328">
        <f t="shared" ref="D257" si="430">(D256-D255)/D255</f>
        <v>-1</v>
      </c>
      <c r="E257" s="328" t="e">
        <f t="shared" ref="E257" si="431">(E256-E255)/E255</f>
        <v>#DIV/0!</v>
      </c>
      <c r="F257" s="328" t="e">
        <f t="shared" ref="F257" si="432">(F256-F255)/F255</f>
        <v>#DIV/0!</v>
      </c>
      <c r="G257" s="328" t="e">
        <f t="shared" ref="G257" si="433">(G256-G255)/G255</f>
        <v>#DIV/0!</v>
      </c>
      <c r="H257" s="328" t="e">
        <f t="shared" ref="H257" si="434">(H256-H255)/H255</f>
        <v>#DIV/0!</v>
      </c>
      <c r="I257" s="328">
        <f t="shared" ref="I257" si="435">(I256-I255)/I255</f>
        <v>-1</v>
      </c>
      <c r="J257" s="328" t="e">
        <f t="shared" ref="J257" si="436">(J256-J255)/J255</f>
        <v>#DIV/0!</v>
      </c>
      <c r="K257" s="328" t="e">
        <f t="shared" ref="K257" si="437">(K256-K255)/K255</f>
        <v>#DIV/0!</v>
      </c>
      <c r="L257" s="329" t="e">
        <f t="shared" ref="L257" si="438">(L256-L255)/L255</f>
        <v>#DIV/0!</v>
      </c>
      <c r="M257" s="330">
        <f t="shared" ref="M257" si="439">(M256-M255)/M255</f>
        <v>0</v>
      </c>
      <c r="N257" s="331">
        <f>(N256-N255)/N255</f>
        <v>-0.75</v>
      </c>
    </row>
    <row r="258" spans="2:14" ht="12" customHeight="1" thickBot="1"/>
    <row r="259" spans="2:14" ht="12" customHeight="1">
      <c r="B259" s="23" t="s">
        <v>200</v>
      </c>
      <c r="C259" s="346" t="s">
        <v>29</v>
      </c>
      <c r="D259" s="347"/>
      <c r="E259" s="346" t="s">
        <v>30</v>
      </c>
      <c r="F259" s="347"/>
      <c r="G259" s="353" t="s">
        <v>31</v>
      </c>
      <c r="H259" s="347"/>
      <c r="I259" s="353" t="s">
        <v>58</v>
      </c>
      <c r="J259" s="347"/>
      <c r="K259" s="346" t="s">
        <v>57</v>
      </c>
      <c r="L259" s="345"/>
      <c r="M259" s="344" t="s">
        <v>5</v>
      </c>
      <c r="N259" s="345"/>
    </row>
    <row r="260" spans="2:14" ht="12" customHeight="1" thickBot="1">
      <c r="B260" s="314"/>
      <c r="C260" s="315" t="s">
        <v>34</v>
      </c>
      <c r="D260" s="315" t="s">
        <v>35</v>
      </c>
      <c r="E260" s="315" t="s">
        <v>34</v>
      </c>
      <c r="F260" s="315" t="s">
        <v>35</v>
      </c>
      <c r="G260" s="315" t="s">
        <v>34</v>
      </c>
      <c r="H260" s="315" t="s">
        <v>35</v>
      </c>
      <c r="I260" s="315" t="s">
        <v>59</v>
      </c>
      <c r="J260" s="315" t="s">
        <v>60</v>
      </c>
      <c r="K260" s="315" t="s">
        <v>34</v>
      </c>
      <c r="L260" s="322" t="s">
        <v>35</v>
      </c>
      <c r="M260" s="324" t="s">
        <v>34</v>
      </c>
      <c r="N260" s="316" t="s">
        <v>35</v>
      </c>
    </row>
    <row r="261" spans="2:14" ht="12" customHeight="1" thickTop="1">
      <c r="B261" s="311">
        <f>B255</f>
        <v>43617</v>
      </c>
      <c r="C261" s="312">
        <f>'外国語実績201201-201712'!C2330</f>
        <v>2</v>
      </c>
      <c r="D261" s="312">
        <f>'外国語実績201201-201712'!D2330</f>
        <v>3</v>
      </c>
      <c r="E261" s="312">
        <f>'外国語実績201201-201712'!E2330</f>
        <v>0</v>
      </c>
      <c r="F261" s="312">
        <f>'外国語実績201201-201712'!F2330</f>
        <v>0</v>
      </c>
      <c r="G261" s="312">
        <f>'外国語実績201201-201712'!G2330</f>
        <v>0</v>
      </c>
      <c r="H261" s="312">
        <f>'外国語実績201201-201712'!H2330</f>
        <v>0</v>
      </c>
      <c r="I261" s="312">
        <f>'外国語実績201201-201712'!I2330</f>
        <v>0</v>
      </c>
      <c r="J261" s="312">
        <f>'外国語実績201201-201712'!J2330</f>
        <v>0</v>
      </c>
      <c r="K261" s="312">
        <f>'外国語実績201201-201712'!K2330</f>
        <v>0</v>
      </c>
      <c r="L261" s="312">
        <f>'外国語実績201201-201712'!L2330</f>
        <v>0</v>
      </c>
      <c r="M261" s="325">
        <f t="shared" ref="M261:M262" si="440">+C261+E261+G261+I261+K261</f>
        <v>2</v>
      </c>
      <c r="N261" s="313">
        <f>+D261+F261+H261+J261+L261</f>
        <v>3</v>
      </c>
    </row>
    <row r="262" spans="2:14" ht="12" customHeight="1">
      <c r="B262" s="309">
        <f>B256</f>
        <v>43983</v>
      </c>
      <c r="C262" s="304">
        <f>'外国語実績201201-201712'!C2342</f>
        <v>0</v>
      </c>
      <c r="D262" s="304">
        <f>'外国語実績201201-201712'!D2342</f>
        <v>0</v>
      </c>
      <c r="E262" s="304">
        <f>'外国語実績201201-201712'!E2342</f>
        <v>0</v>
      </c>
      <c r="F262" s="304">
        <f>'外国語実績201201-201712'!F2342</f>
        <v>0</v>
      </c>
      <c r="G262" s="304">
        <f>'外国語実績201201-201712'!G2342</f>
        <v>0</v>
      </c>
      <c r="H262" s="304">
        <f>'外国語実績201201-201712'!H2342</f>
        <v>0</v>
      </c>
      <c r="I262" s="304">
        <f>'外国語実績201201-201712'!I2342</f>
        <v>0</v>
      </c>
      <c r="J262" s="304">
        <f>'外国語実績201201-201712'!J2342</f>
        <v>0</v>
      </c>
      <c r="K262" s="304">
        <f>'外国語実績201201-201712'!K2342</f>
        <v>0</v>
      </c>
      <c r="L262" s="304">
        <f>'外国語実績201201-201712'!L2342</f>
        <v>0</v>
      </c>
      <c r="M262" s="326">
        <f t="shared" si="440"/>
        <v>0</v>
      </c>
      <c r="N262" s="305">
        <f>+D262+F262+H262+J262+L262</f>
        <v>0</v>
      </c>
    </row>
    <row r="263" spans="2:14" ht="12" customHeight="1" thickBot="1">
      <c r="B263" s="310" t="s">
        <v>241</v>
      </c>
      <c r="C263" s="328">
        <f>(C262-C261)/C261</f>
        <v>-1</v>
      </c>
      <c r="D263" s="328">
        <f t="shared" ref="D263" si="441">(D262-D261)/D261</f>
        <v>-1</v>
      </c>
      <c r="E263" s="328" t="e">
        <f t="shared" ref="E263" si="442">(E262-E261)/E261</f>
        <v>#DIV/0!</v>
      </c>
      <c r="F263" s="328" t="e">
        <f t="shared" ref="F263" si="443">(F262-F261)/F261</f>
        <v>#DIV/0!</v>
      </c>
      <c r="G263" s="328" t="e">
        <f t="shared" ref="G263" si="444">(G262-G261)/G261</f>
        <v>#DIV/0!</v>
      </c>
      <c r="H263" s="328" t="e">
        <f t="shared" ref="H263" si="445">(H262-H261)/H261</f>
        <v>#DIV/0!</v>
      </c>
      <c r="I263" s="328" t="e">
        <f t="shared" ref="I263" si="446">(I262-I261)/I261</f>
        <v>#DIV/0!</v>
      </c>
      <c r="J263" s="328" t="e">
        <f t="shared" ref="J263" si="447">(J262-J261)/J261</f>
        <v>#DIV/0!</v>
      </c>
      <c r="K263" s="328" t="e">
        <f t="shared" ref="K263" si="448">(K262-K261)/K261</f>
        <v>#DIV/0!</v>
      </c>
      <c r="L263" s="329" t="e">
        <f t="shared" ref="L263" si="449">(L262-L261)/L261</f>
        <v>#DIV/0!</v>
      </c>
      <c r="M263" s="330">
        <f t="shared" ref="M263" si="450">(M262-M261)/M261</f>
        <v>-1</v>
      </c>
      <c r="N263" s="331">
        <f>(N262-N261)/N261</f>
        <v>-1</v>
      </c>
    </row>
    <row r="264" spans="2:14" ht="12" customHeight="1" thickBot="1"/>
    <row r="265" spans="2:14" ht="12" customHeight="1">
      <c r="B265" s="23" t="s">
        <v>206</v>
      </c>
      <c r="C265" s="346" t="s">
        <v>29</v>
      </c>
      <c r="D265" s="347"/>
      <c r="E265" s="346" t="s">
        <v>30</v>
      </c>
      <c r="F265" s="347"/>
      <c r="G265" s="353" t="s">
        <v>31</v>
      </c>
      <c r="H265" s="347"/>
      <c r="I265" s="353" t="s">
        <v>58</v>
      </c>
      <c r="J265" s="347"/>
      <c r="K265" s="346" t="s">
        <v>57</v>
      </c>
      <c r="L265" s="345"/>
      <c r="M265" s="344" t="s">
        <v>5</v>
      </c>
      <c r="N265" s="345"/>
    </row>
    <row r="266" spans="2:14" ht="12" customHeight="1" thickBot="1">
      <c r="B266" s="314"/>
      <c r="C266" s="315" t="s">
        <v>34</v>
      </c>
      <c r="D266" s="315" t="s">
        <v>35</v>
      </c>
      <c r="E266" s="315" t="s">
        <v>34</v>
      </c>
      <c r="F266" s="315" t="s">
        <v>35</v>
      </c>
      <c r="G266" s="315" t="s">
        <v>34</v>
      </c>
      <c r="H266" s="315" t="s">
        <v>35</v>
      </c>
      <c r="I266" s="315" t="s">
        <v>59</v>
      </c>
      <c r="J266" s="315" t="s">
        <v>60</v>
      </c>
      <c r="K266" s="315" t="s">
        <v>34</v>
      </c>
      <c r="L266" s="322" t="s">
        <v>35</v>
      </c>
      <c r="M266" s="324" t="s">
        <v>34</v>
      </c>
      <c r="N266" s="316" t="s">
        <v>35</v>
      </c>
    </row>
    <row r="267" spans="2:14" ht="12" customHeight="1" thickTop="1">
      <c r="B267" s="311">
        <f>B261</f>
        <v>43617</v>
      </c>
      <c r="C267" s="312">
        <f>'外国語実績201201-201712'!C2358</f>
        <v>2</v>
      </c>
      <c r="D267" s="312">
        <f>'外国語実績201201-201712'!D2358</f>
        <v>2</v>
      </c>
      <c r="E267" s="312">
        <f>'外国語実績201201-201712'!E2358</f>
        <v>0</v>
      </c>
      <c r="F267" s="312">
        <f>'外国語実績201201-201712'!F2358</f>
        <v>0</v>
      </c>
      <c r="G267" s="312">
        <f>'外国語実績201201-201712'!G2358</f>
        <v>0</v>
      </c>
      <c r="H267" s="312">
        <f>'外国語実績201201-201712'!H2358</f>
        <v>0</v>
      </c>
      <c r="I267" s="312">
        <f>'外国語実績201201-201712'!I2358</f>
        <v>0</v>
      </c>
      <c r="J267" s="312">
        <f>'外国語実績201201-201712'!J2358</f>
        <v>2</v>
      </c>
      <c r="K267" s="312">
        <f>'外国語実績201201-201712'!K2358</f>
        <v>0</v>
      </c>
      <c r="L267" s="312">
        <f>'外国語実績201201-201712'!L2358</f>
        <v>0</v>
      </c>
      <c r="M267" s="325">
        <f t="shared" ref="M267:M268" si="451">+C267+E267+G267+I267+K267</f>
        <v>2</v>
      </c>
      <c r="N267" s="313">
        <f>+D267+F267+H267+J267+L267</f>
        <v>4</v>
      </c>
    </row>
    <row r="268" spans="2:14" ht="12" customHeight="1">
      <c r="B268" s="309">
        <f>B262</f>
        <v>43983</v>
      </c>
      <c r="C268" s="304">
        <f>'外国語実績201201-201712'!C2370</f>
        <v>0</v>
      </c>
      <c r="D268" s="304">
        <f>'外国語実績201201-201712'!D2370</f>
        <v>0</v>
      </c>
      <c r="E268" s="304">
        <f>'外国語実績201201-201712'!E2370</f>
        <v>0</v>
      </c>
      <c r="F268" s="304">
        <f>'外国語実績201201-201712'!F2370</f>
        <v>0</v>
      </c>
      <c r="G268" s="304">
        <f>'外国語実績201201-201712'!G2370</f>
        <v>0</v>
      </c>
      <c r="H268" s="304">
        <f>'外国語実績201201-201712'!H2370</f>
        <v>0</v>
      </c>
      <c r="I268" s="304">
        <f>'外国語実績201201-201712'!I2370</f>
        <v>0</v>
      </c>
      <c r="J268" s="304">
        <f>'外国語実績201201-201712'!J2370</f>
        <v>0</v>
      </c>
      <c r="K268" s="304">
        <f>'外国語実績201201-201712'!K2370</f>
        <v>0</v>
      </c>
      <c r="L268" s="304">
        <f>'外国語実績201201-201712'!L2370</f>
        <v>0</v>
      </c>
      <c r="M268" s="326">
        <f t="shared" si="451"/>
        <v>0</v>
      </c>
      <c r="N268" s="305">
        <f>+D268+F268+H268+J268+L268</f>
        <v>0</v>
      </c>
    </row>
    <row r="269" spans="2:14" ht="12" customHeight="1" thickBot="1">
      <c r="B269" s="310" t="s">
        <v>241</v>
      </c>
      <c r="C269" s="328">
        <f>(C268-C267)/C267</f>
        <v>-1</v>
      </c>
      <c r="D269" s="328">
        <f t="shared" ref="D269" si="452">(D268-D267)/D267</f>
        <v>-1</v>
      </c>
      <c r="E269" s="328" t="e">
        <f t="shared" ref="E269" si="453">(E268-E267)/E267</f>
        <v>#DIV/0!</v>
      </c>
      <c r="F269" s="328" t="e">
        <f t="shared" ref="F269" si="454">(F268-F267)/F267</f>
        <v>#DIV/0!</v>
      </c>
      <c r="G269" s="328" t="e">
        <f t="shared" ref="G269" si="455">(G268-G267)/G267</f>
        <v>#DIV/0!</v>
      </c>
      <c r="H269" s="328" t="e">
        <f t="shared" ref="H269" si="456">(H268-H267)/H267</f>
        <v>#DIV/0!</v>
      </c>
      <c r="I269" s="328" t="e">
        <f t="shared" ref="I269" si="457">(I268-I267)/I267</f>
        <v>#DIV/0!</v>
      </c>
      <c r="J269" s="328">
        <f t="shared" ref="J269" si="458">(J268-J267)/J267</f>
        <v>-1</v>
      </c>
      <c r="K269" s="328" t="e">
        <f t="shared" ref="K269" si="459">(K268-K267)/K267</f>
        <v>#DIV/0!</v>
      </c>
      <c r="L269" s="329" t="e">
        <f t="shared" ref="L269" si="460">(L268-L267)/L267</f>
        <v>#DIV/0!</v>
      </c>
      <c r="M269" s="330">
        <f t="shared" ref="M269" si="461">(M268-M267)/M267</f>
        <v>-1</v>
      </c>
      <c r="N269" s="331">
        <f>(N268-N267)/N267</f>
        <v>-1</v>
      </c>
    </row>
    <row r="270" spans="2:14" ht="12" customHeight="1" thickBot="1"/>
    <row r="271" spans="2:14" ht="12" customHeight="1">
      <c r="B271" s="23" t="s">
        <v>202</v>
      </c>
      <c r="C271" s="346" t="s">
        <v>29</v>
      </c>
      <c r="D271" s="347"/>
      <c r="E271" s="346" t="s">
        <v>30</v>
      </c>
      <c r="F271" s="347"/>
      <c r="G271" s="346" t="s">
        <v>31</v>
      </c>
      <c r="H271" s="347"/>
      <c r="I271" s="346" t="s">
        <v>58</v>
      </c>
      <c r="J271" s="347"/>
      <c r="K271" s="346" t="s">
        <v>57</v>
      </c>
      <c r="L271" s="345"/>
      <c r="M271" s="344" t="s">
        <v>5</v>
      </c>
      <c r="N271" s="345"/>
    </row>
    <row r="272" spans="2:14" ht="12" customHeight="1" thickBot="1">
      <c r="B272" s="314"/>
      <c r="C272" s="315" t="s">
        <v>34</v>
      </c>
      <c r="D272" s="315" t="s">
        <v>35</v>
      </c>
      <c r="E272" s="315" t="s">
        <v>34</v>
      </c>
      <c r="F272" s="315" t="s">
        <v>35</v>
      </c>
      <c r="G272" s="315" t="s">
        <v>34</v>
      </c>
      <c r="H272" s="315" t="s">
        <v>35</v>
      </c>
      <c r="I272" s="315" t="s">
        <v>59</v>
      </c>
      <c r="J272" s="315" t="s">
        <v>60</v>
      </c>
      <c r="K272" s="315" t="s">
        <v>34</v>
      </c>
      <c r="L272" s="322" t="s">
        <v>35</v>
      </c>
      <c r="M272" s="324" t="s">
        <v>34</v>
      </c>
      <c r="N272" s="316" t="s">
        <v>35</v>
      </c>
    </row>
    <row r="273" spans="2:14" ht="12" customHeight="1" thickTop="1">
      <c r="B273" s="311">
        <f>B267</f>
        <v>43617</v>
      </c>
      <c r="C273" s="312">
        <f>'外国語実績201201-201712'!C2386</f>
        <v>2</v>
      </c>
      <c r="D273" s="312">
        <f>'外国語実績201201-201712'!D2386</f>
        <v>3</v>
      </c>
      <c r="E273" s="312">
        <f>'外国語実績201201-201712'!E2386</f>
        <v>0</v>
      </c>
      <c r="F273" s="312">
        <f>'外国語実績201201-201712'!F2386</f>
        <v>0</v>
      </c>
      <c r="G273" s="312">
        <f>'外国語実績201201-201712'!G2386</f>
        <v>0</v>
      </c>
      <c r="H273" s="312">
        <f>'外国語実績201201-201712'!H2386</f>
        <v>0</v>
      </c>
      <c r="I273" s="312">
        <f>'外国語実績201201-201712'!I2386</f>
        <v>0</v>
      </c>
      <c r="J273" s="312">
        <f>'外国語実績201201-201712'!J2386</f>
        <v>0</v>
      </c>
      <c r="K273" s="312">
        <f>'外国語実績201201-201712'!K2386</f>
        <v>0</v>
      </c>
      <c r="L273" s="312">
        <f>'外国語実績201201-201712'!L2386</f>
        <v>0</v>
      </c>
      <c r="M273" s="325">
        <f t="shared" ref="M273:M274" si="462">+C273+E273+G273+I273+K273</f>
        <v>2</v>
      </c>
      <c r="N273" s="313">
        <f>+D273+F273+H273+J273+L273</f>
        <v>3</v>
      </c>
    </row>
    <row r="274" spans="2:14" ht="12" customHeight="1">
      <c r="B274" s="309">
        <f>B268</f>
        <v>43983</v>
      </c>
      <c r="C274" s="304">
        <f>'外国語実績201201-201712'!C2398</f>
        <v>0</v>
      </c>
      <c r="D274" s="304">
        <f>'外国語実績201201-201712'!D2398</f>
        <v>0</v>
      </c>
      <c r="E274" s="304">
        <f>'外国語実績201201-201712'!E2398</f>
        <v>0</v>
      </c>
      <c r="F274" s="304">
        <f>'外国語実績201201-201712'!F2398</f>
        <v>0</v>
      </c>
      <c r="G274" s="304">
        <f>'外国語実績201201-201712'!G2398</f>
        <v>0</v>
      </c>
      <c r="H274" s="304">
        <f>'外国語実績201201-201712'!H2398</f>
        <v>0</v>
      </c>
      <c r="I274" s="304">
        <f>'外国語実績201201-201712'!I2398</f>
        <v>0</v>
      </c>
      <c r="J274" s="304">
        <f>'外国語実績201201-201712'!J2398</f>
        <v>0</v>
      </c>
      <c r="K274" s="304">
        <f>'外国語実績201201-201712'!K2398</f>
        <v>0</v>
      </c>
      <c r="L274" s="304">
        <f>'外国語実績201201-201712'!L2398</f>
        <v>0</v>
      </c>
      <c r="M274" s="326">
        <f t="shared" si="462"/>
        <v>0</v>
      </c>
      <c r="N274" s="305">
        <f>+D274+F274+H274+J274+L274</f>
        <v>0</v>
      </c>
    </row>
    <row r="275" spans="2:14" ht="12" customHeight="1" thickBot="1">
      <c r="B275" s="310" t="s">
        <v>241</v>
      </c>
      <c r="C275" s="328">
        <f>(C274-C273)/C273</f>
        <v>-1</v>
      </c>
      <c r="D275" s="328">
        <f t="shared" ref="D275" si="463">(D274-D273)/D273</f>
        <v>-1</v>
      </c>
      <c r="E275" s="328" t="e">
        <f t="shared" ref="E275" si="464">(E274-E273)/E273</f>
        <v>#DIV/0!</v>
      </c>
      <c r="F275" s="328" t="e">
        <f t="shared" ref="F275" si="465">(F274-F273)/F273</f>
        <v>#DIV/0!</v>
      </c>
      <c r="G275" s="328" t="e">
        <f t="shared" ref="G275" si="466">(G274-G273)/G273</f>
        <v>#DIV/0!</v>
      </c>
      <c r="H275" s="328" t="e">
        <f t="shared" ref="H275" si="467">(H274-H273)/H273</f>
        <v>#DIV/0!</v>
      </c>
      <c r="I275" s="328" t="e">
        <f t="shared" ref="I275" si="468">(I274-I273)/I273</f>
        <v>#DIV/0!</v>
      </c>
      <c r="J275" s="328" t="e">
        <f t="shared" ref="J275" si="469">(J274-J273)/J273</f>
        <v>#DIV/0!</v>
      </c>
      <c r="K275" s="328" t="e">
        <f t="shared" ref="K275" si="470">(K274-K273)/K273</f>
        <v>#DIV/0!</v>
      </c>
      <c r="L275" s="329" t="e">
        <f t="shared" ref="L275" si="471">(L274-L273)/L273</f>
        <v>#DIV/0!</v>
      </c>
      <c r="M275" s="330">
        <f t="shared" ref="M275" si="472">(M274-M273)/M273</f>
        <v>-1</v>
      </c>
      <c r="N275" s="331">
        <f>(N274-N273)/N273</f>
        <v>-1</v>
      </c>
    </row>
    <row r="276" spans="2:14" ht="12" customHeight="1" thickBot="1"/>
    <row r="277" spans="2:14" ht="12" customHeight="1">
      <c r="B277" s="23" t="s">
        <v>217</v>
      </c>
      <c r="C277" s="346" t="s">
        <v>29</v>
      </c>
      <c r="D277" s="347"/>
      <c r="E277" s="346" t="s">
        <v>30</v>
      </c>
      <c r="F277" s="347"/>
      <c r="G277" s="353" t="s">
        <v>31</v>
      </c>
      <c r="H277" s="347"/>
      <c r="I277" s="353" t="s">
        <v>58</v>
      </c>
      <c r="J277" s="347"/>
      <c r="K277" s="346" t="s">
        <v>57</v>
      </c>
      <c r="L277" s="345"/>
      <c r="M277" s="344" t="s">
        <v>5</v>
      </c>
      <c r="N277" s="345"/>
    </row>
    <row r="278" spans="2:14" ht="12" customHeight="1" thickBot="1">
      <c r="B278" s="314"/>
      <c r="C278" s="315" t="s">
        <v>34</v>
      </c>
      <c r="D278" s="315" t="s">
        <v>35</v>
      </c>
      <c r="E278" s="315" t="s">
        <v>34</v>
      </c>
      <c r="F278" s="315" t="s">
        <v>35</v>
      </c>
      <c r="G278" s="315" t="s">
        <v>34</v>
      </c>
      <c r="H278" s="315" t="s">
        <v>35</v>
      </c>
      <c r="I278" s="315" t="s">
        <v>59</v>
      </c>
      <c r="J278" s="315" t="s">
        <v>60</v>
      </c>
      <c r="K278" s="315" t="s">
        <v>34</v>
      </c>
      <c r="L278" s="322" t="s">
        <v>35</v>
      </c>
      <c r="M278" s="324" t="s">
        <v>34</v>
      </c>
      <c r="N278" s="316" t="s">
        <v>35</v>
      </c>
    </row>
    <row r="279" spans="2:14" ht="12" customHeight="1" thickTop="1">
      <c r="B279" s="311">
        <f>B273</f>
        <v>43617</v>
      </c>
      <c r="C279" s="312">
        <f>'外国語実績201201-201712'!C2414</f>
        <v>0</v>
      </c>
      <c r="D279" s="312">
        <f>'外国語実績201201-201712'!D2414</f>
        <v>1</v>
      </c>
      <c r="E279" s="312">
        <f>'外国語実績201201-201712'!E2414</f>
        <v>0</v>
      </c>
      <c r="F279" s="312">
        <f>'外国語実績201201-201712'!F2414</f>
        <v>0</v>
      </c>
      <c r="G279" s="312">
        <f>'外国語実績201201-201712'!G2414</f>
        <v>0</v>
      </c>
      <c r="H279" s="312">
        <f>'外国語実績201201-201712'!H2414</f>
        <v>0</v>
      </c>
      <c r="I279" s="312">
        <f>'外国語実績201201-201712'!I2414</f>
        <v>0</v>
      </c>
      <c r="J279" s="312">
        <f>'外国語実績201201-201712'!J2414</f>
        <v>0</v>
      </c>
      <c r="K279" s="312">
        <f>'外国語実績201201-201712'!K2414</f>
        <v>0</v>
      </c>
      <c r="L279" s="312">
        <f>'外国語実績201201-201712'!L2414</f>
        <v>0</v>
      </c>
      <c r="M279" s="325">
        <f t="shared" ref="M279:M280" si="473">+C279+E279+G279+I279+K279</f>
        <v>0</v>
      </c>
      <c r="N279" s="313">
        <f>+D279+F279+H279+J279+L279</f>
        <v>1</v>
      </c>
    </row>
    <row r="280" spans="2:14" ht="12" customHeight="1">
      <c r="B280" s="309">
        <f>B274</f>
        <v>43983</v>
      </c>
      <c r="C280" s="304">
        <f>'外国語実績201201-201712'!C2426</f>
        <v>0</v>
      </c>
      <c r="D280" s="304">
        <f>'外国語実績201201-201712'!D2426</f>
        <v>0</v>
      </c>
      <c r="E280" s="304">
        <f>'外国語実績201201-201712'!E2426</f>
        <v>0</v>
      </c>
      <c r="F280" s="304">
        <f>'外国語実績201201-201712'!F2426</f>
        <v>0</v>
      </c>
      <c r="G280" s="304">
        <f>'外国語実績201201-201712'!G2426</f>
        <v>0</v>
      </c>
      <c r="H280" s="304">
        <f>'外国語実績201201-201712'!H2426</f>
        <v>0</v>
      </c>
      <c r="I280" s="304">
        <f>'外国語実績201201-201712'!I2426</f>
        <v>0</v>
      </c>
      <c r="J280" s="304">
        <f>'外国語実績201201-201712'!J2426</f>
        <v>0</v>
      </c>
      <c r="K280" s="304">
        <f>'外国語実績201201-201712'!K2426</f>
        <v>0</v>
      </c>
      <c r="L280" s="304">
        <f>'外国語実績201201-201712'!L2426</f>
        <v>0</v>
      </c>
      <c r="M280" s="326">
        <f t="shared" si="473"/>
        <v>0</v>
      </c>
      <c r="N280" s="305">
        <f>+D280+F280+H280+J280+L280</f>
        <v>0</v>
      </c>
    </row>
    <row r="281" spans="2:14" ht="12" customHeight="1" thickBot="1">
      <c r="B281" s="310" t="s">
        <v>241</v>
      </c>
      <c r="C281" s="328" t="e">
        <f>(C280-C279)/C279</f>
        <v>#DIV/0!</v>
      </c>
      <c r="D281" s="328">
        <f t="shared" ref="D281" si="474">(D280-D279)/D279</f>
        <v>-1</v>
      </c>
      <c r="E281" s="328" t="e">
        <f t="shared" ref="E281" si="475">(E280-E279)/E279</f>
        <v>#DIV/0!</v>
      </c>
      <c r="F281" s="328" t="e">
        <f t="shared" ref="F281" si="476">(F280-F279)/F279</f>
        <v>#DIV/0!</v>
      </c>
      <c r="G281" s="328" t="e">
        <f t="shared" ref="G281" si="477">(G280-G279)/G279</f>
        <v>#DIV/0!</v>
      </c>
      <c r="H281" s="328" t="e">
        <f t="shared" ref="H281" si="478">(H280-H279)/H279</f>
        <v>#DIV/0!</v>
      </c>
      <c r="I281" s="328" t="e">
        <f t="shared" ref="I281" si="479">(I280-I279)/I279</f>
        <v>#DIV/0!</v>
      </c>
      <c r="J281" s="328" t="e">
        <f t="shared" ref="J281" si="480">(J280-J279)/J279</f>
        <v>#DIV/0!</v>
      </c>
      <c r="K281" s="328" t="e">
        <f t="shared" ref="K281" si="481">(K280-K279)/K279</f>
        <v>#DIV/0!</v>
      </c>
      <c r="L281" s="329" t="e">
        <f t="shared" ref="L281" si="482">(L280-L279)/L279</f>
        <v>#DIV/0!</v>
      </c>
      <c r="M281" s="330" t="e">
        <f t="shared" ref="M281" si="483">(M280-M279)/M279</f>
        <v>#DIV/0!</v>
      </c>
      <c r="N281" s="331">
        <f>(N280-N279)/N279</f>
        <v>-1</v>
      </c>
    </row>
    <row r="282" spans="2:14" ht="12" customHeight="1" thickBot="1"/>
    <row r="283" spans="2:14" ht="12" customHeight="1">
      <c r="B283" s="23" t="s">
        <v>214</v>
      </c>
      <c r="C283" s="346" t="s">
        <v>29</v>
      </c>
      <c r="D283" s="347"/>
      <c r="E283" s="346" t="s">
        <v>30</v>
      </c>
      <c r="F283" s="347"/>
      <c r="G283" s="353" t="s">
        <v>31</v>
      </c>
      <c r="H283" s="347"/>
      <c r="I283" s="353" t="s">
        <v>58</v>
      </c>
      <c r="J283" s="347"/>
      <c r="K283" s="346" t="s">
        <v>57</v>
      </c>
      <c r="L283" s="345"/>
      <c r="M283" s="344" t="s">
        <v>5</v>
      </c>
      <c r="N283" s="345"/>
    </row>
    <row r="284" spans="2:14" ht="12" customHeight="1" thickBot="1">
      <c r="B284" s="314"/>
      <c r="C284" s="315" t="s">
        <v>34</v>
      </c>
      <c r="D284" s="315" t="s">
        <v>35</v>
      </c>
      <c r="E284" s="315" t="s">
        <v>34</v>
      </c>
      <c r="F284" s="315" t="s">
        <v>35</v>
      </c>
      <c r="G284" s="315" t="s">
        <v>34</v>
      </c>
      <c r="H284" s="315" t="s">
        <v>35</v>
      </c>
      <c r="I284" s="315" t="s">
        <v>59</v>
      </c>
      <c r="J284" s="315" t="s">
        <v>60</v>
      </c>
      <c r="K284" s="315" t="s">
        <v>34</v>
      </c>
      <c r="L284" s="322" t="s">
        <v>35</v>
      </c>
      <c r="M284" s="324" t="s">
        <v>34</v>
      </c>
      <c r="N284" s="316" t="s">
        <v>35</v>
      </c>
    </row>
    <row r="285" spans="2:14" ht="12" customHeight="1" thickTop="1">
      <c r="B285" s="311">
        <f>B279</f>
        <v>43617</v>
      </c>
      <c r="C285" s="312">
        <f>'外国語実績201201-201712'!C2442</f>
        <v>1</v>
      </c>
      <c r="D285" s="312">
        <f>'外国語実績201201-201712'!D2442</f>
        <v>0</v>
      </c>
      <c r="E285" s="312">
        <f>'外国語実績201201-201712'!E2442</f>
        <v>0</v>
      </c>
      <c r="F285" s="312">
        <f>'外国語実績201201-201712'!F2442</f>
        <v>0</v>
      </c>
      <c r="G285" s="312">
        <f>'外国語実績201201-201712'!G2442</f>
        <v>0</v>
      </c>
      <c r="H285" s="312">
        <f>'外国語実績201201-201712'!H2442</f>
        <v>0</v>
      </c>
      <c r="I285" s="312">
        <f>'外国語実績201201-201712'!I2442</f>
        <v>0</v>
      </c>
      <c r="J285" s="312">
        <f>'外国語実績201201-201712'!J2442</f>
        <v>0</v>
      </c>
      <c r="K285" s="312">
        <f>'外国語実績201201-201712'!K2442</f>
        <v>0</v>
      </c>
      <c r="L285" s="312">
        <f>'外国語実績201201-201712'!L2442</f>
        <v>0</v>
      </c>
      <c r="M285" s="325">
        <f t="shared" ref="M285:M286" si="484">+C285+E285+G285+I285+K285</f>
        <v>1</v>
      </c>
      <c r="N285" s="313">
        <f>+D285+F285+H285+J285+L285</f>
        <v>0</v>
      </c>
    </row>
    <row r="286" spans="2:14" ht="12" customHeight="1">
      <c r="B286" s="309">
        <f>B280</f>
        <v>43983</v>
      </c>
      <c r="C286" s="304">
        <f>'外国語実績201201-201712'!C2454</f>
        <v>0</v>
      </c>
      <c r="D286" s="304">
        <f>'外国語実績201201-201712'!D2454</f>
        <v>0</v>
      </c>
      <c r="E286" s="304">
        <f>'外国語実績201201-201712'!E2454</f>
        <v>0</v>
      </c>
      <c r="F286" s="304">
        <f>'外国語実績201201-201712'!F2454</f>
        <v>0</v>
      </c>
      <c r="G286" s="304">
        <f>'外国語実績201201-201712'!G2454</f>
        <v>0</v>
      </c>
      <c r="H286" s="304">
        <f>'外国語実績201201-201712'!H2454</f>
        <v>0</v>
      </c>
      <c r="I286" s="304">
        <f>'外国語実績201201-201712'!I2454</f>
        <v>0</v>
      </c>
      <c r="J286" s="304">
        <f>'外国語実績201201-201712'!J2454</f>
        <v>0</v>
      </c>
      <c r="K286" s="304">
        <f>'外国語実績201201-201712'!K2454</f>
        <v>0</v>
      </c>
      <c r="L286" s="304">
        <f>'外国語実績201201-201712'!L2454</f>
        <v>0</v>
      </c>
      <c r="M286" s="326">
        <f t="shared" si="484"/>
        <v>0</v>
      </c>
      <c r="N286" s="305">
        <f>+D286+F286+H286+J286+L286</f>
        <v>0</v>
      </c>
    </row>
    <row r="287" spans="2:14" ht="12" customHeight="1" thickBot="1">
      <c r="B287" s="310" t="s">
        <v>241</v>
      </c>
      <c r="C287" s="328">
        <f>(C286-C285)/C285</f>
        <v>-1</v>
      </c>
      <c r="D287" s="328" t="e">
        <f t="shared" ref="D287" si="485">(D286-D285)/D285</f>
        <v>#DIV/0!</v>
      </c>
      <c r="E287" s="328" t="e">
        <f t="shared" ref="E287" si="486">(E286-E285)/E285</f>
        <v>#DIV/0!</v>
      </c>
      <c r="F287" s="328" t="e">
        <f t="shared" ref="F287" si="487">(F286-F285)/F285</f>
        <v>#DIV/0!</v>
      </c>
      <c r="G287" s="328" t="e">
        <f t="shared" ref="G287" si="488">(G286-G285)/G285</f>
        <v>#DIV/0!</v>
      </c>
      <c r="H287" s="328" t="e">
        <f t="shared" ref="H287" si="489">(H286-H285)/H285</f>
        <v>#DIV/0!</v>
      </c>
      <c r="I287" s="328" t="e">
        <f t="shared" ref="I287" si="490">(I286-I285)/I285</f>
        <v>#DIV/0!</v>
      </c>
      <c r="J287" s="328" t="e">
        <f t="shared" ref="J287" si="491">(J286-J285)/J285</f>
        <v>#DIV/0!</v>
      </c>
      <c r="K287" s="328" t="e">
        <f t="shared" ref="K287" si="492">(K286-K285)/K285</f>
        <v>#DIV/0!</v>
      </c>
      <c r="L287" s="329" t="e">
        <f t="shared" ref="L287" si="493">(L286-L285)/L285</f>
        <v>#DIV/0!</v>
      </c>
      <c r="M287" s="330">
        <f t="shared" ref="M287" si="494">(M286-M285)/M285</f>
        <v>-1</v>
      </c>
      <c r="N287" s="331" t="e">
        <f>(N286-N285)/N285</f>
        <v>#DIV/0!</v>
      </c>
    </row>
    <row r="288" spans="2:14" ht="12" customHeight="1" thickBot="1"/>
    <row r="289" spans="2:14" ht="12" customHeight="1">
      <c r="B289" s="23" t="s">
        <v>215</v>
      </c>
      <c r="C289" s="346" t="s">
        <v>29</v>
      </c>
      <c r="D289" s="347"/>
      <c r="E289" s="346" t="s">
        <v>30</v>
      </c>
      <c r="F289" s="347"/>
      <c r="G289" s="353" t="s">
        <v>31</v>
      </c>
      <c r="H289" s="347"/>
      <c r="I289" s="353" t="s">
        <v>58</v>
      </c>
      <c r="J289" s="347"/>
      <c r="K289" s="346" t="s">
        <v>57</v>
      </c>
      <c r="L289" s="345"/>
      <c r="M289" s="344" t="s">
        <v>5</v>
      </c>
      <c r="N289" s="345"/>
    </row>
    <row r="290" spans="2:14" ht="12" customHeight="1" thickBot="1">
      <c r="B290" s="314"/>
      <c r="C290" s="315" t="s">
        <v>34</v>
      </c>
      <c r="D290" s="315" t="s">
        <v>35</v>
      </c>
      <c r="E290" s="315" t="s">
        <v>34</v>
      </c>
      <c r="F290" s="315" t="s">
        <v>35</v>
      </c>
      <c r="G290" s="315" t="s">
        <v>34</v>
      </c>
      <c r="H290" s="315" t="s">
        <v>35</v>
      </c>
      <c r="I290" s="315" t="s">
        <v>59</v>
      </c>
      <c r="J290" s="315" t="s">
        <v>60</v>
      </c>
      <c r="K290" s="315" t="s">
        <v>34</v>
      </c>
      <c r="L290" s="322" t="s">
        <v>35</v>
      </c>
      <c r="M290" s="324" t="s">
        <v>34</v>
      </c>
      <c r="N290" s="316" t="s">
        <v>35</v>
      </c>
    </row>
    <row r="291" spans="2:14" ht="12" customHeight="1" thickTop="1">
      <c r="B291" s="311">
        <f>B285</f>
        <v>43617</v>
      </c>
      <c r="C291" s="312">
        <f>'外国語実績201201-201712'!C2470</f>
        <v>0</v>
      </c>
      <c r="D291" s="312">
        <f>'外国語実績201201-201712'!D2470</f>
        <v>0</v>
      </c>
      <c r="E291" s="312">
        <f>'外国語実績201201-201712'!E2470</f>
        <v>0</v>
      </c>
      <c r="F291" s="312">
        <f>'外国語実績201201-201712'!F2470</f>
        <v>0</v>
      </c>
      <c r="G291" s="312">
        <f>'外国語実績201201-201712'!G2470</f>
        <v>1</v>
      </c>
      <c r="H291" s="312">
        <f>'外国語実績201201-201712'!H2470</f>
        <v>0</v>
      </c>
      <c r="I291" s="312">
        <f>'外国語実績201201-201712'!I2470</f>
        <v>0</v>
      </c>
      <c r="J291" s="312">
        <f>'外国語実績201201-201712'!J2470</f>
        <v>1</v>
      </c>
      <c r="K291" s="312">
        <f>'外国語実績201201-201712'!K2470</f>
        <v>0</v>
      </c>
      <c r="L291" s="312">
        <f>'外国語実績201201-201712'!L2470</f>
        <v>0</v>
      </c>
      <c r="M291" s="325">
        <f t="shared" ref="M291:M292" si="495">+C291+E291+G291+I291+K291</f>
        <v>1</v>
      </c>
      <c r="N291" s="313">
        <f>+D291+F291+H291+J291+L291</f>
        <v>1</v>
      </c>
    </row>
    <row r="292" spans="2:14" ht="12" customHeight="1">
      <c r="B292" s="309">
        <f>B286</f>
        <v>43983</v>
      </c>
      <c r="C292" s="304">
        <f>'外国語実績201201-201712'!C2482</f>
        <v>0</v>
      </c>
      <c r="D292" s="304">
        <f>'外国語実績201201-201712'!D2482</f>
        <v>0</v>
      </c>
      <c r="E292" s="304">
        <f>'外国語実績201201-201712'!E2482</f>
        <v>0</v>
      </c>
      <c r="F292" s="304">
        <f>'外国語実績201201-201712'!F2482</f>
        <v>0</v>
      </c>
      <c r="G292" s="304">
        <f>'外国語実績201201-201712'!G2482</f>
        <v>0</v>
      </c>
      <c r="H292" s="304">
        <f>'外国語実績201201-201712'!H2482</f>
        <v>0</v>
      </c>
      <c r="I292" s="304">
        <f>'外国語実績201201-201712'!I2482</f>
        <v>0</v>
      </c>
      <c r="J292" s="304">
        <f>'外国語実績201201-201712'!J2482</f>
        <v>0</v>
      </c>
      <c r="K292" s="304">
        <f>'外国語実績201201-201712'!K2482</f>
        <v>0</v>
      </c>
      <c r="L292" s="304">
        <f>'外国語実績201201-201712'!L2482</f>
        <v>0</v>
      </c>
      <c r="M292" s="326">
        <f t="shared" si="495"/>
        <v>0</v>
      </c>
      <c r="N292" s="305">
        <f>+D292+F292+H292+J292+L292</f>
        <v>0</v>
      </c>
    </row>
    <row r="293" spans="2:14" ht="12" customHeight="1" thickBot="1">
      <c r="B293" s="310" t="s">
        <v>241</v>
      </c>
      <c r="C293" s="328" t="e">
        <f>(C292-C291)/C291</f>
        <v>#DIV/0!</v>
      </c>
      <c r="D293" s="328" t="e">
        <f t="shared" ref="D293" si="496">(D292-D291)/D291</f>
        <v>#DIV/0!</v>
      </c>
      <c r="E293" s="328" t="e">
        <f t="shared" ref="E293" si="497">(E292-E291)/E291</f>
        <v>#DIV/0!</v>
      </c>
      <c r="F293" s="328" t="e">
        <f t="shared" ref="F293" si="498">(F292-F291)/F291</f>
        <v>#DIV/0!</v>
      </c>
      <c r="G293" s="328">
        <f t="shared" ref="G293" si="499">(G292-G291)/G291</f>
        <v>-1</v>
      </c>
      <c r="H293" s="328" t="e">
        <f t="shared" ref="H293" si="500">(H292-H291)/H291</f>
        <v>#DIV/0!</v>
      </c>
      <c r="I293" s="328" t="e">
        <f t="shared" ref="I293" si="501">(I292-I291)/I291</f>
        <v>#DIV/0!</v>
      </c>
      <c r="J293" s="328">
        <f t="shared" ref="J293" si="502">(J292-J291)/J291</f>
        <v>-1</v>
      </c>
      <c r="K293" s="328" t="e">
        <f t="shared" ref="K293" si="503">(K292-K291)/K291</f>
        <v>#DIV/0!</v>
      </c>
      <c r="L293" s="329" t="e">
        <f t="shared" ref="L293" si="504">(L292-L291)/L291</f>
        <v>#DIV/0!</v>
      </c>
      <c r="M293" s="330">
        <f t="shared" ref="M293" si="505">(M292-M291)/M291</f>
        <v>-1</v>
      </c>
      <c r="N293" s="331">
        <f>(N292-N291)/N291</f>
        <v>-1</v>
      </c>
    </row>
    <row r="294" spans="2:14" ht="12" customHeight="1" thickBot="1"/>
    <row r="295" spans="2:14" ht="12" customHeight="1">
      <c r="B295" s="23" t="s">
        <v>216</v>
      </c>
      <c r="C295" s="346" t="s">
        <v>29</v>
      </c>
      <c r="D295" s="347"/>
      <c r="E295" s="346" t="s">
        <v>30</v>
      </c>
      <c r="F295" s="347"/>
      <c r="G295" s="353" t="s">
        <v>31</v>
      </c>
      <c r="H295" s="347"/>
      <c r="I295" s="353" t="s">
        <v>58</v>
      </c>
      <c r="J295" s="347"/>
      <c r="K295" s="346" t="s">
        <v>57</v>
      </c>
      <c r="L295" s="345"/>
      <c r="M295" s="344" t="s">
        <v>5</v>
      </c>
      <c r="N295" s="345"/>
    </row>
    <row r="296" spans="2:14" ht="12" customHeight="1" thickBot="1">
      <c r="B296" s="314"/>
      <c r="C296" s="315" t="s">
        <v>34</v>
      </c>
      <c r="D296" s="315" t="s">
        <v>35</v>
      </c>
      <c r="E296" s="315" t="s">
        <v>34</v>
      </c>
      <c r="F296" s="315" t="s">
        <v>35</v>
      </c>
      <c r="G296" s="315" t="s">
        <v>34</v>
      </c>
      <c r="H296" s="315" t="s">
        <v>35</v>
      </c>
      <c r="I296" s="315" t="s">
        <v>59</v>
      </c>
      <c r="J296" s="315" t="s">
        <v>60</v>
      </c>
      <c r="K296" s="315" t="s">
        <v>34</v>
      </c>
      <c r="L296" s="322" t="s">
        <v>35</v>
      </c>
      <c r="M296" s="324" t="s">
        <v>34</v>
      </c>
      <c r="N296" s="316" t="s">
        <v>35</v>
      </c>
    </row>
    <row r="297" spans="2:14" ht="12" customHeight="1" thickTop="1">
      <c r="B297" s="311">
        <f>B291</f>
        <v>43617</v>
      </c>
      <c r="C297" s="312">
        <f>'外国語実績201201-201712'!C2501</f>
        <v>0</v>
      </c>
      <c r="D297" s="312">
        <f>'外国語実績201201-201712'!D2501</f>
        <v>0</v>
      </c>
      <c r="E297" s="312">
        <f>'外国語実績201201-201712'!E2501</f>
        <v>0</v>
      </c>
      <c r="F297" s="312">
        <f>'外国語実績201201-201712'!F2501</f>
        <v>0</v>
      </c>
      <c r="G297" s="312">
        <f>'外国語実績201201-201712'!G2501</f>
        <v>0</v>
      </c>
      <c r="H297" s="312">
        <f>'外国語実績201201-201712'!H2501</f>
        <v>0</v>
      </c>
      <c r="I297" s="312">
        <f>'外国語実績201201-201712'!I2501</f>
        <v>0</v>
      </c>
      <c r="J297" s="312">
        <f>'外国語実績201201-201712'!J2501</f>
        <v>0</v>
      </c>
      <c r="K297" s="312">
        <f>'外国語実績201201-201712'!K2501</f>
        <v>0</v>
      </c>
      <c r="L297" s="312">
        <f>'外国語実績201201-201712'!L2501</f>
        <v>0</v>
      </c>
      <c r="M297" s="325">
        <f t="shared" ref="M297:M298" si="506">+C297+E297+G297+I297+K297</f>
        <v>0</v>
      </c>
      <c r="N297" s="313">
        <f>+D297+F297+H297+J297+L297</f>
        <v>0</v>
      </c>
    </row>
    <row r="298" spans="2:14" ht="12" customHeight="1">
      <c r="B298" s="309">
        <f>B292</f>
        <v>43983</v>
      </c>
      <c r="C298" s="304">
        <f>'外国語実績201201-201712'!C2513</f>
        <v>0</v>
      </c>
      <c r="D298" s="304">
        <f>'外国語実績201201-201712'!D2513</f>
        <v>0</v>
      </c>
      <c r="E298" s="304">
        <f>'外国語実績201201-201712'!E2513</f>
        <v>0</v>
      </c>
      <c r="F298" s="304">
        <f>'外国語実績201201-201712'!F2513</f>
        <v>0</v>
      </c>
      <c r="G298" s="304">
        <f>'外国語実績201201-201712'!G2513</f>
        <v>0</v>
      </c>
      <c r="H298" s="304">
        <f>'外国語実績201201-201712'!H2513</f>
        <v>0</v>
      </c>
      <c r="I298" s="304">
        <f>'外国語実績201201-201712'!I2513</f>
        <v>0</v>
      </c>
      <c r="J298" s="304">
        <f>'外国語実績201201-201712'!J2513</f>
        <v>0</v>
      </c>
      <c r="K298" s="304">
        <f>'外国語実績201201-201712'!K2513</f>
        <v>0</v>
      </c>
      <c r="L298" s="304">
        <f>'外国語実績201201-201712'!L2513</f>
        <v>0</v>
      </c>
      <c r="M298" s="326">
        <f t="shared" si="506"/>
        <v>0</v>
      </c>
      <c r="N298" s="305">
        <f>+D298+F298+H298+J298+L298</f>
        <v>0</v>
      </c>
    </row>
    <row r="299" spans="2:14" ht="12" customHeight="1" thickBot="1">
      <c r="B299" s="310" t="s">
        <v>241</v>
      </c>
      <c r="C299" s="328" t="e">
        <f>(C298-C297)/C297</f>
        <v>#DIV/0!</v>
      </c>
      <c r="D299" s="328" t="e">
        <f t="shared" ref="D299" si="507">(D298-D297)/D297</f>
        <v>#DIV/0!</v>
      </c>
      <c r="E299" s="328" t="e">
        <f t="shared" ref="E299" si="508">(E298-E297)/E297</f>
        <v>#DIV/0!</v>
      </c>
      <c r="F299" s="328" t="e">
        <f t="shared" ref="F299" si="509">(F298-F297)/F297</f>
        <v>#DIV/0!</v>
      </c>
      <c r="G299" s="328" t="e">
        <f t="shared" ref="G299" si="510">(G298-G297)/G297</f>
        <v>#DIV/0!</v>
      </c>
      <c r="H299" s="328" t="e">
        <f t="shared" ref="H299" si="511">(H298-H297)/H297</f>
        <v>#DIV/0!</v>
      </c>
      <c r="I299" s="328" t="e">
        <f t="shared" ref="I299" si="512">(I298-I297)/I297</f>
        <v>#DIV/0!</v>
      </c>
      <c r="J299" s="328" t="e">
        <f t="shared" ref="J299" si="513">(J298-J297)/J297</f>
        <v>#DIV/0!</v>
      </c>
      <c r="K299" s="328" t="e">
        <f t="shared" ref="K299" si="514">(K298-K297)/K297</f>
        <v>#DIV/0!</v>
      </c>
      <c r="L299" s="329" t="e">
        <f t="shared" ref="L299" si="515">(L298-L297)/L297</f>
        <v>#DIV/0!</v>
      </c>
      <c r="M299" s="330" t="e">
        <f t="shared" ref="M299" si="516">(M298-M297)/M297</f>
        <v>#DIV/0!</v>
      </c>
      <c r="N299" s="331" t="e">
        <f>(N298-N297)/N297</f>
        <v>#DIV/0!</v>
      </c>
    </row>
    <row r="300" spans="2:14" ht="12" customHeight="1" thickBot="1"/>
    <row r="301" spans="2:14" ht="12" customHeight="1">
      <c r="B301" s="23" t="s">
        <v>229</v>
      </c>
      <c r="C301" s="346" t="s">
        <v>29</v>
      </c>
      <c r="D301" s="347"/>
      <c r="E301" s="346" t="s">
        <v>30</v>
      </c>
      <c r="F301" s="347"/>
      <c r="G301" s="353" t="s">
        <v>31</v>
      </c>
      <c r="H301" s="347"/>
      <c r="I301" s="353" t="s">
        <v>58</v>
      </c>
      <c r="J301" s="347"/>
      <c r="K301" s="346" t="s">
        <v>57</v>
      </c>
      <c r="L301" s="345"/>
      <c r="M301" s="344" t="s">
        <v>5</v>
      </c>
      <c r="N301" s="345"/>
    </row>
    <row r="302" spans="2:14" ht="12" customHeight="1" thickBot="1">
      <c r="B302" s="314"/>
      <c r="C302" s="315" t="s">
        <v>34</v>
      </c>
      <c r="D302" s="315" t="s">
        <v>35</v>
      </c>
      <c r="E302" s="315" t="s">
        <v>34</v>
      </c>
      <c r="F302" s="315" t="s">
        <v>35</v>
      </c>
      <c r="G302" s="315" t="s">
        <v>34</v>
      </c>
      <c r="H302" s="315" t="s">
        <v>35</v>
      </c>
      <c r="I302" s="315" t="s">
        <v>59</v>
      </c>
      <c r="J302" s="315" t="s">
        <v>60</v>
      </c>
      <c r="K302" s="315" t="s">
        <v>34</v>
      </c>
      <c r="L302" s="322" t="s">
        <v>35</v>
      </c>
      <c r="M302" s="324" t="s">
        <v>34</v>
      </c>
      <c r="N302" s="316" t="s">
        <v>35</v>
      </c>
    </row>
    <row r="303" spans="2:14" ht="12" customHeight="1" thickTop="1">
      <c r="B303" s="311">
        <f>B297</f>
        <v>43617</v>
      </c>
      <c r="C303" s="312">
        <v>0</v>
      </c>
      <c r="D303" s="312">
        <v>0</v>
      </c>
      <c r="E303" s="312">
        <v>0</v>
      </c>
      <c r="F303" s="312">
        <v>0</v>
      </c>
      <c r="G303" s="312">
        <v>0</v>
      </c>
      <c r="H303" s="312">
        <v>0</v>
      </c>
      <c r="I303" s="312">
        <v>0</v>
      </c>
      <c r="J303" s="312">
        <v>0</v>
      </c>
      <c r="K303" s="312">
        <v>0</v>
      </c>
      <c r="L303" s="312">
        <v>0</v>
      </c>
      <c r="M303" s="325">
        <f t="shared" ref="M303:M304" si="517">+C303+E303+G303+I303+K303</f>
        <v>0</v>
      </c>
      <c r="N303" s="313">
        <f>+D303+F303+H303+J303+L303</f>
        <v>0</v>
      </c>
    </row>
    <row r="304" spans="2:14" ht="12" customHeight="1">
      <c r="B304" s="309">
        <f>B298</f>
        <v>43983</v>
      </c>
      <c r="C304" s="304">
        <f>'外国語実績201201-201712'!C2541</f>
        <v>0</v>
      </c>
      <c r="D304" s="304">
        <f>'外国語実績201201-201712'!D2541</f>
        <v>0</v>
      </c>
      <c r="E304" s="304">
        <f>'外国語実績201201-201712'!E2541</f>
        <v>0</v>
      </c>
      <c r="F304" s="304">
        <f>'外国語実績201201-201712'!F2541</f>
        <v>0</v>
      </c>
      <c r="G304" s="304">
        <f>'外国語実績201201-201712'!G2541</f>
        <v>0</v>
      </c>
      <c r="H304" s="304">
        <f>'外国語実績201201-201712'!H2541</f>
        <v>0</v>
      </c>
      <c r="I304" s="304">
        <f>'外国語実績201201-201712'!I2541</f>
        <v>0</v>
      </c>
      <c r="J304" s="304">
        <f>'外国語実績201201-201712'!J2541</f>
        <v>0</v>
      </c>
      <c r="K304" s="304">
        <f>'外国語実績201201-201712'!K2541</f>
        <v>0</v>
      </c>
      <c r="L304" s="304">
        <f>'外国語実績201201-201712'!L2541</f>
        <v>0</v>
      </c>
      <c r="M304" s="326">
        <f t="shared" si="517"/>
        <v>0</v>
      </c>
      <c r="N304" s="305">
        <f>+D304+F304+H304+J304+L304</f>
        <v>0</v>
      </c>
    </row>
    <row r="305" spans="2:14" ht="12" customHeight="1" thickBot="1">
      <c r="B305" s="310" t="s">
        <v>241</v>
      </c>
      <c r="C305" s="328" t="e">
        <f>(C304-C303)/C303</f>
        <v>#DIV/0!</v>
      </c>
      <c r="D305" s="328" t="e">
        <f t="shared" ref="D305" si="518">(D304-D303)/D303</f>
        <v>#DIV/0!</v>
      </c>
      <c r="E305" s="328" t="e">
        <f t="shared" ref="E305" si="519">(E304-E303)/E303</f>
        <v>#DIV/0!</v>
      </c>
      <c r="F305" s="328" t="e">
        <f t="shared" ref="F305" si="520">(F304-F303)/F303</f>
        <v>#DIV/0!</v>
      </c>
      <c r="G305" s="328" t="e">
        <f t="shared" ref="G305" si="521">(G304-G303)/G303</f>
        <v>#DIV/0!</v>
      </c>
      <c r="H305" s="328" t="e">
        <f t="shared" ref="H305" si="522">(H304-H303)/H303</f>
        <v>#DIV/0!</v>
      </c>
      <c r="I305" s="328" t="e">
        <f t="shared" ref="I305" si="523">(I304-I303)/I303</f>
        <v>#DIV/0!</v>
      </c>
      <c r="J305" s="328" t="e">
        <f t="shared" ref="J305" si="524">(J304-J303)/J303</f>
        <v>#DIV/0!</v>
      </c>
      <c r="K305" s="328" t="e">
        <f t="shared" ref="K305" si="525">(K304-K303)/K303</f>
        <v>#DIV/0!</v>
      </c>
      <c r="L305" s="329" t="e">
        <f t="shared" ref="L305" si="526">(L304-L303)/L303</f>
        <v>#DIV/0!</v>
      </c>
      <c r="M305" s="330" t="e">
        <f t="shared" ref="M305" si="527">(M304-M303)/M303</f>
        <v>#DIV/0!</v>
      </c>
      <c r="N305" s="331" t="e">
        <f>(N304-N303)/N303</f>
        <v>#DIV/0!</v>
      </c>
    </row>
    <row r="306" spans="2:14" ht="12" customHeight="1" thickBot="1"/>
    <row r="307" spans="2:14" ht="12" customHeight="1">
      <c r="B307" s="23" t="s">
        <v>232</v>
      </c>
      <c r="C307" s="346" t="s">
        <v>29</v>
      </c>
      <c r="D307" s="347"/>
      <c r="E307" s="346" t="s">
        <v>30</v>
      </c>
      <c r="F307" s="347"/>
      <c r="G307" s="353" t="s">
        <v>31</v>
      </c>
      <c r="H307" s="347"/>
      <c r="I307" s="353" t="s">
        <v>58</v>
      </c>
      <c r="J307" s="347"/>
      <c r="K307" s="346" t="s">
        <v>57</v>
      </c>
      <c r="L307" s="345"/>
      <c r="M307" s="344" t="s">
        <v>5</v>
      </c>
      <c r="N307" s="345"/>
    </row>
    <row r="308" spans="2:14" ht="12" customHeight="1" thickBot="1">
      <c r="B308" s="314"/>
      <c r="C308" s="315" t="s">
        <v>34</v>
      </c>
      <c r="D308" s="315" t="s">
        <v>35</v>
      </c>
      <c r="E308" s="315" t="s">
        <v>34</v>
      </c>
      <c r="F308" s="315" t="s">
        <v>35</v>
      </c>
      <c r="G308" s="315" t="s">
        <v>34</v>
      </c>
      <c r="H308" s="315" t="s">
        <v>35</v>
      </c>
      <c r="I308" s="315" t="s">
        <v>59</v>
      </c>
      <c r="J308" s="315" t="s">
        <v>60</v>
      </c>
      <c r="K308" s="315" t="s">
        <v>34</v>
      </c>
      <c r="L308" s="322" t="s">
        <v>35</v>
      </c>
      <c r="M308" s="324" t="s">
        <v>34</v>
      </c>
      <c r="N308" s="316" t="s">
        <v>35</v>
      </c>
    </row>
    <row r="309" spans="2:14" ht="12" customHeight="1" thickTop="1">
      <c r="B309" s="311">
        <f>B303</f>
        <v>43617</v>
      </c>
      <c r="C309" s="312">
        <v>0</v>
      </c>
      <c r="D309" s="312">
        <v>0</v>
      </c>
      <c r="E309" s="312">
        <v>0</v>
      </c>
      <c r="F309" s="312">
        <v>0</v>
      </c>
      <c r="G309" s="312">
        <v>0</v>
      </c>
      <c r="H309" s="312">
        <v>0</v>
      </c>
      <c r="I309" s="312">
        <v>0</v>
      </c>
      <c r="J309" s="312">
        <v>0</v>
      </c>
      <c r="K309" s="312">
        <v>0</v>
      </c>
      <c r="L309" s="312">
        <v>0</v>
      </c>
      <c r="M309" s="325">
        <f t="shared" ref="M309:M310" si="528">+C309+E309+G309+I309+K309</f>
        <v>0</v>
      </c>
      <c r="N309" s="313">
        <f>+D309+F309+H309+J309+L309</f>
        <v>0</v>
      </c>
    </row>
    <row r="310" spans="2:14" ht="12" customHeight="1">
      <c r="B310" s="309">
        <f>B304</f>
        <v>43983</v>
      </c>
      <c r="C310" s="304">
        <f>'外国語実績201201-201712'!C2569</f>
        <v>0</v>
      </c>
      <c r="D310" s="304">
        <f>'外国語実績201201-201712'!D2569</f>
        <v>0</v>
      </c>
      <c r="E310" s="304">
        <f>'外国語実績201201-201712'!E2569</f>
        <v>0</v>
      </c>
      <c r="F310" s="304">
        <f>'外国語実績201201-201712'!F2569</f>
        <v>0</v>
      </c>
      <c r="G310" s="304">
        <f>'外国語実績201201-201712'!G2569</f>
        <v>0</v>
      </c>
      <c r="H310" s="304">
        <f>'外国語実績201201-201712'!H2569</f>
        <v>0</v>
      </c>
      <c r="I310" s="304">
        <f>'外国語実績201201-201712'!I2569</f>
        <v>0</v>
      </c>
      <c r="J310" s="304">
        <f>'外国語実績201201-201712'!J2569</f>
        <v>0</v>
      </c>
      <c r="K310" s="304">
        <f>'外国語実績201201-201712'!K2569</f>
        <v>0</v>
      </c>
      <c r="L310" s="304">
        <f>'外国語実績201201-201712'!L2569</f>
        <v>0</v>
      </c>
      <c r="M310" s="326">
        <f t="shared" si="528"/>
        <v>0</v>
      </c>
      <c r="N310" s="305">
        <f>+D310+F310+H310+J310+L310</f>
        <v>0</v>
      </c>
    </row>
    <row r="311" spans="2:14" ht="12" customHeight="1" thickBot="1">
      <c r="B311" s="310" t="s">
        <v>241</v>
      </c>
      <c r="C311" s="328" t="e">
        <f>(C310-C309)/C309</f>
        <v>#DIV/0!</v>
      </c>
      <c r="D311" s="328" t="e">
        <f t="shared" ref="D311" si="529">(D310-D309)/D309</f>
        <v>#DIV/0!</v>
      </c>
      <c r="E311" s="328" t="e">
        <f t="shared" ref="E311" si="530">(E310-E309)/E309</f>
        <v>#DIV/0!</v>
      </c>
      <c r="F311" s="328" t="e">
        <f t="shared" ref="F311" si="531">(F310-F309)/F309</f>
        <v>#DIV/0!</v>
      </c>
      <c r="G311" s="328" t="e">
        <f t="shared" ref="G311" si="532">(G310-G309)/G309</f>
        <v>#DIV/0!</v>
      </c>
      <c r="H311" s="328" t="e">
        <f t="shared" ref="H311" si="533">(H310-H309)/H309</f>
        <v>#DIV/0!</v>
      </c>
      <c r="I311" s="328" t="e">
        <f t="shared" ref="I311" si="534">(I310-I309)/I309</f>
        <v>#DIV/0!</v>
      </c>
      <c r="J311" s="328" t="e">
        <f t="shared" ref="J311" si="535">(J310-J309)/J309</f>
        <v>#DIV/0!</v>
      </c>
      <c r="K311" s="328" t="e">
        <f t="shared" ref="K311" si="536">(K310-K309)/K309</f>
        <v>#DIV/0!</v>
      </c>
      <c r="L311" s="329" t="e">
        <f t="shared" ref="L311" si="537">(L310-L309)/L309</f>
        <v>#DIV/0!</v>
      </c>
      <c r="M311" s="330" t="e">
        <f t="shared" ref="M311" si="538">(M310-M309)/M309</f>
        <v>#DIV/0!</v>
      </c>
      <c r="N311" s="331" t="e">
        <f>(N310-N309)/N309</f>
        <v>#DIV/0!</v>
      </c>
    </row>
    <row r="312" spans="2:14" ht="12" customHeight="1" thickBot="1"/>
    <row r="313" spans="2:14" ht="12" customHeight="1">
      <c r="B313" s="23" t="s">
        <v>237</v>
      </c>
      <c r="C313" s="346" t="s">
        <v>29</v>
      </c>
      <c r="D313" s="347"/>
      <c r="E313" s="346" t="s">
        <v>30</v>
      </c>
      <c r="F313" s="347"/>
      <c r="G313" s="353" t="s">
        <v>31</v>
      </c>
      <c r="H313" s="347"/>
      <c r="I313" s="353" t="s">
        <v>58</v>
      </c>
      <c r="J313" s="347"/>
      <c r="K313" s="346" t="s">
        <v>57</v>
      </c>
      <c r="L313" s="345"/>
      <c r="M313" s="344" t="s">
        <v>5</v>
      </c>
      <c r="N313" s="345"/>
    </row>
    <row r="314" spans="2:14" ht="12" customHeight="1" thickBot="1">
      <c r="B314" s="314"/>
      <c r="C314" s="315" t="s">
        <v>34</v>
      </c>
      <c r="D314" s="315" t="s">
        <v>35</v>
      </c>
      <c r="E314" s="315" t="s">
        <v>34</v>
      </c>
      <c r="F314" s="315" t="s">
        <v>35</v>
      </c>
      <c r="G314" s="315" t="s">
        <v>34</v>
      </c>
      <c r="H314" s="315" t="s">
        <v>35</v>
      </c>
      <c r="I314" s="315" t="s">
        <v>59</v>
      </c>
      <c r="J314" s="315" t="s">
        <v>60</v>
      </c>
      <c r="K314" s="315" t="s">
        <v>34</v>
      </c>
      <c r="L314" s="322" t="s">
        <v>35</v>
      </c>
      <c r="M314" s="324" t="s">
        <v>34</v>
      </c>
      <c r="N314" s="316" t="s">
        <v>35</v>
      </c>
    </row>
    <row r="315" spans="2:14" ht="12" customHeight="1" thickTop="1">
      <c r="B315" s="311">
        <f>B309</f>
        <v>43617</v>
      </c>
      <c r="C315" s="312">
        <v>0</v>
      </c>
      <c r="D315" s="312">
        <v>0</v>
      </c>
      <c r="E315" s="312">
        <v>0</v>
      </c>
      <c r="F315" s="312">
        <v>0</v>
      </c>
      <c r="G315" s="312">
        <v>0</v>
      </c>
      <c r="H315" s="312">
        <v>0</v>
      </c>
      <c r="I315" s="312">
        <v>0</v>
      </c>
      <c r="J315" s="312">
        <v>0</v>
      </c>
      <c r="K315" s="312">
        <v>0</v>
      </c>
      <c r="L315" s="312">
        <v>0</v>
      </c>
      <c r="M315" s="325">
        <f t="shared" ref="M315:M316" si="539">+C315+E315+G315+I315+K315</f>
        <v>0</v>
      </c>
      <c r="N315" s="313">
        <f>+D315+F315+H315+J315+L315</f>
        <v>0</v>
      </c>
    </row>
    <row r="316" spans="2:14" ht="12" customHeight="1">
      <c r="B316" s="309">
        <f>B310</f>
        <v>43983</v>
      </c>
      <c r="C316" s="304">
        <f>'外国語実績201201-201712'!C2598</f>
        <v>0</v>
      </c>
      <c r="D316" s="304">
        <f>'外国語実績201201-201712'!D2598</f>
        <v>0</v>
      </c>
      <c r="E316" s="304">
        <f>'外国語実績201201-201712'!E2598</f>
        <v>0</v>
      </c>
      <c r="F316" s="304">
        <f>'外国語実績201201-201712'!F2598</f>
        <v>0</v>
      </c>
      <c r="G316" s="304">
        <f>'外国語実績201201-201712'!G2598</f>
        <v>0</v>
      </c>
      <c r="H316" s="304">
        <f>'外国語実績201201-201712'!H2598</f>
        <v>0</v>
      </c>
      <c r="I316" s="304">
        <f>'外国語実績201201-201712'!I2598</f>
        <v>0</v>
      </c>
      <c r="J316" s="304">
        <f>'外国語実績201201-201712'!J2598</f>
        <v>0</v>
      </c>
      <c r="K316" s="304">
        <f>'外国語実績201201-201712'!K2598</f>
        <v>0</v>
      </c>
      <c r="L316" s="304">
        <f>'外国語実績201201-201712'!L2598</f>
        <v>0</v>
      </c>
      <c r="M316" s="326">
        <f t="shared" si="539"/>
        <v>0</v>
      </c>
      <c r="N316" s="305">
        <f>+D316+F316+H316+J316+L316</f>
        <v>0</v>
      </c>
    </row>
    <row r="317" spans="2:14" ht="12" customHeight="1" thickBot="1">
      <c r="B317" s="310" t="s">
        <v>241</v>
      </c>
      <c r="C317" s="328" t="e">
        <f>(C316-C315)/C315</f>
        <v>#DIV/0!</v>
      </c>
      <c r="D317" s="328" t="e">
        <f t="shared" ref="D317" si="540">(D316-D315)/D315</f>
        <v>#DIV/0!</v>
      </c>
      <c r="E317" s="328" t="e">
        <f t="shared" ref="E317" si="541">(E316-E315)/E315</f>
        <v>#DIV/0!</v>
      </c>
      <c r="F317" s="328" t="e">
        <f t="shared" ref="F317" si="542">(F316-F315)/F315</f>
        <v>#DIV/0!</v>
      </c>
      <c r="G317" s="328" t="e">
        <f t="shared" ref="G317" si="543">(G316-G315)/G315</f>
        <v>#DIV/0!</v>
      </c>
      <c r="H317" s="328" t="e">
        <f t="shared" ref="H317" si="544">(H316-H315)/H315</f>
        <v>#DIV/0!</v>
      </c>
      <c r="I317" s="328" t="e">
        <f t="shared" ref="I317" si="545">(I316-I315)/I315</f>
        <v>#DIV/0!</v>
      </c>
      <c r="J317" s="328" t="e">
        <f t="shared" ref="J317" si="546">(J316-J315)/J315</f>
        <v>#DIV/0!</v>
      </c>
      <c r="K317" s="328" t="e">
        <f t="shared" ref="K317" si="547">(K316-K315)/K315</f>
        <v>#DIV/0!</v>
      </c>
      <c r="L317" s="329" t="e">
        <f t="shared" ref="L317" si="548">(L316-L315)/L315</f>
        <v>#DIV/0!</v>
      </c>
      <c r="M317" s="330" t="e">
        <f t="shared" ref="M317" si="549">(M316-M315)/M315</f>
        <v>#DIV/0!</v>
      </c>
      <c r="N317" s="331" t="e">
        <f>(N316-N315)/N315</f>
        <v>#DIV/0!</v>
      </c>
    </row>
    <row r="318" spans="2:14" ht="12" customHeight="1" thickBot="1"/>
    <row r="319" spans="2:14" ht="12" customHeight="1">
      <c r="B319" s="23" t="s">
        <v>248</v>
      </c>
      <c r="C319" s="346" t="s">
        <v>29</v>
      </c>
      <c r="D319" s="347"/>
      <c r="E319" s="346" t="s">
        <v>30</v>
      </c>
      <c r="F319" s="347"/>
      <c r="G319" s="353" t="s">
        <v>31</v>
      </c>
      <c r="H319" s="347"/>
      <c r="I319" s="353" t="s">
        <v>58</v>
      </c>
      <c r="J319" s="347"/>
      <c r="K319" s="346" t="s">
        <v>57</v>
      </c>
      <c r="L319" s="345"/>
      <c r="M319" s="344" t="s">
        <v>5</v>
      </c>
      <c r="N319" s="345"/>
    </row>
    <row r="320" spans="2:14" ht="12" customHeight="1" thickBot="1">
      <c r="B320" s="314"/>
      <c r="C320" s="315" t="s">
        <v>34</v>
      </c>
      <c r="D320" s="315" t="s">
        <v>35</v>
      </c>
      <c r="E320" s="315" t="s">
        <v>34</v>
      </c>
      <c r="F320" s="315" t="s">
        <v>35</v>
      </c>
      <c r="G320" s="315" t="s">
        <v>34</v>
      </c>
      <c r="H320" s="315" t="s">
        <v>35</v>
      </c>
      <c r="I320" s="315" t="s">
        <v>59</v>
      </c>
      <c r="J320" s="315" t="s">
        <v>60</v>
      </c>
      <c r="K320" s="315" t="s">
        <v>34</v>
      </c>
      <c r="L320" s="322" t="s">
        <v>35</v>
      </c>
      <c r="M320" s="324" t="s">
        <v>34</v>
      </c>
      <c r="N320" s="316" t="s">
        <v>35</v>
      </c>
    </row>
    <row r="321" spans="2:14" ht="12" customHeight="1" thickTop="1">
      <c r="B321" s="311">
        <f>B315</f>
        <v>43617</v>
      </c>
      <c r="C321" s="312">
        <v>0</v>
      </c>
      <c r="D321" s="312">
        <v>0</v>
      </c>
      <c r="E321" s="312">
        <v>0</v>
      </c>
      <c r="F321" s="312">
        <v>0</v>
      </c>
      <c r="G321" s="312">
        <v>0</v>
      </c>
      <c r="H321" s="312">
        <v>0</v>
      </c>
      <c r="I321" s="312">
        <v>0</v>
      </c>
      <c r="J321" s="312">
        <v>0</v>
      </c>
      <c r="K321" s="312">
        <v>0</v>
      </c>
      <c r="L321" s="312">
        <v>0</v>
      </c>
      <c r="M321" s="325">
        <f t="shared" ref="M321:M322" si="550">+C321+E321+G321+I321+K321</f>
        <v>0</v>
      </c>
      <c r="N321" s="313">
        <f>+D321+F321+H321+J321+L321</f>
        <v>0</v>
      </c>
    </row>
    <row r="322" spans="2:14" ht="13.5">
      <c r="B322" s="309">
        <f>B316</f>
        <v>43983</v>
      </c>
      <c r="C322" s="304">
        <f>'外国語実績201201-201712'!C2627</f>
        <v>0</v>
      </c>
      <c r="D322" s="304">
        <f>'外国語実績201201-201712'!D2627</f>
        <v>0</v>
      </c>
      <c r="E322" s="304">
        <f>'外国語実績201201-201712'!E2627</f>
        <v>0</v>
      </c>
      <c r="F322" s="304">
        <f>'外国語実績201201-201712'!F2627</f>
        <v>0</v>
      </c>
      <c r="G322" s="304">
        <f>'外国語実績201201-201712'!G2627</f>
        <v>0</v>
      </c>
      <c r="H322" s="304">
        <f>'外国語実績201201-201712'!H2627</f>
        <v>0</v>
      </c>
      <c r="I322" s="304">
        <f>'外国語実績201201-201712'!I2627</f>
        <v>0</v>
      </c>
      <c r="J322" s="304">
        <f>'外国語実績201201-201712'!J2627</f>
        <v>0</v>
      </c>
      <c r="K322" s="304">
        <f>'外国語実績201201-201712'!K2627</f>
        <v>0</v>
      </c>
      <c r="L322" s="304">
        <f>'外国語実績201201-201712'!L2627</f>
        <v>0</v>
      </c>
      <c r="M322" s="326">
        <f t="shared" si="550"/>
        <v>0</v>
      </c>
      <c r="N322" s="305">
        <f>+D322+F322+H322+J322+L322</f>
        <v>0</v>
      </c>
    </row>
    <row r="323" spans="2:14" ht="14.25" thickBot="1">
      <c r="B323" s="310" t="s">
        <v>241</v>
      </c>
      <c r="C323" s="328" t="e">
        <f>(C322-C321)/C321</f>
        <v>#DIV/0!</v>
      </c>
      <c r="D323" s="328" t="e">
        <f t="shared" ref="D323:M323" si="551">(D322-D321)/D321</f>
        <v>#DIV/0!</v>
      </c>
      <c r="E323" s="328" t="e">
        <f t="shared" si="551"/>
        <v>#DIV/0!</v>
      </c>
      <c r="F323" s="328" t="e">
        <f t="shared" si="551"/>
        <v>#DIV/0!</v>
      </c>
      <c r="G323" s="328" t="e">
        <f t="shared" si="551"/>
        <v>#DIV/0!</v>
      </c>
      <c r="H323" s="328" t="e">
        <f t="shared" si="551"/>
        <v>#DIV/0!</v>
      </c>
      <c r="I323" s="328" t="e">
        <f t="shared" si="551"/>
        <v>#DIV/0!</v>
      </c>
      <c r="J323" s="328" t="e">
        <f t="shared" si="551"/>
        <v>#DIV/0!</v>
      </c>
      <c r="K323" s="328" t="e">
        <f t="shared" si="551"/>
        <v>#DIV/0!</v>
      </c>
      <c r="L323" s="329" t="e">
        <f t="shared" si="551"/>
        <v>#DIV/0!</v>
      </c>
      <c r="M323" s="330" t="e">
        <f t="shared" si="551"/>
        <v>#DIV/0!</v>
      </c>
      <c r="N323" s="331" t="e">
        <f>(N322-N321)/N321</f>
        <v>#DIV/0!</v>
      </c>
    </row>
    <row r="324" spans="2:14" ht="14.25" thickBot="1">
      <c r="B324" s="320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</row>
    <row r="325" spans="2:14" ht="13.5">
      <c r="B325" s="307" t="s">
        <v>240</v>
      </c>
      <c r="C325" s="350" t="s">
        <v>29</v>
      </c>
      <c r="D325" s="351"/>
      <c r="E325" s="350" t="s">
        <v>30</v>
      </c>
      <c r="F325" s="351"/>
      <c r="G325" s="352" t="s">
        <v>31</v>
      </c>
      <c r="H325" s="351"/>
      <c r="I325" s="352" t="s">
        <v>58</v>
      </c>
      <c r="J325" s="351"/>
      <c r="K325" s="352" t="s">
        <v>57</v>
      </c>
      <c r="L325" s="349"/>
      <c r="M325" s="348" t="s">
        <v>5</v>
      </c>
      <c r="N325" s="349"/>
    </row>
    <row r="326" spans="2:14" ht="12.75" thickBot="1">
      <c r="B326" s="314"/>
      <c r="C326" s="315" t="s">
        <v>34</v>
      </c>
      <c r="D326" s="315" t="s">
        <v>35</v>
      </c>
      <c r="E326" s="315" t="s">
        <v>34</v>
      </c>
      <c r="F326" s="315" t="s">
        <v>35</v>
      </c>
      <c r="G326" s="315" t="s">
        <v>34</v>
      </c>
      <c r="H326" s="315" t="s">
        <v>35</v>
      </c>
      <c r="I326" s="315" t="s">
        <v>59</v>
      </c>
      <c r="J326" s="315" t="s">
        <v>60</v>
      </c>
      <c r="K326" s="315" t="s">
        <v>34</v>
      </c>
      <c r="L326" s="322" t="s">
        <v>35</v>
      </c>
      <c r="M326" s="324" t="s">
        <v>34</v>
      </c>
      <c r="N326" s="316" t="s">
        <v>35</v>
      </c>
    </row>
    <row r="327" spans="2:14" ht="14.25" thickTop="1">
      <c r="B327" s="311">
        <f>B315</f>
        <v>43617</v>
      </c>
      <c r="C327" s="312">
        <f>C21+C27+C33+C39+C45+C51+C57+C63+C69+C75+C81+C87+C93+C99+C105+C111+C117+C123+C129+C135+C141+C147+C153+C159+C165+C171+C177+C183+C189+C195+C201+C207+C213+C219+C225+C231+C237+C243+C249+C255+C261+C267+C273+C279+C285+C291+C297+C303+C309+C315+C321</f>
        <v>3088</v>
      </c>
      <c r="D327" s="312">
        <f t="shared" ref="D327:L327" si="552">D21+D27+D33+D39+D45+D51+D57+D63+D69+D75+D81+D87+D93+D99+D105+D111+D117+D123+D129+D135+D141+D147+D153+D159+D165+D171+D177+D183+D189+D195+D201+D207+D213+D219+D225+D231+D237+D243+D249+D255+D261+D267+D273+D279+D285+D291+D297+D303+D309+D315+D321</f>
        <v>5895</v>
      </c>
      <c r="E327" s="312">
        <f t="shared" si="552"/>
        <v>332</v>
      </c>
      <c r="F327" s="312">
        <f t="shared" si="552"/>
        <v>316</v>
      </c>
      <c r="G327" s="312">
        <f t="shared" si="552"/>
        <v>2209</v>
      </c>
      <c r="H327" s="312">
        <f t="shared" si="552"/>
        <v>4961</v>
      </c>
      <c r="I327" s="312">
        <f t="shared" si="552"/>
        <v>1099</v>
      </c>
      <c r="J327" s="312">
        <f t="shared" si="552"/>
        <v>3182</v>
      </c>
      <c r="K327" s="312">
        <f t="shared" si="552"/>
        <v>303</v>
      </c>
      <c r="L327" s="312">
        <f t="shared" si="552"/>
        <v>772</v>
      </c>
      <c r="M327" s="325">
        <f t="shared" ref="M327" si="553">+C327+E327+G327+I327+K327</f>
        <v>7031</v>
      </c>
      <c r="N327" s="313">
        <f>+D327+F327+H327+J327+L327</f>
        <v>15126</v>
      </c>
    </row>
    <row r="328" spans="2:14" ht="13.5">
      <c r="B328" s="309">
        <f>B316</f>
        <v>43983</v>
      </c>
      <c r="C328" s="327">
        <f>C22+C28+C34+C40+C46+C52+C58+C64+C70+C76+C82+C88+C94+C100+C106+C112+C118+C124+C130+C136+C142+C148+C154+C160+C166+C172+C178+C184+C190+C196+C202+C208+C214+C220+C226+C232+C238+C244+C250+C256+C262+C268+C274+C280+C286+C292+C298+C304+C310+C316+C322</f>
        <v>143</v>
      </c>
      <c r="D328" s="327">
        <f t="shared" ref="D328:L328" si="554">D22+D28+D34+D40+D46+D52+D58+D64+D70+D76+D82+D88+D94+D100+D106+D112+D118+D124+D130+D136+D142+D148+D154+D160+D166+D172+D178+D184+D190+D196+D202+D208+D214+D220+D226+D232+D238+D244+D250+D256+D262+D268+D274+D280+D286+D292+D298+D304+D310+D316+D322</f>
        <v>198</v>
      </c>
      <c r="E328" s="327">
        <f t="shared" si="554"/>
        <v>5</v>
      </c>
      <c r="F328" s="327">
        <f t="shared" si="554"/>
        <v>7</v>
      </c>
      <c r="G328" s="327">
        <f t="shared" si="554"/>
        <v>4</v>
      </c>
      <c r="H328" s="327">
        <f t="shared" si="554"/>
        <v>4</v>
      </c>
      <c r="I328" s="327">
        <f t="shared" si="554"/>
        <v>8</v>
      </c>
      <c r="J328" s="327">
        <f t="shared" si="554"/>
        <v>10</v>
      </c>
      <c r="K328" s="327">
        <f t="shared" si="554"/>
        <v>0</v>
      </c>
      <c r="L328" s="327">
        <f t="shared" si="554"/>
        <v>0</v>
      </c>
      <c r="M328" s="326">
        <f>+C328+E328+G328+I328+K328</f>
        <v>160</v>
      </c>
      <c r="N328" s="305">
        <f>+D328+F328+H328+J328+L328</f>
        <v>219</v>
      </c>
    </row>
    <row r="329" spans="2:14" ht="14.25" thickBot="1">
      <c r="B329" s="310" t="s">
        <v>241</v>
      </c>
      <c r="C329" s="328">
        <f>(C328-C327)/C327</f>
        <v>-0.95369170984455953</v>
      </c>
      <c r="D329" s="328">
        <f t="shared" ref="D329" si="555">(D328-D327)/D327</f>
        <v>-0.96641221374045805</v>
      </c>
      <c r="E329" s="328">
        <f t="shared" ref="E329" si="556">(E328-E327)/E327</f>
        <v>-0.98493975903614461</v>
      </c>
      <c r="F329" s="328">
        <f t="shared" ref="F329" si="557">(F328-F327)/F327</f>
        <v>-0.97784810126582278</v>
      </c>
      <c r="G329" s="328">
        <f t="shared" ref="G329" si="558">(G328-G327)/G327</f>
        <v>-0.99818922589406966</v>
      </c>
      <c r="H329" s="328">
        <f t="shared" ref="H329" si="559">(H328-H327)/H327</f>
        <v>-0.9991937109453739</v>
      </c>
      <c r="I329" s="328">
        <f t="shared" ref="I329" si="560">(I328-I327)/I327</f>
        <v>-0.99272065514103736</v>
      </c>
      <c r="J329" s="328">
        <f t="shared" ref="J329" si="561">(J328-J327)/J327</f>
        <v>-0.99685732243871783</v>
      </c>
      <c r="K329" s="328">
        <f t="shared" ref="K329" si="562">(K328-K327)/K327</f>
        <v>-1</v>
      </c>
      <c r="L329" s="329">
        <f t="shared" ref="L329" si="563">(L328-L327)/L327</f>
        <v>-1</v>
      </c>
      <c r="M329" s="330">
        <f t="shared" ref="M329" si="564">(M328-M327)/M327</f>
        <v>-0.97724363532925618</v>
      </c>
      <c r="N329" s="331">
        <f>(N328-N327)/N327</f>
        <v>-0.98552161840539465</v>
      </c>
    </row>
  </sheetData>
  <mergeCells count="1">
    <mergeCell ref="B7:K7"/>
  </mergeCells>
  <phoneticPr fontId="28"/>
  <pageMargins left="0.7" right="0.7" top="0.28000000000000003" bottom="0.3" header="0.24" footer="0.24"/>
  <pageSetup paperSize="9" scale="68" fitToHeight="0" orientation="portrait" r:id="rId1"/>
  <rowBreaks count="2" manualBreakCount="2">
    <brk id="112" max="13" man="1"/>
    <brk id="218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207"/>
  <sheetViews>
    <sheetView tabSelected="1" view="pageBreakPreview" topLeftCell="A148" zoomScale="25" zoomScaleNormal="40" zoomScaleSheetLayoutView="25" workbookViewId="0">
      <pane xSplit="1" topLeftCell="V1" activePane="topRight" state="frozen"/>
      <selection pane="topRight" activeCell="AK167" sqref="AK167"/>
    </sheetView>
  </sheetViews>
  <sheetFormatPr defaultRowHeight="30.75"/>
  <cols>
    <col min="1" max="5" width="21.75" style="24" customWidth="1"/>
    <col min="6" max="8" width="21.75" style="25" customWidth="1"/>
    <col min="9" max="12" width="21.75" style="24" customWidth="1"/>
    <col min="13" max="13" width="21.75" style="25" customWidth="1"/>
    <col min="14" max="19" width="21.75" style="24" customWidth="1"/>
    <col min="20" max="20" width="21.75" style="25" customWidth="1"/>
    <col min="21" max="26" width="21.75" style="24" customWidth="1"/>
    <col min="27" max="27" width="21.75" style="25" customWidth="1"/>
    <col min="28" max="32" width="21.75" style="24" customWidth="1"/>
    <col min="33" max="33" width="21.75" style="25" customWidth="1"/>
    <col min="34" max="36" width="21.75" style="24" customWidth="1"/>
    <col min="37" max="40" width="21.75" style="25" customWidth="1"/>
    <col min="41" max="46" width="21.75" style="24" customWidth="1"/>
    <col min="47" max="47" width="21.75" style="25" customWidth="1"/>
    <col min="48" max="59" width="21.75" style="24" customWidth="1"/>
    <col min="60" max="63" width="20.75" style="24" customWidth="1"/>
    <col min="64" max="64" width="21.125" style="24" customWidth="1"/>
    <col min="65" max="65" width="22.25" style="24" customWidth="1"/>
    <col min="66" max="73" width="22.75" style="24" customWidth="1"/>
    <col min="74" max="85" width="30.75" style="24" customWidth="1"/>
    <col min="86" max="90" width="31" style="24" customWidth="1"/>
    <col min="91" max="284" width="9" style="24"/>
    <col min="285" max="285" width="7.875" style="24" customWidth="1"/>
    <col min="286" max="289" width="6.875" style="24" customWidth="1"/>
    <col min="290" max="290" width="6.5" style="24" customWidth="1"/>
    <col min="291" max="294" width="6.75" style="24" customWidth="1"/>
    <col min="295" max="295" width="6.5" style="24" customWidth="1"/>
    <col min="296" max="299" width="6.75" style="24" customWidth="1"/>
    <col min="300" max="300" width="6.5" style="24" customWidth="1"/>
    <col min="301" max="304" width="6.75" style="24" customWidth="1"/>
    <col min="305" max="305" width="6.5" style="24" customWidth="1"/>
    <col min="306" max="308" width="6.75" style="24" customWidth="1"/>
    <col min="309" max="309" width="6.5" style="24" customWidth="1"/>
    <col min="310" max="312" width="6.75" style="24" customWidth="1"/>
    <col min="313" max="314" width="6.5" style="24" customWidth="1"/>
    <col min="315" max="318" width="6.75" style="24" customWidth="1"/>
    <col min="319" max="319" width="6.5" style="24" customWidth="1"/>
    <col min="320" max="540" width="9" style="24"/>
    <col min="541" max="541" width="7.875" style="24" customWidth="1"/>
    <col min="542" max="545" width="6.875" style="24" customWidth="1"/>
    <col min="546" max="546" width="6.5" style="24" customWidth="1"/>
    <col min="547" max="550" width="6.75" style="24" customWidth="1"/>
    <col min="551" max="551" width="6.5" style="24" customWidth="1"/>
    <col min="552" max="555" width="6.75" style="24" customWidth="1"/>
    <col min="556" max="556" width="6.5" style="24" customWidth="1"/>
    <col min="557" max="560" width="6.75" style="24" customWidth="1"/>
    <col min="561" max="561" width="6.5" style="24" customWidth="1"/>
    <col min="562" max="564" width="6.75" style="24" customWidth="1"/>
    <col min="565" max="565" width="6.5" style="24" customWidth="1"/>
    <col min="566" max="568" width="6.75" style="24" customWidth="1"/>
    <col min="569" max="570" width="6.5" style="24" customWidth="1"/>
    <col min="571" max="574" width="6.75" style="24" customWidth="1"/>
    <col min="575" max="575" width="6.5" style="24" customWidth="1"/>
    <col min="576" max="796" width="9" style="24"/>
    <col min="797" max="797" width="7.875" style="24" customWidth="1"/>
    <col min="798" max="801" width="6.875" style="24" customWidth="1"/>
    <col min="802" max="802" width="6.5" style="24" customWidth="1"/>
    <col min="803" max="806" width="6.75" style="24" customWidth="1"/>
    <col min="807" max="807" width="6.5" style="24" customWidth="1"/>
    <col min="808" max="811" width="6.75" style="24" customWidth="1"/>
    <col min="812" max="812" width="6.5" style="24" customWidth="1"/>
    <col min="813" max="816" width="6.75" style="24" customWidth="1"/>
    <col min="817" max="817" width="6.5" style="24" customWidth="1"/>
    <col min="818" max="820" width="6.75" style="24" customWidth="1"/>
    <col min="821" max="821" width="6.5" style="24" customWidth="1"/>
    <col min="822" max="824" width="6.75" style="24" customWidth="1"/>
    <col min="825" max="826" width="6.5" style="24" customWidth="1"/>
    <col min="827" max="830" width="6.75" style="24" customWidth="1"/>
    <col min="831" max="831" width="6.5" style="24" customWidth="1"/>
    <col min="832" max="1052" width="9" style="24"/>
    <col min="1053" max="1053" width="7.875" style="24" customWidth="1"/>
    <col min="1054" max="1057" width="6.875" style="24" customWidth="1"/>
    <col min="1058" max="1058" width="6.5" style="24" customWidth="1"/>
    <col min="1059" max="1062" width="6.75" style="24" customWidth="1"/>
    <col min="1063" max="1063" width="6.5" style="24" customWidth="1"/>
    <col min="1064" max="1067" width="6.75" style="24" customWidth="1"/>
    <col min="1068" max="1068" width="6.5" style="24" customWidth="1"/>
    <col min="1069" max="1072" width="6.75" style="24" customWidth="1"/>
    <col min="1073" max="1073" width="6.5" style="24" customWidth="1"/>
    <col min="1074" max="1076" width="6.75" style="24" customWidth="1"/>
    <col min="1077" max="1077" width="6.5" style="24" customWidth="1"/>
    <col min="1078" max="1080" width="6.75" style="24" customWidth="1"/>
    <col min="1081" max="1082" width="6.5" style="24" customWidth="1"/>
    <col min="1083" max="1086" width="6.75" style="24" customWidth="1"/>
    <col min="1087" max="1087" width="6.5" style="24" customWidth="1"/>
    <col min="1088" max="1308" width="9" style="24"/>
    <col min="1309" max="1309" width="7.875" style="24" customWidth="1"/>
    <col min="1310" max="1313" width="6.875" style="24" customWidth="1"/>
    <col min="1314" max="1314" width="6.5" style="24" customWidth="1"/>
    <col min="1315" max="1318" width="6.75" style="24" customWidth="1"/>
    <col min="1319" max="1319" width="6.5" style="24" customWidth="1"/>
    <col min="1320" max="1323" width="6.75" style="24" customWidth="1"/>
    <col min="1324" max="1324" width="6.5" style="24" customWidth="1"/>
    <col min="1325" max="1328" width="6.75" style="24" customWidth="1"/>
    <col min="1329" max="1329" width="6.5" style="24" customWidth="1"/>
    <col min="1330" max="1332" width="6.75" style="24" customWidth="1"/>
    <col min="1333" max="1333" width="6.5" style="24" customWidth="1"/>
    <col min="1334" max="1336" width="6.75" style="24" customWidth="1"/>
    <col min="1337" max="1338" width="6.5" style="24" customWidth="1"/>
    <col min="1339" max="1342" width="6.75" style="24" customWidth="1"/>
    <col min="1343" max="1343" width="6.5" style="24" customWidth="1"/>
    <col min="1344" max="1564" width="9" style="24"/>
    <col min="1565" max="1565" width="7.875" style="24" customWidth="1"/>
    <col min="1566" max="1569" width="6.875" style="24" customWidth="1"/>
    <col min="1570" max="1570" width="6.5" style="24" customWidth="1"/>
    <col min="1571" max="1574" width="6.75" style="24" customWidth="1"/>
    <col min="1575" max="1575" width="6.5" style="24" customWidth="1"/>
    <col min="1576" max="1579" width="6.75" style="24" customWidth="1"/>
    <col min="1580" max="1580" width="6.5" style="24" customWidth="1"/>
    <col min="1581" max="1584" width="6.75" style="24" customWidth="1"/>
    <col min="1585" max="1585" width="6.5" style="24" customWidth="1"/>
    <col min="1586" max="1588" width="6.75" style="24" customWidth="1"/>
    <col min="1589" max="1589" width="6.5" style="24" customWidth="1"/>
    <col min="1590" max="1592" width="6.75" style="24" customWidth="1"/>
    <col min="1593" max="1594" width="6.5" style="24" customWidth="1"/>
    <col min="1595" max="1598" width="6.75" style="24" customWidth="1"/>
    <col min="1599" max="1599" width="6.5" style="24" customWidth="1"/>
    <col min="1600" max="1820" width="9" style="24"/>
    <col min="1821" max="1821" width="7.875" style="24" customWidth="1"/>
    <col min="1822" max="1825" width="6.875" style="24" customWidth="1"/>
    <col min="1826" max="1826" width="6.5" style="24" customWidth="1"/>
    <col min="1827" max="1830" width="6.75" style="24" customWidth="1"/>
    <col min="1831" max="1831" width="6.5" style="24" customWidth="1"/>
    <col min="1832" max="1835" width="6.75" style="24" customWidth="1"/>
    <col min="1836" max="1836" width="6.5" style="24" customWidth="1"/>
    <col min="1837" max="1840" width="6.75" style="24" customWidth="1"/>
    <col min="1841" max="1841" width="6.5" style="24" customWidth="1"/>
    <col min="1842" max="1844" width="6.75" style="24" customWidth="1"/>
    <col min="1845" max="1845" width="6.5" style="24" customWidth="1"/>
    <col min="1846" max="1848" width="6.75" style="24" customWidth="1"/>
    <col min="1849" max="1850" width="6.5" style="24" customWidth="1"/>
    <col min="1851" max="1854" width="6.75" style="24" customWidth="1"/>
    <col min="1855" max="1855" width="6.5" style="24" customWidth="1"/>
    <col min="1856" max="2076" width="9" style="24"/>
    <col min="2077" max="2077" width="7.875" style="24" customWidth="1"/>
    <col min="2078" max="2081" width="6.875" style="24" customWidth="1"/>
    <col min="2082" max="2082" width="6.5" style="24" customWidth="1"/>
    <col min="2083" max="2086" width="6.75" style="24" customWidth="1"/>
    <col min="2087" max="2087" width="6.5" style="24" customWidth="1"/>
    <col min="2088" max="2091" width="6.75" style="24" customWidth="1"/>
    <col min="2092" max="2092" width="6.5" style="24" customWidth="1"/>
    <col min="2093" max="2096" width="6.75" style="24" customWidth="1"/>
    <col min="2097" max="2097" width="6.5" style="24" customWidth="1"/>
    <col min="2098" max="2100" width="6.75" style="24" customWidth="1"/>
    <col min="2101" max="2101" width="6.5" style="24" customWidth="1"/>
    <col min="2102" max="2104" width="6.75" style="24" customWidth="1"/>
    <col min="2105" max="2106" width="6.5" style="24" customWidth="1"/>
    <col min="2107" max="2110" width="6.75" style="24" customWidth="1"/>
    <col min="2111" max="2111" width="6.5" style="24" customWidth="1"/>
    <col min="2112" max="2332" width="9" style="24"/>
    <col min="2333" max="2333" width="7.875" style="24" customWidth="1"/>
    <col min="2334" max="2337" width="6.875" style="24" customWidth="1"/>
    <col min="2338" max="2338" width="6.5" style="24" customWidth="1"/>
    <col min="2339" max="2342" width="6.75" style="24" customWidth="1"/>
    <col min="2343" max="2343" width="6.5" style="24" customWidth="1"/>
    <col min="2344" max="2347" width="6.75" style="24" customWidth="1"/>
    <col min="2348" max="2348" width="6.5" style="24" customWidth="1"/>
    <col min="2349" max="2352" width="6.75" style="24" customWidth="1"/>
    <col min="2353" max="2353" width="6.5" style="24" customWidth="1"/>
    <col min="2354" max="2356" width="6.75" style="24" customWidth="1"/>
    <col min="2357" max="2357" width="6.5" style="24" customWidth="1"/>
    <col min="2358" max="2360" width="6.75" style="24" customWidth="1"/>
    <col min="2361" max="2362" width="6.5" style="24" customWidth="1"/>
    <col min="2363" max="2366" width="6.75" style="24" customWidth="1"/>
    <col min="2367" max="2367" width="6.5" style="24" customWidth="1"/>
    <col min="2368" max="2588" width="9" style="24"/>
    <col min="2589" max="2589" width="7.875" style="24" customWidth="1"/>
    <col min="2590" max="2593" width="6.875" style="24" customWidth="1"/>
    <col min="2594" max="2594" width="6.5" style="24" customWidth="1"/>
    <col min="2595" max="2598" width="6.75" style="24" customWidth="1"/>
    <col min="2599" max="2599" width="6.5" style="24" customWidth="1"/>
    <col min="2600" max="2603" width="6.75" style="24" customWidth="1"/>
    <col min="2604" max="2604" width="6.5" style="24" customWidth="1"/>
    <col min="2605" max="2608" width="6.75" style="24" customWidth="1"/>
    <col min="2609" max="2609" width="6.5" style="24" customWidth="1"/>
    <col min="2610" max="2612" width="6.75" style="24" customWidth="1"/>
    <col min="2613" max="2613" width="6.5" style="24" customWidth="1"/>
    <col min="2614" max="2616" width="6.75" style="24" customWidth="1"/>
    <col min="2617" max="2618" width="6.5" style="24" customWidth="1"/>
    <col min="2619" max="2622" width="6.75" style="24" customWidth="1"/>
    <col min="2623" max="2623" width="6.5" style="24" customWidth="1"/>
    <col min="2624" max="2844" width="9" style="24"/>
    <col min="2845" max="2845" width="7.875" style="24" customWidth="1"/>
    <col min="2846" max="2849" width="6.875" style="24" customWidth="1"/>
    <col min="2850" max="2850" width="6.5" style="24" customWidth="1"/>
    <col min="2851" max="2854" width="6.75" style="24" customWidth="1"/>
    <col min="2855" max="2855" width="6.5" style="24" customWidth="1"/>
    <col min="2856" max="2859" width="6.75" style="24" customWidth="1"/>
    <col min="2860" max="2860" width="6.5" style="24" customWidth="1"/>
    <col min="2861" max="2864" width="6.75" style="24" customWidth="1"/>
    <col min="2865" max="2865" width="6.5" style="24" customWidth="1"/>
    <col min="2866" max="2868" width="6.75" style="24" customWidth="1"/>
    <col min="2869" max="2869" width="6.5" style="24" customWidth="1"/>
    <col min="2870" max="2872" width="6.75" style="24" customWidth="1"/>
    <col min="2873" max="2874" width="6.5" style="24" customWidth="1"/>
    <col min="2875" max="2878" width="6.75" style="24" customWidth="1"/>
    <col min="2879" max="2879" width="6.5" style="24" customWidth="1"/>
    <col min="2880" max="3100" width="9" style="24"/>
    <col min="3101" max="3101" width="7.875" style="24" customWidth="1"/>
    <col min="3102" max="3105" width="6.875" style="24" customWidth="1"/>
    <col min="3106" max="3106" width="6.5" style="24" customWidth="1"/>
    <col min="3107" max="3110" width="6.75" style="24" customWidth="1"/>
    <col min="3111" max="3111" width="6.5" style="24" customWidth="1"/>
    <col min="3112" max="3115" width="6.75" style="24" customWidth="1"/>
    <col min="3116" max="3116" width="6.5" style="24" customWidth="1"/>
    <col min="3117" max="3120" width="6.75" style="24" customWidth="1"/>
    <col min="3121" max="3121" width="6.5" style="24" customWidth="1"/>
    <col min="3122" max="3124" width="6.75" style="24" customWidth="1"/>
    <col min="3125" max="3125" width="6.5" style="24" customWidth="1"/>
    <col min="3126" max="3128" width="6.75" style="24" customWidth="1"/>
    <col min="3129" max="3130" width="6.5" style="24" customWidth="1"/>
    <col min="3131" max="3134" width="6.75" style="24" customWidth="1"/>
    <col min="3135" max="3135" width="6.5" style="24" customWidth="1"/>
    <col min="3136" max="3356" width="9" style="24"/>
    <col min="3357" max="3357" width="7.875" style="24" customWidth="1"/>
    <col min="3358" max="3361" width="6.875" style="24" customWidth="1"/>
    <col min="3362" max="3362" width="6.5" style="24" customWidth="1"/>
    <col min="3363" max="3366" width="6.75" style="24" customWidth="1"/>
    <col min="3367" max="3367" width="6.5" style="24" customWidth="1"/>
    <col min="3368" max="3371" width="6.75" style="24" customWidth="1"/>
    <col min="3372" max="3372" width="6.5" style="24" customWidth="1"/>
    <col min="3373" max="3376" width="6.75" style="24" customWidth="1"/>
    <col min="3377" max="3377" width="6.5" style="24" customWidth="1"/>
    <col min="3378" max="3380" width="6.75" style="24" customWidth="1"/>
    <col min="3381" max="3381" width="6.5" style="24" customWidth="1"/>
    <col min="3382" max="3384" width="6.75" style="24" customWidth="1"/>
    <col min="3385" max="3386" width="6.5" style="24" customWidth="1"/>
    <col min="3387" max="3390" width="6.75" style="24" customWidth="1"/>
    <col min="3391" max="3391" width="6.5" style="24" customWidth="1"/>
    <col min="3392" max="3612" width="9" style="24"/>
    <col min="3613" max="3613" width="7.875" style="24" customWidth="1"/>
    <col min="3614" max="3617" width="6.875" style="24" customWidth="1"/>
    <col min="3618" max="3618" width="6.5" style="24" customWidth="1"/>
    <col min="3619" max="3622" width="6.75" style="24" customWidth="1"/>
    <col min="3623" max="3623" width="6.5" style="24" customWidth="1"/>
    <col min="3624" max="3627" width="6.75" style="24" customWidth="1"/>
    <col min="3628" max="3628" width="6.5" style="24" customWidth="1"/>
    <col min="3629" max="3632" width="6.75" style="24" customWidth="1"/>
    <col min="3633" max="3633" width="6.5" style="24" customWidth="1"/>
    <col min="3634" max="3636" width="6.75" style="24" customWidth="1"/>
    <col min="3637" max="3637" width="6.5" style="24" customWidth="1"/>
    <col min="3638" max="3640" width="6.75" style="24" customWidth="1"/>
    <col min="3641" max="3642" width="6.5" style="24" customWidth="1"/>
    <col min="3643" max="3646" width="6.75" style="24" customWidth="1"/>
    <col min="3647" max="3647" width="6.5" style="24" customWidth="1"/>
    <col min="3648" max="3868" width="9" style="24"/>
    <col min="3869" max="3869" width="7.875" style="24" customWidth="1"/>
    <col min="3870" max="3873" width="6.875" style="24" customWidth="1"/>
    <col min="3874" max="3874" width="6.5" style="24" customWidth="1"/>
    <col min="3875" max="3878" width="6.75" style="24" customWidth="1"/>
    <col min="3879" max="3879" width="6.5" style="24" customWidth="1"/>
    <col min="3880" max="3883" width="6.75" style="24" customWidth="1"/>
    <col min="3884" max="3884" width="6.5" style="24" customWidth="1"/>
    <col min="3885" max="3888" width="6.75" style="24" customWidth="1"/>
    <col min="3889" max="3889" width="6.5" style="24" customWidth="1"/>
    <col min="3890" max="3892" width="6.75" style="24" customWidth="1"/>
    <col min="3893" max="3893" width="6.5" style="24" customWidth="1"/>
    <col min="3894" max="3896" width="6.75" style="24" customWidth="1"/>
    <col min="3897" max="3898" width="6.5" style="24" customWidth="1"/>
    <col min="3899" max="3902" width="6.75" style="24" customWidth="1"/>
    <col min="3903" max="3903" width="6.5" style="24" customWidth="1"/>
    <col min="3904" max="4124" width="9" style="24"/>
    <col min="4125" max="4125" width="7.875" style="24" customWidth="1"/>
    <col min="4126" max="4129" width="6.875" style="24" customWidth="1"/>
    <col min="4130" max="4130" width="6.5" style="24" customWidth="1"/>
    <col min="4131" max="4134" width="6.75" style="24" customWidth="1"/>
    <col min="4135" max="4135" width="6.5" style="24" customWidth="1"/>
    <col min="4136" max="4139" width="6.75" style="24" customWidth="1"/>
    <col min="4140" max="4140" width="6.5" style="24" customWidth="1"/>
    <col min="4141" max="4144" width="6.75" style="24" customWidth="1"/>
    <col min="4145" max="4145" width="6.5" style="24" customWidth="1"/>
    <col min="4146" max="4148" width="6.75" style="24" customWidth="1"/>
    <col min="4149" max="4149" width="6.5" style="24" customWidth="1"/>
    <col min="4150" max="4152" width="6.75" style="24" customWidth="1"/>
    <col min="4153" max="4154" width="6.5" style="24" customWidth="1"/>
    <col min="4155" max="4158" width="6.75" style="24" customWidth="1"/>
    <col min="4159" max="4159" width="6.5" style="24" customWidth="1"/>
    <col min="4160" max="4380" width="9" style="24"/>
    <col min="4381" max="4381" width="7.875" style="24" customWidth="1"/>
    <col min="4382" max="4385" width="6.875" style="24" customWidth="1"/>
    <col min="4386" max="4386" width="6.5" style="24" customWidth="1"/>
    <col min="4387" max="4390" width="6.75" style="24" customWidth="1"/>
    <col min="4391" max="4391" width="6.5" style="24" customWidth="1"/>
    <col min="4392" max="4395" width="6.75" style="24" customWidth="1"/>
    <col min="4396" max="4396" width="6.5" style="24" customWidth="1"/>
    <col min="4397" max="4400" width="6.75" style="24" customWidth="1"/>
    <col min="4401" max="4401" width="6.5" style="24" customWidth="1"/>
    <col min="4402" max="4404" width="6.75" style="24" customWidth="1"/>
    <col min="4405" max="4405" width="6.5" style="24" customWidth="1"/>
    <col min="4406" max="4408" width="6.75" style="24" customWidth="1"/>
    <col min="4409" max="4410" width="6.5" style="24" customWidth="1"/>
    <col min="4411" max="4414" width="6.75" style="24" customWidth="1"/>
    <col min="4415" max="4415" width="6.5" style="24" customWidth="1"/>
    <col min="4416" max="4636" width="9" style="24"/>
    <col min="4637" max="4637" width="7.875" style="24" customWidth="1"/>
    <col min="4638" max="4641" width="6.875" style="24" customWidth="1"/>
    <col min="4642" max="4642" width="6.5" style="24" customWidth="1"/>
    <col min="4643" max="4646" width="6.75" style="24" customWidth="1"/>
    <col min="4647" max="4647" width="6.5" style="24" customWidth="1"/>
    <col min="4648" max="4651" width="6.75" style="24" customWidth="1"/>
    <col min="4652" max="4652" width="6.5" style="24" customWidth="1"/>
    <col min="4653" max="4656" width="6.75" style="24" customWidth="1"/>
    <col min="4657" max="4657" width="6.5" style="24" customWidth="1"/>
    <col min="4658" max="4660" width="6.75" style="24" customWidth="1"/>
    <col min="4661" max="4661" width="6.5" style="24" customWidth="1"/>
    <col min="4662" max="4664" width="6.75" style="24" customWidth="1"/>
    <col min="4665" max="4666" width="6.5" style="24" customWidth="1"/>
    <col min="4667" max="4670" width="6.75" style="24" customWidth="1"/>
    <col min="4671" max="4671" width="6.5" style="24" customWidth="1"/>
    <col min="4672" max="4892" width="9" style="24"/>
    <col min="4893" max="4893" width="7.875" style="24" customWidth="1"/>
    <col min="4894" max="4897" width="6.875" style="24" customWidth="1"/>
    <col min="4898" max="4898" width="6.5" style="24" customWidth="1"/>
    <col min="4899" max="4902" width="6.75" style="24" customWidth="1"/>
    <col min="4903" max="4903" width="6.5" style="24" customWidth="1"/>
    <col min="4904" max="4907" width="6.75" style="24" customWidth="1"/>
    <col min="4908" max="4908" width="6.5" style="24" customWidth="1"/>
    <col min="4909" max="4912" width="6.75" style="24" customWidth="1"/>
    <col min="4913" max="4913" width="6.5" style="24" customWidth="1"/>
    <col min="4914" max="4916" width="6.75" style="24" customWidth="1"/>
    <col min="4917" max="4917" width="6.5" style="24" customWidth="1"/>
    <col min="4918" max="4920" width="6.75" style="24" customWidth="1"/>
    <col min="4921" max="4922" width="6.5" style="24" customWidth="1"/>
    <col min="4923" max="4926" width="6.75" style="24" customWidth="1"/>
    <col min="4927" max="4927" width="6.5" style="24" customWidth="1"/>
    <col min="4928" max="5148" width="9" style="24"/>
    <col min="5149" max="5149" width="7.875" style="24" customWidth="1"/>
    <col min="5150" max="5153" width="6.875" style="24" customWidth="1"/>
    <col min="5154" max="5154" width="6.5" style="24" customWidth="1"/>
    <col min="5155" max="5158" width="6.75" style="24" customWidth="1"/>
    <col min="5159" max="5159" width="6.5" style="24" customWidth="1"/>
    <col min="5160" max="5163" width="6.75" style="24" customWidth="1"/>
    <col min="5164" max="5164" width="6.5" style="24" customWidth="1"/>
    <col min="5165" max="5168" width="6.75" style="24" customWidth="1"/>
    <col min="5169" max="5169" width="6.5" style="24" customWidth="1"/>
    <col min="5170" max="5172" width="6.75" style="24" customWidth="1"/>
    <col min="5173" max="5173" width="6.5" style="24" customWidth="1"/>
    <col min="5174" max="5176" width="6.75" style="24" customWidth="1"/>
    <col min="5177" max="5178" width="6.5" style="24" customWidth="1"/>
    <col min="5179" max="5182" width="6.75" style="24" customWidth="1"/>
    <col min="5183" max="5183" width="6.5" style="24" customWidth="1"/>
    <col min="5184" max="5404" width="9" style="24"/>
    <col min="5405" max="5405" width="7.875" style="24" customWidth="1"/>
    <col min="5406" max="5409" width="6.875" style="24" customWidth="1"/>
    <col min="5410" max="5410" width="6.5" style="24" customWidth="1"/>
    <col min="5411" max="5414" width="6.75" style="24" customWidth="1"/>
    <col min="5415" max="5415" width="6.5" style="24" customWidth="1"/>
    <col min="5416" max="5419" width="6.75" style="24" customWidth="1"/>
    <col min="5420" max="5420" width="6.5" style="24" customWidth="1"/>
    <col min="5421" max="5424" width="6.75" style="24" customWidth="1"/>
    <col min="5425" max="5425" width="6.5" style="24" customWidth="1"/>
    <col min="5426" max="5428" width="6.75" style="24" customWidth="1"/>
    <col min="5429" max="5429" width="6.5" style="24" customWidth="1"/>
    <col min="5430" max="5432" width="6.75" style="24" customWidth="1"/>
    <col min="5433" max="5434" width="6.5" style="24" customWidth="1"/>
    <col min="5435" max="5438" width="6.75" style="24" customWidth="1"/>
    <col min="5439" max="5439" width="6.5" style="24" customWidth="1"/>
    <col min="5440" max="5660" width="9" style="24"/>
    <col min="5661" max="5661" width="7.875" style="24" customWidth="1"/>
    <col min="5662" max="5665" width="6.875" style="24" customWidth="1"/>
    <col min="5666" max="5666" width="6.5" style="24" customWidth="1"/>
    <col min="5667" max="5670" width="6.75" style="24" customWidth="1"/>
    <col min="5671" max="5671" width="6.5" style="24" customWidth="1"/>
    <col min="5672" max="5675" width="6.75" style="24" customWidth="1"/>
    <col min="5676" max="5676" width="6.5" style="24" customWidth="1"/>
    <col min="5677" max="5680" width="6.75" style="24" customWidth="1"/>
    <col min="5681" max="5681" width="6.5" style="24" customWidth="1"/>
    <col min="5682" max="5684" width="6.75" style="24" customWidth="1"/>
    <col min="5685" max="5685" width="6.5" style="24" customWidth="1"/>
    <col min="5686" max="5688" width="6.75" style="24" customWidth="1"/>
    <col min="5689" max="5690" width="6.5" style="24" customWidth="1"/>
    <col min="5691" max="5694" width="6.75" style="24" customWidth="1"/>
    <col min="5695" max="5695" width="6.5" style="24" customWidth="1"/>
    <col min="5696" max="5916" width="9" style="24"/>
    <col min="5917" max="5917" width="7.875" style="24" customWidth="1"/>
    <col min="5918" max="5921" width="6.875" style="24" customWidth="1"/>
    <col min="5922" max="5922" width="6.5" style="24" customWidth="1"/>
    <col min="5923" max="5926" width="6.75" style="24" customWidth="1"/>
    <col min="5927" max="5927" width="6.5" style="24" customWidth="1"/>
    <col min="5928" max="5931" width="6.75" style="24" customWidth="1"/>
    <col min="5932" max="5932" width="6.5" style="24" customWidth="1"/>
    <col min="5933" max="5936" width="6.75" style="24" customWidth="1"/>
    <col min="5937" max="5937" width="6.5" style="24" customWidth="1"/>
    <col min="5938" max="5940" width="6.75" style="24" customWidth="1"/>
    <col min="5941" max="5941" width="6.5" style="24" customWidth="1"/>
    <col min="5942" max="5944" width="6.75" style="24" customWidth="1"/>
    <col min="5945" max="5946" width="6.5" style="24" customWidth="1"/>
    <col min="5947" max="5950" width="6.75" style="24" customWidth="1"/>
    <col min="5951" max="5951" width="6.5" style="24" customWidth="1"/>
    <col min="5952" max="6172" width="9" style="24"/>
    <col min="6173" max="6173" width="7.875" style="24" customWidth="1"/>
    <col min="6174" max="6177" width="6.875" style="24" customWidth="1"/>
    <col min="6178" max="6178" width="6.5" style="24" customWidth="1"/>
    <col min="6179" max="6182" width="6.75" style="24" customWidth="1"/>
    <col min="6183" max="6183" width="6.5" style="24" customWidth="1"/>
    <col min="6184" max="6187" width="6.75" style="24" customWidth="1"/>
    <col min="6188" max="6188" width="6.5" style="24" customWidth="1"/>
    <col min="6189" max="6192" width="6.75" style="24" customWidth="1"/>
    <col min="6193" max="6193" width="6.5" style="24" customWidth="1"/>
    <col min="6194" max="6196" width="6.75" style="24" customWidth="1"/>
    <col min="6197" max="6197" width="6.5" style="24" customWidth="1"/>
    <col min="6198" max="6200" width="6.75" style="24" customWidth="1"/>
    <col min="6201" max="6202" width="6.5" style="24" customWidth="1"/>
    <col min="6203" max="6206" width="6.75" style="24" customWidth="1"/>
    <col min="6207" max="6207" width="6.5" style="24" customWidth="1"/>
    <col min="6208" max="6428" width="9" style="24"/>
    <col min="6429" max="6429" width="7.875" style="24" customWidth="1"/>
    <col min="6430" max="6433" width="6.875" style="24" customWidth="1"/>
    <col min="6434" max="6434" width="6.5" style="24" customWidth="1"/>
    <col min="6435" max="6438" width="6.75" style="24" customWidth="1"/>
    <col min="6439" max="6439" width="6.5" style="24" customWidth="1"/>
    <col min="6440" max="6443" width="6.75" style="24" customWidth="1"/>
    <col min="6444" max="6444" width="6.5" style="24" customWidth="1"/>
    <col min="6445" max="6448" width="6.75" style="24" customWidth="1"/>
    <col min="6449" max="6449" width="6.5" style="24" customWidth="1"/>
    <col min="6450" max="6452" width="6.75" style="24" customWidth="1"/>
    <col min="6453" max="6453" width="6.5" style="24" customWidth="1"/>
    <col min="6454" max="6456" width="6.75" style="24" customWidth="1"/>
    <col min="6457" max="6458" width="6.5" style="24" customWidth="1"/>
    <col min="6459" max="6462" width="6.75" style="24" customWidth="1"/>
    <col min="6463" max="6463" width="6.5" style="24" customWidth="1"/>
    <col min="6464" max="6684" width="9" style="24"/>
    <col min="6685" max="6685" width="7.875" style="24" customWidth="1"/>
    <col min="6686" max="6689" width="6.875" style="24" customWidth="1"/>
    <col min="6690" max="6690" width="6.5" style="24" customWidth="1"/>
    <col min="6691" max="6694" width="6.75" style="24" customWidth="1"/>
    <col min="6695" max="6695" width="6.5" style="24" customWidth="1"/>
    <col min="6696" max="6699" width="6.75" style="24" customWidth="1"/>
    <col min="6700" max="6700" width="6.5" style="24" customWidth="1"/>
    <col min="6701" max="6704" width="6.75" style="24" customWidth="1"/>
    <col min="6705" max="6705" width="6.5" style="24" customWidth="1"/>
    <col min="6706" max="6708" width="6.75" style="24" customWidth="1"/>
    <col min="6709" max="6709" width="6.5" style="24" customWidth="1"/>
    <col min="6710" max="6712" width="6.75" style="24" customWidth="1"/>
    <col min="6713" max="6714" width="6.5" style="24" customWidth="1"/>
    <col min="6715" max="6718" width="6.75" style="24" customWidth="1"/>
    <col min="6719" max="6719" width="6.5" style="24" customWidth="1"/>
    <col min="6720" max="6940" width="9" style="24"/>
    <col min="6941" max="6941" width="7.875" style="24" customWidth="1"/>
    <col min="6942" max="6945" width="6.875" style="24" customWidth="1"/>
    <col min="6946" max="6946" width="6.5" style="24" customWidth="1"/>
    <col min="6947" max="6950" width="6.75" style="24" customWidth="1"/>
    <col min="6951" max="6951" width="6.5" style="24" customWidth="1"/>
    <col min="6952" max="6955" width="6.75" style="24" customWidth="1"/>
    <col min="6956" max="6956" width="6.5" style="24" customWidth="1"/>
    <col min="6957" max="6960" width="6.75" style="24" customWidth="1"/>
    <col min="6961" max="6961" width="6.5" style="24" customWidth="1"/>
    <col min="6962" max="6964" width="6.75" style="24" customWidth="1"/>
    <col min="6965" max="6965" width="6.5" style="24" customWidth="1"/>
    <col min="6966" max="6968" width="6.75" style="24" customWidth="1"/>
    <col min="6969" max="6970" width="6.5" style="24" customWidth="1"/>
    <col min="6971" max="6974" width="6.75" style="24" customWidth="1"/>
    <col min="6975" max="6975" width="6.5" style="24" customWidth="1"/>
    <col min="6976" max="7196" width="9" style="24"/>
    <col min="7197" max="7197" width="7.875" style="24" customWidth="1"/>
    <col min="7198" max="7201" width="6.875" style="24" customWidth="1"/>
    <col min="7202" max="7202" width="6.5" style="24" customWidth="1"/>
    <col min="7203" max="7206" width="6.75" style="24" customWidth="1"/>
    <col min="7207" max="7207" width="6.5" style="24" customWidth="1"/>
    <col min="7208" max="7211" width="6.75" style="24" customWidth="1"/>
    <col min="7212" max="7212" width="6.5" style="24" customWidth="1"/>
    <col min="7213" max="7216" width="6.75" style="24" customWidth="1"/>
    <col min="7217" max="7217" width="6.5" style="24" customWidth="1"/>
    <col min="7218" max="7220" width="6.75" style="24" customWidth="1"/>
    <col min="7221" max="7221" width="6.5" style="24" customWidth="1"/>
    <col min="7222" max="7224" width="6.75" style="24" customWidth="1"/>
    <col min="7225" max="7226" width="6.5" style="24" customWidth="1"/>
    <col min="7227" max="7230" width="6.75" style="24" customWidth="1"/>
    <col min="7231" max="7231" width="6.5" style="24" customWidth="1"/>
    <col min="7232" max="7452" width="9" style="24"/>
    <col min="7453" max="7453" width="7.875" style="24" customWidth="1"/>
    <col min="7454" max="7457" width="6.875" style="24" customWidth="1"/>
    <col min="7458" max="7458" width="6.5" style="24" customWidth="1"/>
    <col min="7459" max="7462" width="6.75" style="24" customWidth="1"/>
    <col min="7463" max="7463" width="6.5" style="24" customWidth="1"/>
    <col min="7464" max="7467" width="6.75" style="24" customWidth="1"/>
    <col min="7468" max="7468" width="6.5" style="24" customWidth="1"/>
    <col min="7469" max="7472" width="6.75" style="24" customWidth="1"/>
    <col min="7473" max="7473" width="6.5" style="24" customWidth="1"/>
    <col min="7474" max="7476" width="6.75" style="24" customWidth="1"/>
    <col min="7477" max="7477" width="6.5" style="24" customWidth="1"/>
    <col min="7478" max="7480" width="6.75" style="24" customWidth="1"/>
    <col min="7481" max="7482" width="6.5" style="24" customWidth="1"/>
    <col min="7483" max="7486" width="6.75" style="24" customWidth="1"/>
    <col min="7487" max="7487" width="6.5" style="24" customWidth="1"/>
    <col min="7488" max="7708" width="9" style="24"/>
    <col min="7709" max="7709" width="7.875" style="24" customWidth="1"/>
    <col min="7710" max="7713" width="6.875" style="24" customWidth="1"/>
    <col min="7714" max="7714" width="6.5" style="24" customWidth="1"/>
    <col min="7715" max="7718" width="6.75" style="24" customWidth="1"/>
    <col min="7719" max="7719" width="6.5" style="24" customWidth="1"/>
    <col min="7720" max="7723" width="6.75" style="24" customWidth="1"/>
    <col min="7724" max="7724" width="6.5" style="24" customWidth="1"/>
    <col min="7725" max="7728" width="6.75" style="24" customWidth="1"/>
    <col min="7729" max="7729" width="6.5" style="24" customWidth="1"/>
    <col min="7730" max="7732" width="6.75" style="24" customWidth="1"/>
    <col min="7733" max="7733" width="6.5" style="24" customWidth="1"/>
    <col min="7734" max="7736" width="6.75" style="24" customWidth="1"/>
    <col min="7737" max="7738" width="6.5" style="24" customWidth="1"/>
    <col min="7739" max="7742" width="6.75" style="24" customWidth="1"/>
    <col min="7743" max="7743" width="6.5" style="24" customWidth="1"/>
    <col min="7744" max="7964" width="9" style="24"/>
    <col min="7965" max="7965" width="7.875" style="24" customWidth="1"/>
    <col min="7966" max="7969" width="6.875" style="24" customWidth="1"/>
    <col min="7970" max="7970" width="6.5" style="24" customWidth="1"/>
    <col min="7971" max="7974" width="6.75" style="24" customWidth="1"/>
    <col min="7975" max="7975" width="6.5" style="24" customWidth="1"/>
    <col min="7976" max="7979" width="6.75" style="24" customWidth="1"/>
    <col min="7980" max="7980" width="6.5" style="24" customWidth="1"/>
    <col min="7981" max="7984" width="6.75" style="24" customWidth="1"/>
    <col min="7985" max="7985" width="6.5" style="24" customWidth="1"/>
    <col min="7986" max="7988" width="6.75" style="24" customWidth="1"/>
    <col min="7989" max="7989" width="6.5" style="24" customWidth="1"/>
    <col min="7990" max="7992" width="6.75" style="24" customWidth="1"/>
    <col min="7993" max="7994" width="6.5" style="24" customWidth="1"/>
    <col min="7995" max="7998" width="6.75" style="24" customWidth="1"/>
    <col min="7999" max="7999" width="6.5" style="24" customWidth="1"/>
    <col min="8000" max="8220" width="9" style="24"/>
    <col min="8221" max="8221" width="7.875" style="24" customWidth="1"/>
    <col min="8222" max="8225" width="6.875" style="24" customWidth="1"/>
    <col min="8226" max="8226" width="6.5" style="24" customWidth="1"/>
    <col min="8227" max="8230" width="6.75" style="24" customWidth="1"/>
    <col min="8231" max="8231" width="6.5" style="24" customWidth="1"/>
    <col min="8232" max="8235" width="6.75" style="24" customWidth="1"/>
    <col min="8236" max="8236" width="6.5" style="24" customWidth="1"/>
    <col min="8237" max="8240" width="6.75" style="24" customWidth="1"/>
    <col min="8241" max="8241" width="6.5" style="24" customWidth="1"/>
    <col min="8242" max="8244" width="6.75" style="24" customWidth="1"/>
    <col min="8245" max="8245" width="6.5" style="24" customWidth="1"/>
    <col min="8246" max="8248" width="6.75" style="24" customWidth="1"/>
    <col min="8249" max="8250" width="6.5" style="24" customWidth="1"/>
    <col min="8251" max="8254" width="6.75" style="24" customWidth="1"/>
    <col min="8255" max="8255" width="6.5" style="24" customWidth="1"/>
    <col min="8256" max="8476" width="9" style="24"/>
    <col min="8477" max="8477" width="7.875" style="24" customWidth="1"/>
    <col min="8478" max="8481" width="6.875" style="24" customWidth="1"/>
    <col min="8482" max="8482" width="6.5" style="24" customWidth="1"/>
    <col min="8483" max="8486" width="6.75" style="24" customWidth="1"/>
    <col min="8487" max="8487" width="6.5" style="24" customWidth="1"/>
    <col min="8488" max="8491" width="6.75" style="24" customWidth="1"/>
    <col min="8492" max="8492" width="6.5" style="24" customWidth="1"/>
    <col min="8493" max="8496" width="6.75" style="24" customWidth="1"/>
    <col min="8497" max="8497" width="6.5" style="24" customWidth="1"/>
    <col min="8498" max="8500" width="6.75" style="24" customWidth="1"/>
    <col min="8501" max="8501" width="6.5" style="24" customWidth="1"/>
    <col min="8502" max="8504" width="6.75" style="24" customWidth="1"/>
    <col min="8505" max="8506" width="6.5" style="24" customWidth="1"/>
    <col min="8507" max="8510" width="6.75" style="24" customWidth="1"/>
    <col min="8511" max="8511" width="6.5" style="24" customWidth="1"/>
    <col min="8512" max="8732" width="9" style="24"/>
    <col min="8733" max="8733" width="7.875" style="24" customWidth="1"/>
    <col min="8734" max="8737" width="6.875" style="24" customWidth="1"/>
    <col min="8738" max="8738" width="6.5" style="24" customWidth="1"/>
    <col min="8739" max="8742" width="6.75" style="24" customWidth="1"/>
    <col min="8743" max="8743" width="6.5" style="24" customWidth="1"/>
    <col min="8744" max="8747" width="6.75" style="24" customWidth="1"/>
    <col min="8748" max="8748" width="6.5" style="24" customWidth="1"/>
    <col min="8749" max="8752" width="6.75" style="24" customWidth="1"/>
    <col min="8753" max="8753" width="6.5" style="24" customWidth="1"/>
    <col min="8754" max="8756" width="6.75" style="24" customWidth="1"/>
    <col min="8757" max="8757" width="6.5" style="24" customWidth="1"/>
    <col min="8758" max="8760" width="6.75" style="24" customWidth="1"/>
    <col min="8761" max="8762" width="6.5" style="24" customWidth="1"/>
    <col min="8763" max="8766" width="6.75" style="24" customWidth="1"/>
    <col min="8767" max="8767" width="6.5" style="24" customWidth="1"/>
    <col min="8768" max="8988" width="9" style="24"/>
    <col min="8989" max="8989" width="7.875" style="24" customWidth="1"/>
    <col min="8990" max="8993" width="6.875" style="24" customWidth="1"/>
    <col min="8994" max="8994" width="6.5" style="24" customWidth="1"/>
    <col min="8995" max="8998" width="6.75" style="24" customWidth="1"/>
    <col min="8999" max="8999" width="6.5" style="24" customWidth="1"/>
    <col min="9000" max="9003" width="6.75" style="24" customWidth="1"/>
    <col min="9004" max="9004" width="6.5" style="24" customWidth="1"/>
    <col min="9005" max="9008" width="6.75" style="24" customWidth="1"/>
    <col min="9009" max="9009" width="6.5" style="24" customWidth="1"/>
    <col min="9010" max="9012" width="6.75" style="24" customWidth="1"/>
    <col min="9013" max="9013" width="6.5" style="24" customWidth="1"/>
    <col min="9014" max="9016" width="6.75" style="24" customWidth="1"/>
    <col min="9017" max="9018" width="6.5" style="24" customWidth="1"/>
    <col min="9019" max="9022" width="6.75" style="24" customWidth="1"/>
    <col min="9023" max="9023" width="6.5" style="24" customWidth="1"/>
    <col min="9024" max="9244" width="9" style="24"/>
    <col min="9245" max="9245" width="7.875" style="24" customWidth="1"/>
    <col min="9246" max="9249" width="6.875" style="24" customWidth="1"/>
    <col min="9250" max="9250" width="6.5" style="24" customWidth="1"/>
    <col min="9251" max="9254" width="6.75" style="24" customWidth="1"/>
    <col min="9255" max="9255" width="6.5" style="24" customWidth="1"/>
    <col min="9256" max="9259" width="6.75" style="24" customWidth="1"/>
    <col min="9260" max="9260" width="6.5" style="24" customWidth="1"/>
    <col min="9261" max="9264" width="6.75" style="24" customWidth="1"/>
    <col min="9265" max="9265" width="6.5" style="24" customWidth="1"/>
    <col min="9266" max="9268" width="6.75" style="24" customWidth="1"/>
    <col min="9269" max="9269" width="6.5" style="24" customWidth="1"/>
    <col min="9270" max="9272" width="6.75" style="24" customWidth="1"/>
    <col min="9273" max="9274" width="6.5" style="24" customWidth="1"/>
    <col min="9275" max="9278" width="6.75" style="24" customWidth="1"/>
    <col min="9279" max="9279" width="6.5" style="24" customWidth="1"/>
    <col min="9280" max="9500" width="9" style="24"/>
    <col min="9501" max="9501" width="7.875" style="24" customWidth="1"/>
    <col min="9502" max="9505" width="6.875" style="24" customWidth="1"/>
    <col min="9506" max="9506" width="6.5" style="24" customWidth="1"/>
    <col min="9507" max="9510" width="6.75" style="24" customWidth="1"/>
    <col min="9511" max="9511" width="6.5" style="24" customWidth="1"/>
    <col min="9512" max="9515" width="6.75" style="24" customWidth="1"/>
    <col min="9516" max="9516" width="6.5" style="24" customWidth="1"/>
    <col min="9517" max="9520" width="6.75" style="24" customWidth="1"/>
    <col min="9521" max="9521" width="6.5" style="24" customWidth="1"/>
    <col min="9522" max="9524" width="6.75" style="24" customWidth="1"/>
    <col min="9525" max="9525" width="6.5" style="24" customWidth="1"/>
    <col min="9526" max="9528" width="6.75" style="24" customWidth="1"/>
    <col min="9529" max="9530" width="6.5" style="24" customWidth="1"/>
    <col min="9531" max="9534" width="6.75" style="24" customWidth="1"/>
    <col min="9535" max="9535" width="6.5" style="24" customWidth="1"/>
    <col min="9536" max="9756" width="9" style="24"/>
    <col min="9757" max="9757" width="7.875" style="24" customWidth="1"/>
    <col min="9758" max="9761" width="6.875" style="24" customWidth="1"/>
    <col min="9762" max="9762" width="6.5" style="24" customWidth="1"/>
    <col min="9763" max="9766" width="6.75" style="24" customWidth="1"/>
    <col min="9767" max="9767" width="6.5" style="24" customWidth="1"/>
    <col min="9768" max="9771" width="6.75" style="24" customWidth="1"/>
    <col min="9772" max="9772" width="6.5" style="24" customWidth="1"/>
    <col min="9773" max="9776" width="6.75" style="24" customWidth="1"/>
    <col min="9777" max="9777" width="6.5" style="24" customWidth="1"/>
    <col min="9778" max="9780" width="6.75" style="24" customWidth="1"/>
    <col min="9781" max="9781" width="6.5" style="24" customWidth="1"/>
    <col min="9782" max="9784" width="6.75" style="24" customWidth="1"/>
    <col min="9785" max="9786" width="6.5" style="24" customWidth="1"/>
    <col min="9787" max="9790" width="6.75" style="24" customWidth="1"/>
    <col min="9791" max="9791" width="6.5" style="24" customWidth="1"/>
    <col min="9792" max="10012" width="9" style="24"/>
    <col min="10013" max="10013" width="7.875" style="24" customWidth="1"/>
    <col min="10014" max="10017" width="6.875" style="24" customWidth="1"/>
    <col min="10018" max="10018" width="6.5" style="24" customWidth="1"/>
    <col min="10019" max="10022" width="6.75" style="24" customWidth="1"/>
    <col min="10023" max="10023" width="6.5" style="24" customWidth="1"/>
    <col min="10024" max="10027" width="6.75" style="24" customWidth="1"/>
    <col min="10028" max="10028" width="6.5" style="24" customWidth="1"/>
    <col min="10029" max="10032" width="6.75" style="24" customWidth="1"/>
    <col min="10033" max="10033" width="6.5" style="24" customWidth="1"/>
    <col min="10034" max="10036" width="6.75" style="24" customWidth="1"/>
    <col min="10037" max="10037" width="6.5" style="24" customWidth="1"/>
    <col min="10038" max="10040" width="6.75" style="24" customWidth="1"/>
    <col min="10041" max="10042" width="6.5" style="24" customWidth="1"/>
    <col min="10043" max="10046" width="6.75" style="24" customWidth="1"/>
    <col min="10047" max="10047" width="6.5" style="24" customWidth="1"/>
    <col min="10048" max="10268" width="9" style="24"/>
    <col min="10269" max="10269" width="7.875" style="24" customWidth="1"/>
    <col min="10270" max="10273" width="6.875" style="24" customWidth="1"/>
    <col min="10274" max="10274" width="6.5" style="24" customWidth="1"/>
    <col min="10275" max="10278" width="6.75" style="24" customWidth="1"/>
    <col min="10279" max="10279" width="6.5" style="24" customWidth="1"/>
    <col min="10280" max="10283" width="6.75" style="24" customWidth="1"/>
    <col min="10284" max="10284" width="6.5" style="24" customWidth="1"/>
    <col min="10285" max="10288" width="6.75" style="24" customWidth="1"/>
    <col min="10289" max="10289" width="6.5" style="24" customWidth="1"/>
    <col min="10290" max="10292" width="6.75" style="24" customWidth="1"/>
    <col min="10293" max="10293" width="6.5" style="24" customWidth="1"/>
    <col min="10294" max="10296" width="6.75" style="24" customWidth="1"/>
    <col min="10297" max="10298" width="6.5" style="24" customWidth="1"/>
    <col min="10299" max="10302" width="6.75" style="24" customWidth="1"/>
    <col min="10303" max="10303" width="6.5" style="24" customWidth="1"/>
    <col min="10304" max="10524" width="9" style="24"/>
    <col min="10525" max="10525" width="7.875" style="24" customWidth="1"/>
    <col min="10526" max="10529" width="6.875" style="24" customWidth="1"/>
    <col min="10530" max="10530" width="6.5" style="24" customWidth="1"/>
    <col min="10531" max="10534" width="6.75" style="24" customWidth="1"/>
    <col min="10535" max="10535" width="6.5" style="24" customWidth="1"/>
    <col min="10536" max="10539" width="6.75" style="24" customWidth="1"/>
    <col min="10540" max="10540" width="6.5" style="24" customWidth="1"/>
    <col min="10541" max="10544" width="6.75" style="24" customWidth="1"/>
    <col min="10545" max="10545" width="6.5" style="24" customWidth="1"/>
    <col min="10546" max="10548" width="6.75" style="24" customWidth="1"/>
    <col min="10549" max="10549" width="6.5" style="24" customWidth="1"/>
    <col min="10550" max="10552" width="6.75" style="24" customWidth="1"/>
    <col min="10553" max="10554" width="6.5" style="24" customWidth="1"/>
    <col min="10555" max="10558" width="6.75" style="24" customWidth="1"/>
    <col min="10559" max="10559" width="6.5" style="24" customWidth="1"/>
    <col min="10560" max="10780" width="9" style="24"/>
    <col min="10781" max="10781" width="7.875" style="24" customWidth="1"/>
    <col min="10782" max="10785" width="6.875" style="24" customWidth="1"/>
    <col min="10786" max="10786" width="6.5" style="24" customWidth="1"/>
    <col min="10787" max="10790" width="6.75" style="24" customWidth="1"/>
    <col min="10791" max="10791" width="6.5" style="24" customWidth="1"/>
    <col min="10792" max="10795" width="6.75" style="24" customWidth="1"/>
    <col min="10796" max="10796" width="6.5" style="24" customWidth="1"/>
    <col min="10797" max="10800" width="6.75" style="24" customWidth="1"/>
    <col min="10801" max="10801" width="6.5" style="24" customWidth="1"/>
    <col min="10802" max="10804" width="6.75" style="24" customWidth="1"/>
    <col min="10805" max="10805" width="6.5" style="24" customWidth="1"/>
    <col min="10806" max="10808" width="6.75" style="24" customWidth="1"/>
    <col min="10809" max="10810" width="6.5" style="24" customWidth="1"/>
    <col min="10811" max="10814" width="6.75" style="24" customWidth="1"/>
    <col min="10815" max="10815" width="6.5" style="24" customWidth="1"/>
    <col min="10816" max="11036" width="9" style="24"/>
    <col min="11037" max="11037" width="7.875" style="24" customWidth="1"/>
    <col min="11038" max="11041" width="6.875" style="24" customWidth="1"/>
    <col min="11042" max="11042" width="6.5" style="24" customWidth="1"/>
    <col min="11043" max="11046" width="6.75" style="24" customWidth="1"/>
    <col min="11047" max="11047" width="6.5" style="24" customWidth="1"/>
    <col min="11048" max="11051" width="6.75" style="24" customWidth="1"/>
    <col min="11052" max="11052" width="6.5" style="24" customWidth="1"/>
    <col min="11053" max="11056" width="6.75" style="24" customWidth="1"/>
    <col min="11057" max="11057" width="6.5" style="24" customWidth="1"/>
    <col min="11058" max="11060" width="6.75" style="24" customWidth="1"/>
    <col min="11061" max="11061" width="6.5" style="24" customWidth="1"/>
    <col min="11062" max="11064" width="6.75" style="24" customWidth="1"/>
    <col min="11065" max="11066" width="6.5" style="24" customWidth="1"/>
    <col min="11067" max="11070" width="6.75" style="24" customWidth="1"/>
    <col min="11071" max="11071" width="6.5" style="24" customWidth="1"/>
    <col min="11072" max="11292" width="9" style="24"/>
    <col min="11293" max="11293" width="7.875" style="24" customWidth="1"/>
    <col min="11294" max="11297" width="6.875" style="24" customWidth="1"/>
    <col min="11298" max="11298" width="6.5" style="24" customWidth="1"/>
    <col min="11299" max="11302" width="6.75" style="24" customWidth="1"/>
    <col min="11303" max="11303" width="6.5" style="24" customWidth="1"/>
    <col min="11304" max="11307" width="6.75" style="24" customWidth="1"/>
    <col min="11308" max="11308" width="6.5" style="24" customWidth="1"/>
    <col min="11309" max="11312" width="6.75" style="24" customWidth="1"/>
    <col min="11313" max="11313" width="6.5" style="24" customWidth="1"/>
    <col min="11314" max="11316" width="6.75" style="24" customWidth="1"/>
    <col min="11317" max="11317" width="6.5" style="24" customWidth="1"/>
    <col min="11318" max="11320" width="6.75" style="24" customWidth="1"/>
    <col min="11321" max="11322" width="6.5" style="24" customWidth="1"/>
    <col min="11323" max="11326" width="6.75" style="24" customWidth="1"/>
    <col min="11327" max="11327" width="6.5" style="24" customWidth="1"/>
    <col min="11328" max="11548" width="9" style="24"/>
    <col min="11549" max="11549" width="7.875" style="24" customWidth="1"/>
    <col min="11550" max="11553" width="6.875" style="24" customWidth="1"/>
    <col min="11554" max="11554" width="6.5" style="24" customWidth="1"/>
    <col min="11555" max="11558" width="6.75" style="24" customWidth="1"/>
    <col min="11559" max="11559" width="6.5" style="24" customWidth="1"/>
    <col min="11560" max="11563" width="6.75" style="24" customWidth="1"/>
    <col min="11564" max="11564" width="6.5" style="24" customWidth="1"/>
    <col min="11565" max="11568" width="6.75" style="24" customWidth="1"/>
    <col min="11569" max="11569" width="6.5" style="24" customWidth="1"/>
    <col min="11570" max="11572" width="6.75" style="24" customWidth="1"/>
    <col min="11573" max="11573" width="6.5" style="24" customWidth="1"/>
    <col min="11574" max="11576" width="6.75" style="24" customWidth="1"/>
    <col min="11577" max="11578" width="6.5" style="24" customWidth="1"/>
    <col min="11579" max="11582" width="6.75" style="24" customWidth="1"/>
    <col min="11583" max="11583" width="6.5" style="24" customWidth="1"/>
    <col min="11584" max="11804" width="9" style="24"/>
    <col min="11805" max="11805" width="7.875" style="24" customWidth="1"/>
    <col min="11806" max="11809" width="6.875" style="24" customWidth="1"/>
    <col min="11810" max="11810" width="6.5" style="24" customWidth="1"/>
    <col min="11811" max="11814" width="6.75" style="24" customWidth="1"/>
    <col min="11815" max="11815" width="6.5" style="24" customWidth="1"/>
    <col min="11816" max="11819" width="6.75" style="24" customWidth="1"/>
    <col min="11820" max="11820" width="6.5" style="24" customWidth="1"/>
    <col min="11821" max="11824" width="6.75" style="24" customWidth="1"/>
    <col min="11825" max="11825" width="6.5" style="24" customWidth="1"/>
    <col min="11826" max="11828" width="6.75" style="24" customWidth="1"/>
    <col min="11829" max="11829" width="6.5" style="24" customWidth="1"/>
    <col min="11830" max="11832" width="6.75" style="24" customWidth="1"/>
    <col min="11833" max="11834" width="6.5" style="24" customWidth="1"/>
    <col min="11835" max="11838" width="6.75" style="24" customWidth="1"/>
    <col min="11839" max="11839" width="6.5" style="24" customWidth="1"/>
    <col min="11840" max="12060" width="9" style="24"/>
    <col min="12061" max="12061" width="7.875" style="24" customWidth="1"/>
    <col min="12062" max="12065" width="6.875" style="24" customWidth="1"/>
    <col min="12066" max="12066" width="6.5" style="24" customWidth="1"/>
    <col min="12067" max="12070" width="6.75" style="24" customWidth="1"/>
    <col min="12071" max="12071" width="6.5" style="24" customWidth="1"/>
    <col min="12072" max="12075" width="6.75" style="24" customWidth="1"/>
    <col min="12076" max="12076" width="6.5" style="24" customWidth="1"/>
    <col min="12077" max="12080" width="6.75" style="24" customWidth="1"/>
    <col min="12081" max="12081" width="6.5" style="24" customWidth="1"/>
    <col min="12082" max="12084" width="6.75" style="24" customWidth="1"/>
    <col min="12085" max="12085" width="6.5" style="24" customWidth="1"/>
    <col min="12086" max="12088" width="6.75" style="24" customWidth="1"/>
    <col min="12089" max="12090" width="6.5" style="24" customWidth="1"/>
    <col min="12091" max="12094" width="6.75" style="24" customWidth="1"/>
    <col min="12095" max="12095" width="6.5" style="24" customWidth="1"/>
    <col min="12096" max="12316" width="9" style="24"/>
    <col min="12317" max="12317" width="7.875" style="24" customWidth="1"/>
    <col min="12318" max="12321" width="6.875" style="24" customWidth="1"/>
    <col min="12322" max="12322" width="6.5" style="24" customWidth="1"/>
    <col min="12323" max="12326" width="6.75" style="24" customWidth="1"/>
    <col min="12327" max="12327" width="6.5" style="24" customWidth="1"/>
    <col min="12328" max="12331" width="6.75" style="24" customWidth="1"/>
    <col min="12332" max="12332" width="6.5" style="24" customWidth="1"/>
    <col min="12333" max="12336" width="6.75" style="24" customWidth="1"/>
    <col min="12337" max="12337" width="6.5" style="24" customWidth="1"/>
    <col min="12338" max="12340" width="6.75" style="24" customWidth="1"/>
    <col min="12341" max="12341" width="6.5" style="24" customWidth="1"/>
    <col min="12342" max="12344" width="6.75" style="24" customWidth="1"/>
    <col min="12345" max="12346" width="6.5" style="24" customWidth="1"/>
    <col min="12347" max="12350" width="6.75" style="24" customWidth="1"/>
    <col min="12351" max="12351" width="6.5" style="24" customWidth="1"/>
    <col min="12352" max="12572" width="9" style="24"/>
    <col min="12573" max="12573" width="7.875" style="24" customWidth="1"/>
    <col min="12574" max="12577" width="6.875" style="24" customWidth="1"/>
    <col min="12578" max="12578" width="6.5" style="24" customWidth="1"/>
    <col min="12579" max="12582" width="6.75" style="24" customWidth="1"/>
    <col min="12583" max="12583" width="6.5" style="24" customWidth="1"/>
    <col min="12584" max="12587" width="6.75" style="24" customWidth="1"/>
    <col min="12588" max="12588" width="6.5" style="24" customWidth="1"/>
    <col min="12589" max="12592" width="6.75" style="24" customWidth="1"/>
    <col min="12593" max="12593" width="6.5" style="24" customWidth="1"/>
    <col min="12594" max="12596" width="6.75" style="24" customWidth="1"/>
    <col min="12597" max="12597" width="6.5" style="24" customWidth="1"/>
    <col min="12598" max="12600" width="6.75" style="24" customWidth="1"/>
    <col min="12601" max="12602" width="6.5" style="24" customWidth="1"/>
    <col min="12603" max="12606" width="6.75" style="24" customWidth="1"/>
    <col min="12607" max="12607" width="6.5" style="24" customWidth="1"/>
    <col min="12608" max="12828" width="9" style="24"/>
    <col min="12829" max="12829" width="7.875" style="24" customWidth="1"/>
    <col min="12830" max="12833" width="6.875" style="24" customWidth="1"/>
    <col min="12834" max="12834" width="6.5" style="24" customWidth="1"/>
    <col min="12835" max="12838" width="6.75" style="24" customWidth="1"/>
    <col min="12839" max="12839" width="6.5" style="24" customWidth="1"/>
    <col min="12840" max="12843" width="6.75" style="24" customWidth="1"/>
    <col min="12844" max="12844" width="6.5" style="24" customWidth="1"/>
    <col min="12845" max="12848" width="6.75" style="24" customWidth="1"/>
    <col min="12849" max="12849" width="6.5" style="24" customWidth="1"/>
    <col min="12850" max="12852" width="6.75" style="24" customWidth="1"/>
    <col min="12853" max="12853" width="6.5" style="24" customWidth="1"/>
    <col min="12854" max="12856" width="6.75" style="24" customWidth="1"/>
    <col min="12857" max="12858" width="6.5" style="24" customWidth="1"/>
    <col min="12859" max="12862" width="6.75" style="24" customWidth="1"/>
    <col min="12863" max="12863" width="6.5" style="24" customWidth="1"/>
    <col min="12864" max="13084" width="9" style="24"/>
    <col min="13085" max="13085" width="7.875" style="24" customWidth="1"/>
    <col min="13086" max="13089" width="6.875" style="24" customWidth="1"/>
    <col min="13090" max="13090" width="6.5" style="24" customWidth="1"/>
    <col min="13091" max="13094" width="6.75" style="24" customWidth="1"/>
    <col min="13095" max="13095" width="6.5" style="24" customWidth="1"/>
    <col min="13096" max="13099" width="6.75" style="24" customWidth="1"/>
    <col min="13100" max="13100" width="6.5" style="24" customWidth="1"/>
    <col min="13101" max="13104" width="6.75" style="24" customWidth="1"/>
    <col min="13105" max="13105" width="6.5" style="24" customWidth="1"/>
    <col min="13106" max="13108" width="6.75" style="24" customWidth="1"/>
    <col min="13109" max="13109" width="6.5" style="24" customWidth="1"/>
    <col min="13110" max="13112" width="6.75" style="24" customWidth="1"/>
    <col min="13113" max="13114" width="6.5" style="24" customWidth="1"/>
    <col min="13115" max="13118" width="6.75" style="24" customWidth="1"/>
    <col min="13119" max="13119" width="6.5" style="24" customWidth="1"/>
    <col min="13120" max="13340" width="9" style="24"/>
    <col min="13341" max="13341" width="7.875" style="24" customWidth="1"/>
    <col min="13342" max="13345" width="6.875" style="24" customWidth="1"/>
    <col min="13346" max="13346" width="6.5" style="24" customWidth="1"/>
    <col min="13347" max="13350" width="6.75" style="24" customWidth="1"/>
    <col min="13351" max="13351" width="6.5" style="24" customWidth="1"/>
    <col min="13352" max="13355" width="6.75" style="24" customWidth="1"/>
    <col min="13356" max="13356" width="6.5" style="24" customWidth="1"/>
    <col min="13357" max="13360" width="6.75" style="24" customWidth="1"/>
    <col min="13361" max="13361" width="6.5" style="24" customWidth="1"/>
    <col min="13362" max="13364" width="6.75" style="24" customWidth="1"/>
    <col min="13365" max="13365" width="6.5" style="24" customWidth="1"/>
    <col min="13366" max="13368" width="6.75" style="24" customWidth="1"/>
    <col min="13369" max="13370" width="6.5" style="24" customWidth="1"/>
    <col min="13371" max="13374" width="6.75" style="24" customWidth="1"/>
    <col min="13375" max="13375" width="6.5" style="24" customWidth="1"/>
    <col min="13376" max="13596" width="9" style="24"/>
    <col min="13597" max="13597" width="7.875" style="24" customWidth="1"/>
    <col min="13598" max="13601" width="6.875" style="24" customWidth="1"/>
    <col min="13602" max="13602" width="6.5" style="24" customWidth="1"/>
    <col min="13603" max="13606" width="6.75" style="24" customWidth="1"/>
    <col min="13607" max="13607" width="6.5" style="24" customWidth="1"/>
    <col min="13608" max="13611" width="6.75" style="24" customWidth="1"/>
    <col min="13612" max="13612" width="6.5" style="24" customWidth="1"/>
    <col min="13613" max="13616" width="6.75" style="24" customWidth="1"/>
    <col min="13617" max="13617" width="6.5" style="24" customWidth="1"/>
    <col min="13618" max="13620" width="6.75" style="24" customWidth="1"/>
    <col min="13621" max="13621" width="6.5" style="24" customWidth="1"/>
    <col min="13622" max="13624" width="6.75" style="24" customWidth="1"/>
    <col min="13625" max="13626" width="6.5" style="24" customWidth="1"/>
    <col min="13627" max="13630" width="6.75" style="24" customWidth="1"/>
    <col min="13631" max="13631" width="6.5" style="24" customWidth="1"/>
    <col min="13632" max="13852" width="9" style="24"/>
    <col min="13853" max="13853" width="7.875" style="24" customWidth="1"/>
    <col min="13854" max="13857" width="6.875" style="24" customWidth="1"/>
    <col min="13858" max="13858" width="6.5" style="24" customWidth="1"/>
    <col min="13859" max="13862" width="6.75" style="24" customWidth="1"/>
    <col min="13863" max="13863" width="6.5" style="24" customWidth="1"/>
    <col min="13864" max="13867" width="6.75" style="24" customWidth="1"/>
    <col min="13868" max="13868" width="6.5" style="24" customWidth="1"/>
    <col min="13869" max="13872" width="6.75" style="24" customWidth="1"/>
    <col min="13873" max="13873" width="6.5" style="24" customWidth="1"/>
    <col min="13874" max="13876" width="6.75" style="24" customWidth="1"/>
    <col min="13877" max="13877" width="6.5" style="24" customWidth="1"/>
    <col min="13878" max="13880" width="6.75" style="24" customWidth="1"/>
    <col min="13881" max="13882" width="6.5" style="24" customWidth="1"/>
    <col min="13883" max="13886" width="6.75" style="24" customWidth="1"/>
    <col min="13887" max="13887" width="6.5" style="24" customWidth="1"/>
    <col min="13888" max="14108" width="9" style="24"/>
    <col min="14109" max="14109" width="7.875" style="24" customWidth="1"/>
    <col min="14110" max="14113" width="6.875" style="24" customWidth="1"/>
    <col min="14114" max="14114" width="6.5" style="24" customWidth="1"/>
    <col min="14115" max="14118" width="6.75" style="24" customWidth="1"/>
    <col min="14119" max="14119" width="6.5" style="24" customWidth="1"/>
    <col min="14120" max="14123" width="6.75" style="24" customWidth="1"/>
    <col min="14124" max="14124" width="6.5" style="24" customWidth="1"/>
    <col min="14125" max="14128" width="6.75" style="24" customWidth="1"/>
    <col min="14129" max="14129" width="6.5" style="24" customWidth="1"/>
    <col min="14130" max="14132" width="6.75" style="24" customWidth="1"/>
    <col min="14133" max="14133" width="6.5" style="24" customWidth="1"/>
    <col min="14134" max="14136" width="6.75" style="24" customWidth="1"/>
    <col min="14137" max="14138" width="6.5" style="24" customWidth="1"/>
    <col min="14139" max="14142" width="6.75" style="24" customWidth="1"/>
    <col min="14143" max="14143" width="6.5" style="24" customWidth="1"/>
    <col min="14144" max="14364" width="9" style="24"/>
    <col min="14365" max="14365" width="7.875" style="24" customWidth="1"/>
    <col min="14366" max="14369" width="6.875" style="24" customWidth="1"/>
    <col min="14370" max="14370" width="6.5" style="24" customWidth="1"/>
    <col min="14371" max="14374" width="6.75" style="24" customWidth="1"/>
    <col min="14375" max="14375" width="6.5" style="24" customWidth="1"/>
    <col min="14376" max="14379" width="6.75" style="24" customWidth="1"/>
    <col min="14380" max="14380" width="6.5" style="24" customWidth="1"/>
    <col min="14381" max="14384" width="6.75" style="24" customWidth="1"/>
    <col min="14385" max="14385" width="6.5" style="24" customWidth="1"/>
    <col min="14386" max="14388" width="6.75" style="24" customWidth="1"/>
    <col min="14389" max="14389" width="6.5" style="24" customWidth="1"/>
    <col min="14390" max="14392" width="6.75" style="24" customWidth="1"/>
    <col min="14393" max="14394" width="6.5" style="24" customWidth="1"/>
    <col min="14395" max="14398" width="6.75" style="24" customWidth="1"/>
    <col min="14399" max="14399" width="6.5" style="24" customWidth="1"/>
    <col min="14400" max="14620" width="9" style="24"/>
    <col min="14621" max="14621" width="7.875" style="24" customWidth="1"/>
    <col min="14622" max="14625" width="6.875" style="24" customWidth="1"/>
    <col min="14626" max="14626" width="6.5" style="24" customWidth="1"/>
    <col min="14627" max="14630" width="6.75" style="24" customWidth="1"/>
    <col min="14631" max="14631" width="6.5" style="24" customWidth="1"/>
    <col min="14632" max="14635" width="6.75" style="24" customWidth="1"/>
    <col min="14636" max="14636" width="6.5" style="24" customWidth="1"/>
    <col min="14637" max="14640" width="6.75" style="24" customWidth="1"/>
    <col min="14641" max="14641" width="6.5" style="24" customWidth="1"/>
    <col min="14642" max="14644" width="6.75" style="24" customWidth="1"/>
    <col min="14645" max="14645" width="6.5" style="24" customWidth="1"/>
    <col min="14646" max="14648" width="6.75" style="24" customWidth="1"/>
    <col min="14649" max="14650" width="6.5" style="24" customWidth="1"/>
    <col min="14651" max="14654" width="6.75" style="24" customWidth="1"/>
    <col min="14655" max="14655" width="6.5" style="24" customWidth="1"/>
    <col min="14656" max="14876" width="9" style="24"/>
    <col min="14877" max="14877" width="7.875" style="24" customWidth="1"/>
    <col min="14878" max="14881" width="6.875" style="24" customWidth="1"/>
    <col min="14882" max="14882" width="6.5" style="24" customWidth="1"/>
    <col min="14883" max="14886" width="6.75" style="24" customWidth="1"/>
    <col min="14887" max="14887" width="6.5" style="24" customWidth="1"/>
    <col min="14888" max="14891" width="6.75" style="24" customWidth="1"/>
    <col min="14892" max="14892" width="6.5" style="24" customWidth="1"/>
    <col min="14893" max="14896" width="6.75" style="24" customWidth="1"/>
    <col min="14897" max="14897" width="6.5" style="24" customWidth="1"/>
    <col min="14898" max="14900" width="6.75" style="24" customWidth="1"/>
    <col min="14901" max="14901" width="6.5" style="24" customWidth="1"/>
    <col min="14902" max="14904" width="6.75" style="24" customWidth="1"/>
    <col min="14905" max="14906" width="6.5" style="24" customWidth="1"/>
    <col min="14907" max="14910" width="6.75" style="24" customWidth="1"/>
    <col min="14911" max="14911" width="6.5" style="24" customWidth="1"/>
    <col min="14912" max="15132" width="9" style="24"/>
    <col min="15133" max="15133" width="7.875" style="24" customWidth="1"/>
    <col min="15134" max="15137" width="6.875" style="24" customWidth="1"/>
    <col min="15138" max="15138" width="6.5" style="24" customWidth="1"/>
    <col min="15139" max="15142" width="6.75" style="24" customWidth="1"/>
    <col min="15143" max="15143" width="6.5" style="24" customWidth="1"/>
    <col min="15144" max="15147" width="6.75" style="24" customWidth="1"/>
    <col min="15148" max="15148" width="6.5" style="24" customWidth="1"/>
    <col min="15149" max="15152" width="6.75" style="24" customWidth="1"/>
    <col min="15153" max="15153" width="6.5" style="24" customWidth="1"/>
    <col min="15154" max="15156" width="6.75" style="24" customWidth="1"/>
    <col min="15157" max="15157" width="6.5" style="24" customWidth="1"/>
    <col min="15158" max="15160" width="6.75" style="24" customWidth="1"/>
    <col min="15161" max="15162" width="6.5" style="24" customWidth="1"/>
    <col min="15163" max="15166" width="6.75" style="24" customWidth="1"/>
    <col min="15167" max="15167" width="6.5" style="24" customWidth="1"/>
    <col min="15168" max="15388" width="9" style="24"/>
    <col min="15389" max="15389" width="7.875" style="24" customWidth="1"/>
    <col min="15390" max="15393" width="6.875" style="24" customWidth="1"/>
    <col min="15394" max="15394" width="6.5" style="24" customWidth="1"/>
    <col min="15395" max="15398" width="6.75" style="24" customWidth="1"/>
    <col min="15399" max="15399" width="6.5" style="24" customWidth="1"/>
    <col min="15400" max="15403" width="6.75" style="24" customWidth="1"/>
    <col min="15404" max="15404" width="6.5" style="24" customWidth="1"/>
    <col min="15405" max="15408" width="6.75" style="24" customWidth="1"/>
    <col min="15409" max="15409" width="6.5" style="24" customWidth="1"/>
    <col min="15410" max="15412" width="6.75" style="24" customWidth="1"/>
    <col min="15413" max="15413" width="6.5" style="24" customWidth="1"/>
    <col min="15414" max="15416" width="6.75" style="24" customWidth="1"/>
    <col min="15417" max="15418" width="6.5" style="24" customWidth="1"/>
    <col min="15419" max="15422" width="6.75" style="24" customWidth="1"/>
    <col min="15423" max="15423" width="6.5" style="24" customWidth="1"/>
    <col min="15424" max="15644" width="9" style="24"/>
    <col min="15645" max="15645" width="7.875" style="24" customWidth="1"/>
    <col min="15646" max="15649" width="6.875" style="24" customWidth="1"/>
    <col min="15650" max="15650" width="6.5" style="24" customWidth="1"/>
    <col min="15651" max="15654" width="6.75" style="24" customWidth="1"/>
    <col min="15655" max="15655" width="6.5" style="24" customWidth="1"/>
    <col min="15656" max="15659" width="6.75" style="24" customWidth="1"/>
    <col min="15660" max="15660" width="6.5" style="24" customWidth="1"/>
    <col min="15661" max="15664" width="6.75" style="24" customWidth="1"/>
    <col min="15665" max="15665" width="6.5" style="24" customWidth="1"/>
    <col min="15666" max="15668" width="6.75" style="24" customWidth="1"/>
    <col min="15669" max="15669" width="6.5" style="24" customWidth="1"/>
    <col min="15670" max="15672" width="6.75" style="24" customWidth="1"/>
    <col min="15673" max="15674" width="6.5" style="24" customWidth="1"/>
    <col min="15675" max="15678" width="6.75" style="24" customWidth="1"/>
    <col min="15679" max="15679" width="6.5" style="24" customWidth="1"/>
    <col min="15680" max="15900" width="9" style="24"/>
    <col min="15901" max="15901" width="7.875" style="24" customWidth="1"/>
    <col min="15902" max="15905" width="6.875" style="24" customWidth="1"/>
    <col min="15906" max="15906" width="6.5" style="24" customWidth="1"/>
    <col min="15907" max="15910" width="6.75" style="24" customWidth="1"/>
    <col min="15911" max="15911" width="6.5" style="24" customWidth="1"/>
    <col min="15912" max="15915" width="6.75" style="24" customWidth="1"/>
    <col min="15916" max="15916" width="6.5" style="24" customWidth="1"/>
    <col min="15917" max="15920" width="6.75" style="24" customWidth="1"/>
    <col min="15921" max="15921" width="6.5" style="24" customWidth="1"/>
    <col min="15922" max="15924" width="6.75" style="24" customWidth="1"/>
    <col min="15925" max="15925" width="6.5" style="24" customWidth="1"/>
    <col min="15926" max="15928" width="6.75" style="24" customWidth="1"/>
    <col min="15929" max="15930" width="6.5" style="24" customWidth="1"/>
    <col min="15931" max="15934" width="6.75" style="24" customWidth="1"/>
    <col min="15935" max="15935" width="6.5" style="24" customWidth="1"/>
    <col min="15936" max="16156" width="9" style="24"/>
    <col min="16157" max="16157" width="7.875" style="24" customWidth="1"/>
    <col min="16158" max="16161" width="6.875" style="24" customWidth="1"/>
    <col min="16162" max="16162" width="6.5" style="24" customWidth="1"/>
    <col min="16163" max="16166" width="6.75" style="24" customWidth="1"/>
    <col min="16167" max="16167" width="6.5" style="24" customWidth="1"/>
    <col min="16168" max="16171" width="6.75" style="24" customWidth="1"/>
    <col min="16172" max="16172" width="6.5" style="24" customWidth="1"/>
    <col min="16173" max="16176" width="6.75" style="24" customWidth="1"/>
    <col min="16177" max="16177" width="6.5" style="24" customWidth="1"/>
    <col min="16178" max="16180" width="6.75" style="24" customWidth="1"/>
    <col min="16181" max="16181" width="6.5" style="24" customWidth="1"/>
    <col min="16182" max="16184" width="6.75" style="24" customWidth="1"/>
    <col min="16185" max="16186" width="6.5" style="24" customWidth="1"/>
    <col min="16187" max="16190" width="6.75" style="24" customWidth="1"/>
    <col min="16191" max="16191" width="6.5" style="24" customWidth="1"/>
    <col min="16192" max="16384" width="9" style="24"/>
  </cols>
  <sheetData>
    <row r="1" spans="1:82" ht="20.100000000000001" customHeight="1"/>
    <row r="2" spans="1:82" ht="74.25" customHeight="1" thickBot="1">
      <c r="A2" s="465" t="s">
        <v>0</v>
      </c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32"/>
      <c r="AC2" s="32"/>
      <c r="AD2" s="32"/>
      <c r="AE2" s="32"/>
      <c r="AF2" s="32"/>
      <c r="AG2" s="33"/>
      <c r="AH2" s="32"/>
      <c r="AI2" s="32"/>
      <c r="AJ2" s="32"/>
      <c r="AK2" s="33"/>
      <c r="AL2" s="33"/>
      <c r="AM2" s="33"/>
      <c r="AN2" s="33"/>
      <c r="AO2" s="34"/>
      <c r="AP2" s="34"/>
      <c r="AQ2" s="34"/>
      <c r="AR2" s="34"/>
      <c r="AS2" s="34"/>
      <c r="AT2" s="34"/>
      <c r="AU2" s="35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</row>
    <row r="3" spans="1:82" ht="74.25" customHeight="1" thickBot="1">
      <c r="A3" s="36" t="s">
        <v>1</v>
      </c>
      <c r="B3" s="462" t="s">
        <v>120</v>
      </c>
      <c r="C3" s="463"/>
      <c r="D3" s="463"/>
      <c r="E3" s="463"/>
      <c r="F3" s="463"/>
      <c r="G3" s="463"/>
      <c r="H3" s="463"/>
      <c r="I3" s="463"/>
      <c r="J3" s="463"/>
      <c r="K3" s="464"/>
      <c r="L3" s="462" t="s">
        <v>121</v>
      </c>
      <c r="M3" s="463"/>
      <c r="N3" s="463"/>
      <c r="O3" s="463"/>
      <c r="P3" s="463"/>
      <c r="Q3" s="463"/>
      <c r="R3" s="463"/>
      <c r="S3" s="463"/>
      <c r="T3" s="463"/>
      <c r="U3" s="464"/>
      <c r="V3" s="462" t="s">
        <v>122</v>
      </c>
      <c r="W3" s="463"/>
      <c r="X3" s="463"/>
      <c r="Y3" s="463"/>
      <c r="Z3" s="463"/>
      <c r="AA3" s="463"/>
      <c r="AB3" s="463"/>
      <c r="AC3" s="463"/>
      <c r="AD3" s="463"/>
      <c r="AE3" s="464"/>
      <c r="AF3" s="462" t="s">
        <v>123</v>
      </c>
      <c r="AG3" s="463"/>
      <c r="AH3" s="463"/>
      <c r="AI3" s="463"/>
      <c r="AJ3" s="463"/>
      <c r="AK3" s="463"/>
      <c r="AL3" s="463"/>
      <c r="AM3" s="463"/>
      <c r="AN3" s="463"/>
      <c r="AO3" s="464"/>
      <c r="AP3" s="462" t="s">
        <v>124</v>
      </c>
      <c r="AQ3" s="463"/>
      <c r="AR3" s="463"/>
      <c r="AS3" s="463"/>
      <c r="AT3" s="463"/>
      <c r="AU3" s="463"/>
      <c r="AV3" s="463"/>
      <c r="AW3" s="463"/>
      <c r="AX3" s="464"/>
      <c r="AY3" s="462" t="s">
        <v>126</v>
      </c>
      <c r="AZ3" s="463"/>
      <c r="BA3" s="463"/>
      <c r="BB3" s="463"/>
      <c r="BC3" s="463"/>
      <c r="BD3" s="463"/>
      <c r="BE3" s="463"/>
      <c r="BF3" s="463"/>
      <c r="BG3" s="464"/>
      <c r="BH3" s="462" t="s">
        <v>125</v>
      </c>
      <c r="BI3" s="463"/>
      <c r="BJ3" s="463"/>
      <c r="BK3" s="463"/>
      <c r="BL3" s="463"/>
      <c r="BM3" s="463"/>
      <c r="BN3" s="46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</row>
    <row r="4" spans="1:82" s="25" customFormat="1" ht="74.25" customHeight="1">
      <c r="A4" s="37" t="s">
        <v>6</v>
      </c>
      <c r="B4" s="38" t="s">
        <v>7</v>
      </c>
      <c r="C4" s="39" t="s">
        <v>8</v>
      </c>
      <c r="D4" s="39" t="s">
        <v>9</v>
      </c>
      <c r="E4" s="39" t="s">
        <v>10</v>
      </c>
      <c r="F4" s="39" t="s">
        <v>48</v>
      </c>
      <c r="G4" s="39" t="s">
        <v>56</v>
      </c>
      <c r="H4" s="39" t="s">
        <v>110</v>
      </c>
      <c r="I4" s="39" t="s">
        <v>221</v>
      </c>
      <c r="J4" s="39" t="s">
        <v>286</v>
      </c>
      <c r="K4" s="40" t="s">
        <v>11</v>
      </c>
      <c r="L4" s="41" t="s">
        <v>7</v>
      </c>
      <c r="M4" s="42" t="s">
        <v>8</v>
      </c>
      <c r="N4" s="42" t="s">
        <v>9</v>
      </c>
      <c r="O4" s="42" t="s">
        <v>10</v>
      </c>
      <c r="P4" s="42" t="s">
        <v>48</v>
      </c>
      <c r="Q4" s="42" t="s">
        <v>56</v>
      </c>
      <c r="R4" s="42" t="s">
        <v>110</v>
      </c>
      <c r="S4" s="42" t="s">
        <v>221</v>
      </c>
      <c r="T4" s="42" t="s">
        <v>286</v>
      </c>
      <c r="U4" s="43" t="s">
        <v>11</v>
      </c>
      <c r="V4" s="66" t="s">
        <v>7</v>
      </c>
      <c r="W4" s="67" t="s">
        <v>8</v>
      </c>
      <c r="X4" s="67" t="s">
        <v>9</v>
      </c>
      <c r="Y4" s="67" t="s">
        <v>10</v>
      </c>
      <c r="Z4" s="67" t="s">
        <v>48</v>
      </c>
      <c r="AA4" s="67" t="s">
        <v>56</v>
      </c>
      <c r="AB4" s="67" t="s">
        <v>110</v>
      </c>
      <c r="AC4" s="67" t="s">
        <v>221</v>
      </c>
      <c r="AD4" s="67" t="s">
        <v>286</v>
      </c>
      <c r="AE4" s="43" t="s">
        <v>11</v>
      </c>
      <c r="AF4" s="41" t="s">
        <v>7</v>
      </c>
      <c r="AG4" s="42" t="s">
        <v>8</v>
      </c>
      <c r="AH4" s="42" t="s">
        <v>9</v>
      </c>
      <c r="AI4" s="42" t="s">
        <v>10</v>
      </c>
      <c r="AJ4" s="42" t="s">
        <v>48</v>
      </c>
      <c r="AK4" s="42" t="s">
        <v>56</v>
      </c>
      <c r="AL4" s="42" t="s">
        <v>110</v>
      </c>
      <c r="AM4" s="42" t="s">
        <v>221</v>
      </c>
      <c r="AN4" s="42" t="s">
        <v>286</v>
      </c>
      <c r="AO4" s="43" t="s">
        <v>11</v>
      </c>
      <c r="AP4" s="44" t="s">
        <v>8</v>
      </c>
      <c r="AQ4" s="44" t="s">
        <v>9</v>
      </c>
      <c r="AR4" s="44" t="s">
        <v>10</v>
      </c>
      <c r="AS4" s="44" t="s">
        <v>48</v>
      </c>
      <c r="AT4" s="44" t="s">
        <v>56</v>
      </c>
      <c r="AU4" s="42" t="s">
        <v>110</v>
      </c>
      <c r="AV4" s="42" t="s">
        <v>221</v>
      </c>
      <c r="AW4" s="42" t="s">
        <v>286</v>
      </c>
      <c r="AX4" s="43" t="s">
        <v>11</v>
      </c>
      <c r="AY4" s="44" t="s">
        <v>8</v>
      </c>
      <c r="AZ4" s="44" t="s">
        <v>9</v>
      </c>
      <c r="BA4" s="45" t="s">
        <v>10</v>
      </c>
      <c r="BB4" s="45" t="s">
        <v>48</v>
      </c>
      <c r="BC4" s="45" t="s">
        <v>56</v>
      </c>
      <c r="BD4" s="42" t="s">
        <v>110</v>
      </c>
      <c r="BE4" s="198" t="s">
        <v>221</v>
      </c>
      <c r="BF4" s="198" t="s">
        <v>286</v>
      </c>
      <c r="BG4" s="40" t="s">
        <v>11</v>
      </c>
      <c r="BH4" s="38" t="s">
        <v>10</v>
      </c>
      <c r="BI4" s="39" t="s">
        <v>48</v>
      </c>
      <c r="BJ4" s="39" t="s">
        <v>56</v>
      </c>
      <c r="BK4" s="42" t="s">
        <v>110</v>
      </c>
      <c r="BL4" s="42" t="s">
        <v>221</v>
      </c>
      <c r="BM4" s="42" t="s">
        <v>286</v>
      </c>
      <c r="BN4" s="40" t="s">
        <v>11</v>
      </c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</row>
    <row r="5" spans="1:82" ht="74.25" customHeight="1">
      <c r="A5" s="199" t="s">
        <v>12</v>
      </c>
      <c r="B5" s="200">
        <v>164</v>
      </c>
      <c r="C5" s="201">
        <v>398</v>
      </c>
      <c r="D5" s="92">
        <v>1727</v>
      </c>
      <c r="E5" s="92">
        <v>4330</v>
      </c>
      <c r="F5" s="103">
        <v>3809</v>
      </c>
      <c r="G5" s="103">
        <v>10009</v>
      </c>
      <c r="H5" s="104">
        <f>'外国語実績201201-201712'!M82</f>
        <v>10467</v>
      </c>
      <c r="I5" s="104">
        <f>'外国語実績201201-201712'!M94</f>
        <v>8873</v>
      </c>
      <c r="J5" s="104">
        <f>'外国語実績201201-201712'!M106</f>
        <v>42</v>
      </c>
      <c r="K5" s="88">
        <f>(J5-I5)/I5</f>
        <v>-0.99526653893835226</v>
      </c>
      <c r="L5" s="200">
        <v>34</v>
      </c>
      <c r="M5" s="201">
        <v>45</v>
      </c>
      <c r="N5" s="202">
        <v>75</v>
      </c>
      <c r="O5" s="202">
        <v>175</v>
      </c>
      <c r="P5" s="203">
        <v>158</v>
      </c>
      <c r="Q5" s="203">
        <v>0</v>
      </c>
      <c r="R5" s="204">
        <f>'外国語実績201201-201712'!M194</f>
        <v>0</v>
      </c>
      <c r="S5" s="204">
        <f>'外国語実績201201-201712'!M206</f>
        <v>0</v>
      </c>
      <c r="T5" s="204">
        <f>'外国語実績201201-201712'!M218</f>
        <v>0</v>
      </c>
      <c r="U5" s="88" t="e">
        <f>(T5-S5)/S5</f>
        <v>#DIV/0!</v>
      </c>
      <c r="V5" s="200">
        <v>21</v>
      </c>
      <c r="W5" s="201">
        <v>42</v>
      </c>
      <c r="X5" s="205">
        <v>95</v>
      </c>
      <c r="Y5" s="205">
        <v>119</v>
      </c>
      <c r="Z5" s="206">
        <v>89</v>
      </c>
      <c r="AA5" s="206">
        <v>86</v>
      </c>
      <c r="AB5" s="207">
        <f>'外国語実績201201-201712'!M309</f>
        <v>105</v>
      </c>
      <c r="AC5" s="207">
        <f>'外国語実績201201-201712'!M321</f>
        <v>144</v>
      </c>
      <c r="AD5" s="207">
        <f>'外国語実績201201-201712'!M333</f>
        <v>1</v>
      </c>
      <c r="AE5" s="88">
        <f>(AD5-AC5)/AC5</f>
        <v>-0.99305555555555558</v>
      </c>
      <c r="AF5" s="200">
        <v>4</v>
      </c>
      <c r="AG5" s="201">
        <v>4</v>
      </c>
      <c r="AH5" s="205">
        <v>11</v>
      </c>
      <c r="AI5" s="205">
        <v>41</v>
      </c>
      <c r="AJ5" s="206">
        <v>25</v>
      </c>
      <c r="AK5" s="206">
        <v>53</v>
      </c>
      <c r="AL5" s="207">
        <f>'外国語実績201201-201712'!M421</f>
        <v>41</v>
      </c>
      <c r="AM5" s="207">
        <f>'外国語実績201201-201712'!M433</f>
        <v>71</v>
      </c>
      <c r="AN5" s="207">
        <f>'外国語実績201201-201712'!M445</f>
        <v>6</v>
      </c>
      <c r="AO5" s="88">
        <f>(AN5-AM5)/AM5</f>
        <v>-0.91549295774647887</v>
      </c>
      <c r="AP5" s="208"/>
      <c r="AQ5" s="209">
        <v>28</v>
      </c>
      <c r="AR5" s="210">
        <v>162</v>
      </c>
      <c r="AS5" s="211">
        <v>125</v>
      </c>
      <c r="AT5" s="211">
        <v>207</v>
      </c>
      <c r="AU5" s="211">
        <f>'外国語実績201201-201712'!M512</f>
        <v>199</v>
      </c>
      <c r="AV5" s="211">
        <f>'外国語実績201201-201712'!M524</f>
        <v>189</v>
      </c>
      <c r="AW5" s="211">
        <f>'外国語実績201201-201712'!M536</f>
        <v>1</v>
      </c>
      <c r="AX5" s="88">
        <f>(AW5-AV5)/AV5</f>
        <v>-0.99470899470899465</v>
      </c>
      <c r="AY5" s="212"/>
      <c r="AZ5" s="209">
        <v>14</v>
      </c>
      <c r="BA5" s="209">
        <v>25</v>
      </c>
      <c r="BB5" s="213">
        <v>17</v>
      </c>
      <c r="BC5" s="213">
        <v>57</v>
      </c>
      <c r="BD5" s="213">
        <f>'外国語実績201201-201712'!M600</f>
        <v>50</v>
      </c>
      <c r="BE5" s="213">
        <f>'外国語実績201201-201712'!M612</f>
        <v>49</v>
      </c>
      <c r="BF5" s="213">
        <f>'外国語実績201201-201712'!M624</f>
        <v>3</v>
      </c>
      <c r="BG5" s="88">
        <f>(BF5-BE5)/BE5</f>
        <v>-0.93877551020408168</v>
      </c>
      <c r="BH5" s="81">
        <v>0</v>
      </c>
      <c r="BI5" s="82">
        <v>1458</v>
      </c>
      <c r="BJ5" s="82">
        <v>1988</v>
      </c>
      <c r="BK5" s="82">
        <f>'外国語実績201201-201712'!M680</f>
        <v>990</v>
      </c>
      <c r="BL5" s="82">
        <f>'外国語実績201201-201712'!M692</f>
        <v>897</v>
      </c>
      <c r="BM5" s="82">
        <f>'外国語実績201201-201712'!M704</f>
        <v>19</v>
      </c>
      <c r="BN5" s="88">
        <f>(BM5-BL5)/BL5</f>
        <v>-0.9788182831661093</v>
      </c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</row>
    <row r="6" spans="1:82" ht="74.25" customHeight="1">
      <c r="A6" s="199" t="s">
        <v>13</v>
      </c>
      <c r="B6" s="200">
        <v>190</v>
      </c>
      <c r="C6" s="201">
        <v>438</v>
      </c>
      <c r="D6" s="214">
        <v>1740</v>
      </c>
      <c r="E6" s="92">
        <v>4038</v>
      </c>
      <c r="F6" s="103">
        <v>3383</v>
      </c>
      <c r="G6" s="103">
        <v>8104</v>
      </c>
      <c r="H6" s="104">
        <f>'外国語実績201201-201712'!M83</f>
        <v>8315</v>
      </c>
      <c r="I6" s="104">
        <f>'外国語実績201201-201712'!M95</f>
        <v>7329</v>
      </c>
      <c r="J6" s="104">
        <f>'外国語実績201201-201712'!M107</f>
        <v>64</v>
      </c>
      <c r="K6" s="88">
        <f t="shared" ref="K6:K17" si="0">(J6-I6)/I6</f>
        <v>-0.99126756719879927</v>
      </c>
      <c r="L6" s="200">
        <v>27</v>
      </c>
      <c r="M6" s="201">
        <v>60</v>
      </c>
      <c r="N6" s="215">
        <v>103</v>
      </c>
      <c r="O6" s="202">
        <v>156</v>
      </c>
      <c r="P6" s="203">
        <v>166</v>
      </c>
      <c r="Q6" s="203">
        <v>0</v>
      </c>
      <c r="R6" s="204">
        <f>'外国語実績201201-201712'!M195</f>
        <v>0</v>
      </c>
      <c r="S6" s="204">
        <f>'外国語実績201201-201712'!M207</f>
        <v>0</v>
      </c>
      <c r="T6" s="204">
        <f>'外国語実績201201-201712'!M219</f>
        <v>0</v>
      </c>
      <c r="U6" s="88" t="e">
        <f t="shared" ref="U6:U17" si="1">(T6-S6)/S6</f>
        <v>#DIV/0!</v>
      </c>
      <c r="V6" s="200">
        <v>16</v>
      </c>
      <c r="W6" s="201">
        <v>29</v>
      </c>
      <c r="X6" s="216">
        <v>60</v>
      </c>
      <c r="Y6" s="205">
        <v>86</v>
      </c>
      <c r="Z6" s="206">
        <v>54</v>
      </c>
      <c r="AA6" s="206">
        <v>41</v>
      </c>
      <c r="AB6" s="207">
        <f>'外国語実績201201-201712'!M310</f>
        <v>101</v>
      </c>
      <c r="AC6" s="207">
        <f>'外国語実績201201-201712'!M322</f>
        <v>108</v>
      </c>
      <c r="AD6" s="207">
        <f>'外国語実績201201-201712'!M334</f>
        <v>0</v>
      </c>
      <c r="AE6" s="88">
        <f t="shared" ref="AE6:AE17" si="2">(AD6-AC6)/AC6</f>
        <v>-1</v>
      </c>
      <c r="AF6" s="200">
        <v>0</v>
      </c>
      <c r="AG6" s="201">
        <v>3</v>
      </c>
      <c r="AH6" s="216">
        <v>15</v>
      </c>
      <c r="AI6" s="205">
        <v>11</v>
      </c>
      <c r="AJ6" s="206">
        <v>18</v>
      </c>
      <c r="AK6" s="206">
        <v>13</v>
      </c>
      <c r="AL6" s="207">
        <f>'外国語実績201201-201712'!M422</f>
        <v>23</v>
      </c>
      <c r="AM6" s="207">
        <f>'外国語実績201201-201712'!M434</f>
        <v>53</v>
      </c>
      <c r="AN6" s="207">
        <f>'外国語実績201201-201712'!M446</f>
        <v>0</v>
      </c>
      <c r="AO6" s="88">
        <f t="shared" ref="AO6:AO17" si="3">(AN6-AM6)/AM6</f>
        <v>-1</v>
      </c>
      <c r="AP6" s="208"/>
      <c r="AQ6" s="209">
        <v>40</v>
      </c>
      <c r="AR6" s="210">
        <v>134</v>
      </c>
      <c r="AS6" s="211">
        <v>114</v>
      </c>
      <c r="AT6" s="211">
        <v>140</v>
      </c>
      <c r="AU6" s="211">
        <f>'外国語実績201201-201712'!M513</f>
        <v>158</v>
      </c>
      <c r="AV6" s="211">
        <f>'外国語実績201201-201712'!M525</f>
        <v>175</v>
      </c>
      <c r="AW6" s="211">
        <f>'外国語実績201201-201712'!M537</f>
        <v>0</v>
      </c>
      <c r="AX6" s="88">
        <f t="shared" ref="AX6:AX17" si="4">(AW6-AV6)/AV6</f>
        <v>-1</v>
      </c>
      <c r="AY6" s="209"/>
      <c r="AZ6" s="209">
        <v>4</v>
      </c>
      <c r="BA6" s="209">
        <v>20</v>
      </c>
      <c r="BB6" s="213">
        <v>13</v>
      </c>
      <c r="BC6" s="213">
        <v>23</v>
      </c>
      <c r="BD6" s="213">
        <f>'外国語実績201201-201712'!M601</f>
        <v>35</v>
      </c>
      <c r="BE6" s="213">
        <f>'外国語実績201201-201712'!M613</f>
        <v>38</v>
      </c>
      <c r="BF6" s="213">
        <f>'外国語実績201201-201712'!M625</f>
        <v>0</v>
      </c>
      <c r="BG6" s="88">
        <f t="shared" ref="BG6:BG17" si="5">(BF6-BE6)/BE6</f>
        <v>-1</v>
      </c>
      <c r="BH6" s="83">
        <v>257</v>
      </c>
      <c r="BI6" s="82">
        <v>1149</v>
      </c>
      <c r="BJ6" s="82">
        <v>1261</v>
      </c>
      <c r="BK6" s="82">
        <f>'外国語実績201201-201712'!M681</f>
        <v>643</v>
      </c>
      <c r="BL6" s="82">
        <f>'外国語実績201201-201712'!M693</f>
        <v>643</v>
      </c>
      <c r="BM6" s="82">
        <f>'外国語実績201201-201712'!M705</f>
        <v>4</v>
      </c>
      <c r="BN6" s="88">
        <f t="shared" ref="BN6:BN17" si="6">(BM6-BL6)/BL6</f>
        <v>-0.99377916018662515</v>
      </c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</row>
    <row r="7" spans="1:82" s="26" customFormat="1" ht="74.25" customHeight="1">
      <c r="A7" s="217" t="s">
        <v>14</v>
      </c>
      <c r="B7" s="218">
        <v>150</v>
      </c>
      <c r="C7" s="219">
        <v>374</v>
      </c>
      <c r="D7" s="220">
        <v>1807</v>
      </c>
      <c r="E7" s="92">
        <v>3701</v>
      </c>
      <c r="F7" s="103">
        <v>3072</v>
      </c>
      <c r="G7" s="103">
        <v>5568</v>
      </c>
      <c r="H7" s="104">
        <f>'外国語実績201201-201712'!M84</f>
        <v>6263</v>
      </c>
      <c r="I7" s="104">
        <f>'外国語実績201201-201712'!M96</f>
        <v>6105</v>
      </c>
      <c r="J7" s="104">
        <f>'外国語実績201201-201712'!M108</f>
        <v>76</v>
      </c>
      <c r="K7" s="88">
        <f t="shared" si="0"/>
        <v>-0.98755118755118754</v>
      </c>
      <c r="L7" s="219">
        <v>269</v>
      </c>
      <c r="M7" s="221">
        <v>383</v>
      </c>
      <c r="N7" s="222">
        <v>704</v>
      </c>
      <c r="O7" s="202">
        <v>864</v>
      </c>
      <c r="P7" s="203">
        <v>1196</v>
      </c>
      <c r="Q7" s="203">
        <v>997</v>
      </c>
      <c r="R7" s="204">
        <f>'外国語実績201201-201712'!M196</f>
        <v>1085</v>
      </c>
      <c r="S7" s="204">
        <f>'外国語実績201201-201712'!M208</f>
        <v>0</v>
      </c>
      <c r="T7" s="204">
        <f>'外国語実績201201-201712'!M220</f>
        <v>0</v>
      </c>
      <c r="U7" s="88" t="e">
        <f t="shared" si="1"/>
        <v>#DIV/0!</v>
      </c>
      <c r="V7" s="219">
        <v>6</v>
      </c>
      <c r="W7" s="221">
        <v>22</v>
      </c>
      <c r="X7" s="223">
        <v>57</v>
      </c>
      <c r="Y7" s="205">
        <v>68</v>
      </c>
      <c r="Z7" s="206">
        <v>50</v>
      </c>
      <c r="AA7" s="206">
        <v>82</v>
      </c>
      <c r="AB7" s="207">
        <f>'外国語実績201201-201712'!M311</f>
        <v>91</v>
      </c>
      <c r="AC7" s="207">
        <f>'外国語実績201201-201712'!M323</f>
        <v>82</v>
      </c>
      <c r="AD7" s="207">
        <f>'外国語実績201201-201712'!M335</f>
        <v>14</v>
      </c>
      <c r="AE7" s="88">
        <f t="shared" si="2"/>
        <v>-0.82926829268292679</v>
      </c>
      <c r="AF7" s="219">
        <v>0</v>
      </c>
      <c r="AG7" s="221">
        <v>3</v>
      </c>
      <c r="AH7" s="223">
        <v>11</v>
      </c>
      <c r="AI7" s="205">
        <v>8</v>
      </c>
      <c r="AJ7" s="206">
        <v>16</v>
      </c>
      <c r="AK7" s="206">
        <v>15</v>
      </c>
      <c r="AL7" s="207">
        <f>'外国語実績201201-201712'!M423</f>
        <v>21</v>
      </c>
      <c r="AM7" s="207">
        <f>'外国語実績201201-201712'!M435</f>
        <v>31</v>
      </c>
      <c r="AN7" s="207">
        <f>'外国語実績201201-201712'!M447</f>
        <v>2</v>
      </c>
      <c r="AO7" s="88">
        <f t="shared" si="3"/>
        <v>-0.93548387096774188</v>
      </c>
      <c r="AP7" s="224"/>
      <c r="AQ7" s="213">
        <v>39</v>
      </c>
      <c r="AR7" s="211">
        <v>100</v>
      </c>
      <c r="AS7" s="211">
        <v>61</v>
      </c>
      <c r="AT7" s="211">
        <v>58</v>
      </c>
      <c r="AU7" s="211">
        <f>'外国語実績201201-201712'!M514</f>
        <v>109</v>
      </c>
      <c r="AV7" s="211">
        <f>'外国語実績201201-201712'!M526</f>
        <v>145</v>
      </c>
      <c r="AW7" s="211">
        <f>'外国語実績201201-201712'!M538</f>
        <v>10</v>
      </c>
      <c r="AX7" s="88">
        <f t="shared" si="4"/>
        <v>-0.93103448275862066</v>
      </c>
      <c r="AY7" s="213"/>
      <c r="AZ7" s="213">
        <v>4</v>
      </c>
      <c r="BA7" s="213">
        <v>17</v>
      </c>
      <c r="BB7" s="213">
        <v>9</v>
      </c>
      <c r="BC7" s="213">
        <v>24</v>
      </c>
      <c r="BD7" s="213">
        <f>'外国語実績201201-201712'!M602</f>
        <v>38</v>
      </c>
      <c r="BE7" s="213">
        <f>'外国語実績201201-201712'!M614</f>
        <v>25</v>
      </c>
      <c r="BF7" s="213">
        <f>'外国語実績201201-201712'!M626</f>
        <v>13</v>
      </c>
      <c r="BG7" s="88">
        <f t="shared" si="5"/>
        <v>-0.48</v>
      </c>
      <c r="BH7" s="84">
        <v>177</v>
      </c>
      <c r="BI7" s="82">
        <v>734</v>
      </c>
      <c r="BJ7" s="82">
        <v>457</v>
      </c>
      <c r="BK7" s="82">
        <f>'外国語実績201201-201712'!M682</f>
        <v>335</v>
      </c>
      <c r="BL7" s="82">
        <f>'外国語実績201201-201712'!M694</f>
        <v>313</v>
      </c>
      <c r="BM7" s="82">
        <f>'外国語実績201201-201712'!M706</f>
        <v>16</v>
      </c>
      <c r="BN7" s="88">
        <f t="shared" si="6"/>
        <v>-0.94888178913738019</v>
      </c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</row>
    <row r="8" spans="1:82" s="27" customFormat="1" ht="74.25" customHeight="1">
      <c r="A8" s="225" t="s">
        <v>15</v>
      </c>
      <c r="B8" s="226">
        <v>258</v>
      </c>
      <c r="C8" s="227">
        <v>628</v>
      </c>
      <c r="D8" s="228">
        <v>2041</v>
      </c>
      <c r="E8" s="102">
        <v>3792</v>
      </c>
      <c r="F8" s="105">
        <v>3922</v>
      </c>
      <c r="G8" s="105">
        <v>5938</v>
      </c>
      <c r="H8" s="104">
        <f>'外国語実績201201-201712'!M85</f>
        <v>6913</v>
      </c>
      <c r="I8" s="104">
        <f>'外国語実績201201-201712'!M97</f>
        <v>8428</v>
      </c>
      <c r="J8" s="104">
        <f>'外国語実績201201-201712'!M109</f>
        <v>0</v>
      </c>
      <c r="K8" s="88">
        <f t="shared" si="0"/>
        <v>-1</v>
      </c>
      <c r="L8" s="227">
        <v>1014</v>
      </c>
      <c r="M8" s="229">
        <v>1193</v>
      </c>
      <c r="N8" s="230">
        <v>2363</v>
      </c>
      <c r="O8" s="231">
        <v>2863</v>
      </c>
      <c r="P8" s="232">
        <v>2708</v>
      </c>
      <c r="Q8" s="232">
        <v>3176</v>
      </c>
      <c r="R8" s="204">
        <f>'外国語実績201201-201712'!M197</f>
        <v>2088</v>
      </c>
      <c r="S8" s="204">
        <f>'外国語実績201201-201712'!M209</f>
        <v>0</v>
      </c>
      <c r="T8" s="204">
        <f>'外国語実績201201-201712'!M221</f>
        <v>0</v>
      </c>
      <c r="U8" s="88" t="e">
        <f t="shared" si="1"/>
        <v>#DIV/0!</v>
      </c>
      <c r="V8" s="227">
        <v>27</v>
      </c>
      <c r="W8" s="229">
        <v>27</v>
      </c>
      <c r="X8" s="233">
        <v>54</v>
      </c>
      <c r="Y8" s="229">
        <v>84</v>
      </c>
      <c r="Z8" s="82">
        <v>50</v>
      </c>
      <c r="AA8" s="82">
        <v>82</v>
      </c>
      <c r="AB8" s="207">
        <f>'外国語実績201201-201712'!M312</f>
        <v>188</v>
      </c>
      <c r="AC8" s="207">
        <f>'外国語実績201201-201712'!M324</f>
        <v>107</v>
      </c>
      <c r="AD8" s="207">
        <f>'外国語実績201201-201712'!M336</f>
        <v>0</v>
      </c>
      <c r="AE8" s="88">
        <f t="shared" si="2"/>
        <v>-1</v>
      </c>
      <c r="AF8" s="227">
        <v>1</v>
      </c>
      <c r="AG8" s="229">
        <v>7</v>
      </c>
      <c r="AH8" s="233">
        <v>13</v>
      </c>
      <c r="AI8" s="229">
        <v>40</v>
      </c>
      <c r="AJ8" s="82">
        <v>15</v>
      </c>
      <c r="AK8" s="82">
        <v>14</v>
      </c>
      <c r="AL8" s="207">
        <f>'外国語実績201201-201712'!M424</f>
        <v>45</v>
      </c>
      <c r="AM8" s="207">
        <f>'外国語実績201201-201712'!M436</f>
        <v>58</v>
      </c>
      <c r="AN8" s="207">
        <f>'外国語実績201201-201712'!M448</f>
        <v>0</v>
      </c>
      <c r="AO8" s="88">
        <f t="shared" si="3"/>
        <v>-1</v>
      </c>
      <c r="AP8" s="234"/>
      <c r="AQ8" s="235">
        <v>43</v>
      </c>
      <c r="AR8" s="236">
        <v>93</v>
      </c>
      <c r="AS8" s="237">
        <v>124</v>
      </c>
      <c r="AT8" s="237">
        <v>108</v>
      </c>
      <c r="AU8" s="211">
        <f>'外国語実績201201-201712'!M515</f>
        <v>144</v>
      </c>
      <c r="AV8" s="211">
        <f>'外国語実績201201-201712'!M527</f>
        <v>141</v>
      </c>
      <c r="AW8" s="211">
        <f>'外国語実績201201-201712'!M539</f>
        <v>0</v>
      </c>
      <c r="AX8" s="88">
        <f t="shared" si="4"/>
        <v>-1</v>
      </c>
      <c r="AY8" s="235"/>
      <c r="AZ8" s="235">
        <v>19</v>
      </c>
      <c r="BA8" s="235">
        <v>20</v>
      </c>
      <c r="BB8" s="238">
        <v>33</v>
      </c>
      <c r="BC8" s="238">
        <v>13</v>
      </c>
      <c r="BD8" s="213">
        <f>'外国語実績201201-201712'!M603</f>
        <v>33</v>
      </c>
      <c r="BE8" s="213">
        <f>'外国語実績201201-201712'!M615</f>
        <v>16</v>
      </c>
      <c r="BF8" s="213">
        <f>'外国語実績201201-201712'!M627</f>
        <v>0</v>
      </c>
      <c r="BG8" s="88">
        <f t="shared" si="5"/>
        <v>-1</v>
      </c>
      <c r="BH8" s="84">
        <v>267</v>
      </c>
      <c r="BI8" s="82">
        <v>1032</v>
      </c>
      <c r="BJ8" s="82">
        <v>725</v>
      </c>
      <c r="BK8" s="82">
        <f>'外国語実績201201-201712'!M683</f>
        <v>502</v>
      </c>
      <c r="BL8" s="82">
        <f>'外国語実績201201-201712'!M695</f>
        <v>348</v>
      </c>
      <c r="BM8" s="82">
        <f>'外国語実績201201-201712'!M707</f>
        <v>0</v>
      </c>
      <c r="BN8" s="88">
        <f t="shared" si="6"/>
        <v>-1</v>
      </c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</row>
    <row r="9" spans="1:82" ht="74.25" customHeight="1">
      <c r="A9" s="199" t="s">
        <v>16</v>
      </c>
      <c r="B9" s="239">
        <v>178</v>
      </c>
      <c r="C9" s="240">
        <v>513</v>
      </c>
      <c r="D9" s="214">
        <v>1677</v>
      </c>
      <c r="E9" s="92">
        <v>3481</v>
      </c>
      <c r="F9" s="103">
        <v>3981</v>
      </c>
      <c r="G9" s="103">
        <v>5222</v>
      </c>
      <c r="H9" s="104">
        <f>'外国語実績201201-201712'!M86</f>
        <v>7381</v>
      </c>
      <c r="I9" s="104">
        <f>'外国語実績201201-201712'!M98</f>
        <v>7306</v>
      </c>
      <c r="J9" s="104">
        <f>'外国語実績201201-201712'!M110</f>
        <v>0</v>
      </c>
      <c r="K9" s="88">
        <f t="shared" si="0"/>
        <v>-1</v>
      </c>
      <c r="L9" s="240">
        <v>926</v>
      </c>
      <c r="M9" s="205">
        <v>1124</v>
      </c>
      <c r="N9" s="215">
        <v>2139</v>
      </c>
      <c r="O9" s="202">
        <v>2454</v>
      </c>
      <c r="P9" s="203">
        <v>2486</v>
      </c>
      <c r="Q9" s="203">
        <v>1745</v>
      </c>
      <c r="R9" s="204">
        <f>'外国語実績201201-201712'!M198</f>
        <v>0</v>
      </c>
      <c r="S9" s="204">
        <f>'外国語実績201201-201712'!M210</f>
        <v>0</v>
      </c>
      <c r="T9" s="204">
        <f>'外国語実績201201-201712'!M222</f>
        <v>0</v>
      </c>
      <c r="U9" s="88" t="e">
        <f t="shared" si="1"/>
        <v>#DIV/0!</v>
      </c>
      <c r="V9" s="240">
        <v>18</v>
      </c>
      <c r="W9" s="205">
        <v>19</v>
      </c>
      <c r="X9" s="216">
        <v>61</v>
      </c>
      <c r="Y9" s="205">
        <v>79</v>
      </c>
      <c r="Z9" s="206">
        <v>64</v>
      </c>
      <c r="AA9" s="206">
        <v>64</v>
      </c>
      <c r="AB9" s="207">
        <f>'外国語実績201201-201712'!M313</f>
        <v>91</v>
      </c>
      <c r="AC9" s="207">
        <f>'外国語実績201201-201712'!M325</f>
        <v>103</v>
      </c>
      <c r="AD9" s="207">
        <f>'外国語実績201201-201712'!M337</f>
        <v>0</v>
      </c>
      <c r="AE9" s="88">
        <f t="shared" si="2"/>
        <v>-1</v>
      </c>
      <c r="AF9" s="240">
        <v>4</v>
      </c>
      <c r="AG9" s="205">
        <v>6</v>
      </c>
      <c r="AH9" s="216">
        <v>7</v>
      </c>
      <c r="AI9" s="205">
        <v>15</v>
      </c>
      <c r="AJ9" s="206">
        <v>18</v>
      </c>
      <c r="AK9" s="206">
        <v>14</v>
      </c>
      <c r="AL9" s="207">
        <f>'外国語実績201201-201712'!M425</f>
        <v>31</v>
      </c>
      <c r="AM9" s="207">
        <f>'外国語実績201201-201712'!M437</f>
        <v>33</v>
      </c>
      <c r="AN9" s="207">
        <f>'外国語実績201201-201712'!M449</f>
        <v>0</v>
      </c>
      <c r="AO9" s="88">
        <f t="shared" si="3"/>
        <v>-1</v>
      </c>
      <c r="AP9" s="208"/>
      <c r="AQ9" s="209">
        <v>44</v>
      </c>
      <c r="AR9" s="210">
        <v>104</v>
      </c>
      <c r="AS9" s="211">
        <v>82</v>
      </c>
      <c r="AT9" s="211">
        <v>47</v>
      </c>
      <c r="AU9" s="211">
        <f>'外国語実績201201-201712'!M516</f>
        <v>131</v>
      </c>
      <c r="AV9" s="211">
        <f>'外国語実績201201-201712'!M528</f>
        <v>137</v>
      </c>
      <c r="AW9" s="211">
        <f>'外国語実績201201-201712'!M540</f>
        <v>0</v>
      </c>
      <c r="AX9" s="88">
        <f t="shared" si="4"/>
        <v>-1</v>
      </c>
      <c r="AY9" s="209"/>
      <c r="AZ9" s="209">
        <v>15</v>
      </c>
      <c r="BA9" s="209">
        <v>30</v>
      </c>
      <c r="BB9" s="213">
        <v>21</v>
      </c>
      <c r="BC9" s="213">
        <v>29</v>
      </c>
      <c r="BD9" s="213">
        <f>'外国語実績201201-201712'!M604</f>
        <v>38</v>
      </c>
      <c r="BE9" s="213">
        <f>'外国語実績201201-201712'!M616</f>
        <v>36</v>
      </c>
      <c r="BF9" s="213">
        <f>'外国語実績201201-201712'!M628</f>
        <v>0</v>
      </c>
      <c r="BG9" s="88">
        <f t="shared" si="5"/>
        <v>-1</v>
      </c>
      <c r="BH9" s="84">
        <v>333</v>
      </c>
      <c r="BI9" s="82">
        <v>1109</v>
      </c>
      <c r="BJ9" s="82">
        <v>649</v>
      </c>
      <c r="BK9" s="82">
        <f>'外国語実績201201-201712'!M684</f>
        <v>512</v>
      </c>
      <c r="BL9" s="82">
        <f>'外国語実績201201-201712'!M696</f>
        <v>357</v>
      </c>
      <c r="BM9" s="82">
        <f>'外国語実績201201-201712'!M708</f>
        <v>0</v>
      </c>
      <c r="BN9" s="88">
        <f t="shared" si="6"/>
        <v>-1</v>
      </c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</row>
    <row r="10" spans="1:82" ht="74.25" customHeight="1">
      <c r="A10" s="199" t="s">
        <v>17</v>
      </c>
      <c r="B10" s="239">
        <v>161</v>
      </c>
      <c r="C10" s="240">
        <v>443</v>
      </c>
      <c r="D10" s="214">
        <v>1604</v>
      </c>
      <c r="E10" s="92">
        <v>3856</v>
      </c>
      <c r="F10" s="103">
        <v>4806</v>
      </c>
      <c r="G10" s="103">
        <v>6685</v>
      </c>
      <c r="H10" s="104">
        <f>'外国語実績201201-201712'!M87</f>
        <v>6005</v>
      </c>
      <c r="I10" s="104">
        <f>'外国語実績201201-201712'!M99</f>
        <v>6075</v>
      </c>
      <c r="J10" s="104">
        <f>'外国語実績201201-201712'!M111</f>
        <v>0</v>
      </c>
      <c r="K10" s="88">
        <f t="shared" si="0"/>
        <v>-1</v>
      </c>
      <c r="L10" s="240">
        <v>129</v>
      </c>
      <c r="M10" s="205">
        <v>443</v>
      </c>
      <c r="N10" s="215">
        <v>557</v>
      </c>
      <c r="O10" s="202">
        <v>596</v>
      </c>
      <c r="P10" s="203">
        <v>488</v>
      </c>
      <c r="Q10" s="203">
        <v>0</v>
      </c>
      <c r="R10" s="204">
        <f>'外国語実績201201-201712'!M199</f>
        <v>0</v>
      </c>
      <c r="S10" s="204">
        <f>'外国語実績201201-201712'!M211</f>
        <v>0</v>
      </c>
      <c r="T10" s="204">
        <f>'外国語実績201201-201712'!M223</f>
        <v>0</v>
      </c>
      <c r="U10" s="88" t="e">
        <f t="shared" si="1"/>
        <v>#DIV/0!</v>
      </c>
      <c r="V10" s="240">
        <v>24</v>
      </c>
      <c r="W10" s="205">
        <v>46</v>
      </c>
      <c r="X10" s="216">
        <v>91</v>
      </c>
      <c r="Y10" s="205">
        <v>103</v>
      </c>
      <c r="Z10" s="206">
        <v>56</v>
      </c>
      <c r="AA10" s="206">
        <v>101</v>
      </c>
      <c r="AB10" s="207">
        <f>'外国語実績201201-201712'!M314</f>
        <v>142</v>
      </c>
      <c r="AC10" s="207">
        <f>'外国語実績201201-201712'!M326</f>
        <v>133</v>
      </c>
      <c r="AD10" s="207">
        <f>'外国語実績201201-201712'!M338</f>
        <v>0</v>
      </c>
      <c r="AE10" s="88">
        <f t="shared" si="2"/>
        <v>-1</v>
      </c>
      <c r="AF10" s="240">
        <v>4</v>
      </c>
      <c r="AG10" s="205">
        <v>4</v>
      </c>
      <c r="AH10" s="216">
        <v>7</v>
      </c>
      <c r="AI10" s="205">
        <v>18</v>
      </c>
      <c r="AJ10" s="206">
        <v>13</v>
      </c>
      <c r="AK10" s="206">
        <v>13</v>
      </c>
      <c r="AL10" s="207">
        <f>'外国語実績201201-201712'!M426</f>
        <v>24</v>
      </c>
      <c r="AM10" s="207">
        <f>'外国語実績201201-201712'!M438</f>
        <v>26</v>
      </c>
      <c r="AN10" s="207">
        <f>'外国語実績201201-201712'!M450</f>
        <v>0</v>
      </c>
      <c r="AO10" s="88">
        <f t="shared" si="3"/>
        <v>-1</v>
      </c>
      <c r="AP10" s="208"/>
      <c r="AQ10" s="209">
        <v>77</v>
      </c>
      <c r="AR10" s="210">
        <v>126</v>
      </c>
      <c r="AS10" s="211">
        <v>118</v>
      </c>
      <c r="AT10" s="211">
        <v>117</v>
      </c>
      <c r="AU10" s="211">
        <f>'外国語実績201201-201712'!M517</f>
        <v>169</v>
      </c>
      <c r="AV10" s="211">
        <f>'外国語実績201201-201712'!M529</f>
        <v>248</v>
      </c>
      <c r="AW10" s="211">
        <f>'外国語実績201201-201712'!M541</f>
        <v>0</v>
      </c>
      <c r="AX10" s="88">
        <f t="shared" si="4"/>
        <v>-1</v>
      </c>
      <c r="AY10" s="209"/>
      <c r="AZ10" s="209">
        <v>15</v>
      </c>
      <c r="BA10" s="209">
        <v>34</v>
      </c>
      <c r="BB10" s="213">
        <v>30</v>
      </c>
      <c r="BC10" s="213">
        <v>31</v>
      </c>
      <c r="BD10" s="213">
        <f>'外国語実績201201-201712'!M605</f>
        <v>31</v>
      </c>
      <c r="BE10" s="213">
        <f>'外国語実績201201-201712'!M617</f>
        <v>41</v>
      </c>
      <c r="BF10" s="213">
        <f>'外国語実績201201-201712'!M629</f>
        <v>0</v>
      </c>
      <c r="BG10" s="88">
        <f t="shared" si="5"/>
        <v>-1</v>
      </c>
      <c r="BH10" s="83">
        <v>248</v>
      </c>
      <c r="BI10" s="82">
        <v>847</v>
      </c>
      <c r="BJ10" s="82">
        <v>280</v>
      </c>
      <c r="BK10" s="82">
        <f>'外国語実績201201-201712'!M685</f>
        <v>350</v>
      </c>
      <c r="BL10" s="82">
        <f>'外国語実績201201-201712'!M697</f>
        <v>264</v>
      </c>
      <c r="BM10" s="82">
        <f>'外国語実績201201-201712'!M709</f>
        <v>0</v>
      </c>
      <c r="BN10" s="88">
        <f t="shared" si="6"/>
        <v>-1</v>
      </c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</row>
    <row r="11" spans="1:82" ht="74.25" customHeight="1">
      <c r="A11" s="199" t="s">
        <v>18</v>
      </c>
      <c r="B11" s="218">
        <v>191</v>
      </c>
      <c r="C11" s="219">
        <v>434</v>
      </c>
      <c r="D11" s="220">
        <v>2307</v>
      </c>
      <c r="E11" s="241">
        <v>6019</v>
      </c>
      <c r="F11" s="103">
        <v>7663</v>
      </c>
      <c r="G11" s="103">
        <v>7394</v>
      </c>
      <c r="H11" s="104">
        <f>'外国語実績201201-201712'!M88</f>
        <v>8340</v>
      </c>
      <c r="I11" s="104">
        <f>'外国語実績201201-201712'!M100</f>
        <v>7453</v>
      </c>
      <c r="J11" s="104">
        <f>'外国語実績201201-201712'!M112</f>
        <v>0</v>
      </c>
      <c r="K11" s="88">
        <f t="shared" si="0"/>
        <v>-1</v>
      </c>
      <c r="L11" s="219">
        <v>44</v>
      </c>
      <c r="M11" s="221">
        <v>67</v>
      </c>
      <c r="N11" s="222">
        <v>123</v>
      </c>
      <c r="O11" s="203">
        <v>140</v>
      </c>
      <c r="P11" s="203">
        <v>129</v>
      </c>
      <c r="Q11" s="203">
        <v>0</v>
      </c>
      <c r="R11" s="204">
        <f>'外国語実績201201-201712'!M200</f>
        <v>0</v>
      </c>
      <c r="S11" s="204">
        <f>'外国語実績201201-201712'!M212</f>
        <v>0</v>
      </c>
      <c r="T11" s="204">
        <f>'外国語実績201201-201712'!M224</f>
        <v>0</v>
      </c>
      <c r="U11" s="88" t="e">
        <f t="shared" si="1"/>
        <v>#DIV/0!</v>
      </c>
      <c r="V11" s="240">
        <v>24</v>
      </c>
      <c r="W11" s="205">
        <v>38</v>
      </c>
      <c r="X11" s="216">
        <v>112</v>
      </c>
      <c r="Y11" s="205">
        <v>185</v>
      </c>
      <c r="Z11" s="206">
        <v>116</v>
      </c>
      <c r="AA11" s="206">
        <v>129</v>
      </c>
      <c r="AB11" s="207">
        <f>'外国語実績201201-201712'!M315</f>
        <v>148</v>
      </c>
      <c r="AC11" s="207">
        <f>'外国語実績201201-201712'!M327</f>
        <v>194</v>
      </c>
      <c r="AD11" s="207">
        <f>'外国語実績201201-201712'!M339</f>
        <v>0</v>
      </c>
      <c r="AE11" s="88">
        <f t="shared" si="2"/>
        <v>-1</v>
      </c>
      <c r="AF11" s="219">
        <v>3</v>
      </c>
      <c r="AG11" s="221">
        <v>7</v>
      </c>
      <c r="AH11" s="223">
        <v>23</v>
      </c>
      <c r="AI11" s="221">
        <v>18</v>
      </c>
      <c r="AJ11" s="206">
        <v>16</v>
      </c>
      <c r="AK11" s="206">
        <v>15</v>
      </c>
      <c r="AL11" s="207">
        <f>'外国語実績201201-201712'!M427</f>
        <v>25</v>
      </c>
      <c r="AM11" s="207">
        <f>'外国語実績201201-201712'!M439</f>
        <v>25</v>
      </c>
      <c r="AN11" s="207">
        <f>'外国語実績201201-201712'!M451</f>
        <v>0</v>
      </c>
      <c r="AO11" s="88">
        <f t="shared" si="3"/>
        <v>-1</v>
      </c>
      <c r="AP11" s="224"/>
      <c r="AQ11" s="213">
        <v>72</v>
      </c>
      <c r="AR11" s="211">
        <v>151</v>
      </c>
      <c r="AS11" s="211">
        <v>136</v>
      </c>
      <c r="AT11" s="211">
        <v>101</v>
      </c>
      <c r="AU11" s="211">
        <f>'外国語実績201201-201712'!M518</f>
        <v>261</v>
      </c>
      <c r="AV11" s="211">
        <f>'外国語実績201201-201712'!M530</f>
        <v>248</v>
      </c>
      <c r="AW11" s="211">
        <f>'外国語実績201201-201712'!M542</f>
        <v>0</v>
      </c>
      <c r="AX11" s="88">
        <f t="shared" si="4"/>
        <v>-1</v>
      </c>
      <c r="AY11" s="213"/>
      <c r="AZ11" s="213">
        <v>17</v>
      </c>
      <c r="BA11" s="213">
        <v>25</v>
      </c>
      <c r="BB11" s="213">
        <v>17</v>
      </c>
      <c r="BC11" s="213">
        <v>18</v>
      </c>
      <c r="BD11" s="213">
        <f>'外国語実績201201-201712'!M606</f>
        <v>33</v>
      </c>
      <c r="BE11" s="213">
        <f>'外国語実績201201-201712'!M618</f>
        <v>24</v>
      </c>
      <c r="BF11" s="213">
        <f>'外国語実績201201-201712'!M630</f>
        <v>0</v>
      </c>
      <c r="BG11" s="88">
        <f t="shared" si="5"/>
        <v>-1</v>
      </c>
      <c r="BH11" s="83">
        <v>458</v>
      </c>
      <c r="BI11" s="82">
        <v>1421</v>
      </c>
      <c r="BJ11" s="82">
        <v>350</v>
      </c>
      <c r="BK11" s="82">
        <f>'外国語実績201201-201712'!M686</f>
        <v>525</v>
      </c>
      <c r="BL11" s="82">
        <f>'外国語実績201201-201712'!M698</f>
        <v>969</v>
      </c>
      <c r="BM11" s="82">
        <f>'外国語実績201201-201712'!M710</f>
        <v>0</v>
      </c>
      <c r="BN11" s="88">
        <f t="shared" si="6"/>
        <v>-1</v>
      </c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</row>
    <row r="12" spans="1:82" ht="74.25" customHeight="1">
      <c r="A12" s="199" t="s">
        <v>19</v>
      </c>
      <c r="B12" s="218">
        <v>211</v>
      </c>
      <c r="C12" s="219">
        <v>535</v>
      </c>
      <c r="D12" s="220">
        <v>2576</v>
      </c>
      <c r="E12" s="241">
        <v>6005</v>
      </c>
      <c r="F12" s="103">
        <v>7487</v>
      </c>
      <c r="G12" s="103">
        <v>8434</v>
      </c>
      <c r="H12" s="104">
        <f>'外国語実績201201-201712'!M89</f>
        <v>8743</v>
      </c>
      <c r="I12" s="104">
        <f>'外国語実績201201-201712'!M101</f>
        <v>9921</v>
      </c>
      <c r="J12" s="104">
        <f>'外国語実績201201-201712'!M113</f>
        <v>0</v>
      </c>
      <c r="K12" s="88">
        <f t="shared" si="0"/>
        <v>-1</v>
      </c>
      <c r="L12" s="219">
        <v>5</v>
      </c>
      <c r="M12" s="221">
        <v>18</v>
      </c>
      <c r="N12" s="222">
        <v>17</v>
      </c>
      <c r="O12" s="203">
        <v>1</v>
      </c>
      <c r="P12" s="203">
        <v>1</v>
      </c>
      <c r="Q12" s="203">
        <v>0</v>
      </c>
      <c r="R12" s="204">
        <f>'外国語実績201201-201712'!M201</f>
        <v>0</v>
      </c>
      <c r="S12" s="204">
        <f>'外国語実績201201-201712'!M213</f>
        <v>0</v>
      </c>
      <c r="T12" s="204">
        <f>'外国語実績201201-201712'!M225</f>
        <v>0</v>
      </c>
      <c r="U12" s="88" t="e">
        <f t="shared" si="1"/>
        <v>#DIV/0!</v>
      </c>
      <c r="V12" s="240">
        <v>39</v>
      </c>
      <c r="W12" s="205">
        <v>49</v>
      </c>
      <c r="X12" s="216">
        <v>163</v>
      </c>
      <c r="Y12" s="205">
        <v>274</v>
      </c>
      <c r="Z12" s="206">
        <v>165</v>
      </c>
      <c r="AA12" s="206">
        <v>177</v>
      </c>
      <c r="AB12" s="207">
        <f>'外国語実績201201-201712'!M316</f>
        <v>190</v>
      </c>
      <c r="AC12" s="207">
        <f>'外国語実績201201-201712'!M328</f>
        <v>250</v>
      </c>
      <c r="AD12" s="207">
        <f>'外国語実績201201-201712'!M340</f>
        <v>0</v>
      </c>
      <c r="AE12" s="88">
        <f t="shared" si="2"/>
        <v>-1</v>
      </c>
      <c r="AF12" s="219">
        <v>17</v>
      </c>
      <c r="AG12" s="221">
        <v>33</v>
      </c>
      <c r="AH12" s="223">
        <v>89</v>
      </c>
      <c r="AI12" s="221">
        <v>186</v>
      </c>
      <c r="AJ12" s="206">
        <v>157</v>
      </c>
      <c r="AK12" s="206">
        <v>161</v>
      </c>
      <c r="AL12" s="207">
        <f>'外国語実績201201-201712'!M428</f>
        <v>154</v>
      </c>
      <c r="AM12" s="207">
        <f>'外国語実績201201-201712'!M440</f>
        <v>322</v>
      </c>
      <c r="AN12" s="207">
        <f>'外国語実績201201-201712'!M452</f>
        <v>0</v>
      </c>
      <c r="AO12" s="88">
        <f t="shared" si="3"/>
        <v>-1</v>
      </c>
      <c r="AP12" s="224"/>
      <c r="AQ12" s="213">
        <v>76</v>
      </c>
      <c r="AR12" s="211">
        <v>51</v>
      </c>
      <c r="AS12" s="211">
        <v>102</v>
      </c>
      <c r="AT12" s="211">
        <v>62</v>
      </c>
      <c r="AU12" s="211">
        <f>'外国語実績201201-201712'!M519</f>
        <v>80</v>
      </c>
      <c r="AV12" s="211">
        <f>'外国語実績201201-201712'!M531</f>
        <v>119</v>
      </c>
      <c r="AW12" s="211">
        <f>'外国語実績201201-201712'!M543</f>
        <v>0</v>
      </c>
      <c r="AX12" s="88">
        <f t="shared" si="4"/>
        <v>-1</v>
      </c>
      <c r="AY12" s="213"/>
      <c r="AZ12" s="213">
        <v>31</v>
      </c>
      <c r="BA12" s="213">
        <v>57</v>
      </c>
      <c r="BB12" s="213">
        <v>65</v>
      </c>
      <c r="BC12" s="213">
        <v>49</v>
      </c>
      <c r="BD12" s="213">
        <f>'外国語実績201201-201712'!M607</f>
        <v>50</v>
      </c>
      <c r="BE12" s="213">
        <f>'外国語実績201201-201712'!M619</f>
        <v>73</v>
      </c>
      <c r="BF12" s="213">
        <f>'外国語実績201201-201712'!M631</f>
        <v>0</v>
      </c>
      <c r="BG12" s="88">
        <f t="shared" si="5"/>
        <v>-1</v>
      </c>
      <c r="BH12" s="83">
        <v>604</v>
      </c>
      <c r="BI12" s="82">
        <v>1976</v>
      </c>
      <c r="BJ12" s="82">
        <v>580</v>
      </c>
      <c r="BK12" s="82">
        <f>'外国語実績201201-201712'!M687</f>
        <v>586</v>
      </c>
      <c r="BL12" s="82">
        <f>'外国語実績201201-201712'!M699</f>
        <v>763</v>
      </c>
      <c r="BM12" s="82">
        <f>'外国語実績201201-201712'!M711</f>
        <v>0</v>
      </c>
      <c r="BN12" s="88">
        <f t="shared" si="6"/>
        <v>-1</v>
      </c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</row>
    <row r="13" spans="1:82" ht="74.25" customHeight="1">
      <c r="A13" s="199" t="s">
        <v>20</v>
      </c>
      <c r="B13" s="242">
        <v>202</v>
      </c>
      <c r="C13" s="243">
        <v>753</v>
      </c>
      <c r="D13" s="214">
        <v>2433</v>
      </c>
      <c r="E13" s="103">
        <v>5229</v>
      </c>
      <c r="F13" s="103">
        <v>6574</v>
      </c>
      <c r="G13" s="103">
        <v>6702</v>
      </c>
      <c r="H13" s="104">
        <f>'外国語実績201201-201712'!M90</f>
        <v>6936</v>
      </c>
      <c r="I13" s="104">
        <f>'外国語実績201201-201712'!M102</f>
        <v>7730</v>
      </c>
      <c r="J13" s="104">
        <f>'外国語実績201201-201712'!M114</f>
        <v>0</v>
      </c>
      <c r="K13" s="88">
        <f t="shared" si="0"/>
        <v>-1</v>
      </c>
      <c r="L13" s="240">
        <v>0</v>
      </c>
      <c r="M13" s="205">
        <v>0</v>
      </c>
      <c r="N13" s="215">
        <v>0</v>
      </c>
      <c r="O13" s="203">
        <v>0</v>
      </c>
      <c r="P13" s="203">
        <v>0</v>
      </c>
      <c r="Q13" s="203">
        <v>0</v>
      </c>
      <c r="R13" s="204">
        <f>'外国語実績201201-201712'!M202</f>
        <v>0</v>
      </c>
      <c r="S13" s="204">
        <f>'外国語実績201201-201712'!M214</f>
        <v>0</v>
      </c>
      <c r="T13" s="204">
        <f>'外国語実績201201-201712'!M226</f>
        <v>0</v>
      </c>
      <c r="U13" s="88" t="e">
        <f t="shared" si="1"/>
        <v>#DIV/0!</v>
      </c>
      <c r="V13" s="243">
        <v>36</v>
      </c>
      <c r="W13" s="206">
        <v>50</v>
      </c>
      <c r="X13" s="216">
        <v>196</v>
      </c>
      <c r="Y13" s="206">
        <v>292</v>
      </c>
      <c r="Z13" s="206">
        <v>205</v>
      </c>
      <c r="AA13" s="206">
        <v>308</v>
      </c>
      <c r="AB13" s="207">
        <f>'外国語実績201201-201712'!M317</f>
        <v>316</v>
      </c>
      <c r="AC13" s="207">
        <f>'外国語実績201201-201712'!M329</f>
        <v>284</v>
      </c>
      <c r="AD13" s="207">
        <f>'外国語実績201201-201712'!M341</f>
        <v>0</v>
      </c>
      <c r="AE13" s="88">
        <f t="shared" si="2"/>
        <v>-1</v>
      </c>
      <c r="AF13" s="243">
        <v>85</v>
      </c>
      <c r="AG13" s="206">
        <v>147</v>
      </c>
      <c r="AH13" s="216">
        <v>316</v>
      </c>
      <c r="AI13" s="206">
        <v>595</v>
      </c>
      <c r="AJ13" s="206">
        <v>408</v>
      </c>
      <c r="AK13" s="206">
        <v>481</v>
      </c>
      <c r="AL13" s="207">
        <f>'外国語実績201201-201712'!M429</f>
        <v>644</v>
      </c>
      <c r="AM13" s="207">
        <f>'外国語実績201201-201712'!M441</f>
        <v>884</v>
      </c>
      <c r="AN13" s="207">
        <f>'外国語実績201201-201712'!M453</f>
        <v>0</v>
      </c>
      <c r="AO13" s="88">
        <f t="shared" si="3"/>
        <v>-1</v>
      </c>
      <c r="AP13" s="244"/>
      <c r="AQ13" s="245">
        <v>78</v>
      </c>
      <c r="AR13" s="246">
        <v>118</v>
      </c>
      <c r="AS13" s="211">
        <v>102</v>
      </c>
      <c r="AT13" s="211">
        <v>88</v>
      </c>
      <c r="AU13" s="211">
        <f>'外国語実績201201-201712'!M520</f>
        <v>126</v>
      </c>
      <c r="AV13" s="211">
        <f>'外国語実績201201-201712'!M532</f>
        <v>109</v>
      </c>
      <c r="AW13" s="211">
        <f>'外国語実績201201-201712'!M544</f>
        <v>0</v>
      </c>
      <c r="AX13" s="88">
        <f t="shared" si="4"/>
        <v>-1</v>
      </c>
      <c r="AY13" s="245"/>
      <c r="AZ13" s="245">
        <v>120</v>
      </c>
      <c r="BA13" s="245">
        <v>129</v>
      </c>
      <c r="BB13" s="213">
        <v>111</v>
      </c>
      <c r="BC13" s="213">
        <v>122</v>
      </c>
      <c r="BD13" s="213">
        <f>'外国語実績201201-201712'!M608</f>
        <v>150</v>
      </c>
      <c r="BE13" s="213">
        <f>'外国語実績201201-201712'!M620</f>
        <v>183</v>
      </c>
      <c r="BF13" s="213">
        <f>'外国語実績201201-201712'!M632</f>
        <v>0</v>
      </c>
      <c r="BG13" s="88">
        <f t="shared" si="5"/>
        <v>-1</v>
      </c>
      <c r="BH13" s="84">
        <v>565</v>
      </c>
      <c r="BI13" s="82">
        <v>1337</v>
      </c>
      <c r="BJ13" s="82">
        <v>383</v>
      </c>
      <c r="BK13" s="82">
        <f>'外国語実績201201-201712'!M688</f>
        <v>432</v>
      </c>
      <c r="BL13" s="82">
        <f>'外国語実績201201-201712'!M700</f>
        <v>517</v>
      </c>
      <c r="BM13" s="82">
        <f>'外国語実績201201-201712'!M712</f>
        <v>0</v>
      </c>
      <c r="BN13" s="88">
        <f t="shared" si="6"/>
        <v>-1</v>
      </c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</row>
    <row r="14" spans="1:82" ht="74.25" customHeight="1">
      <c r="A14" s="199" t="s">
        <v>21</v>
      </c>
      <c r="B14" s="239">
        <v>164</v>
      </c>
      <c r="C14" s="240">
        <v>457</v>
      </c>
      <c r="D14" s="214">
        <v>2420</v>
      </c>
      <c r="E14" s="103">
        <v>5413</v>
      </c>
      <c r="F14" s="103">
        <v>7459</v>
      </c>
      <c r="G14" s="103">
        <v>6425</v>
      </c>
      <c r="H14" s="104">
        <f>'外国語実績201201-201712'!M91</f>
        <v>7009</v>
      </c>
      <c r="I14" s="104">
        <f>'外国語実績201201-201712'!M103</f>
        <v>6142</v>
      </c>
      <c r="J14" s="104"/>
      <c r="K14" s="88">
        <f t="shared" si="0"/>
        <v>-1</v>
      </c>
      <c r="L14" s="240">
        <v>0</v>
      </c>
      <c r="M14" s="205">
        <v>0</v>
      </c>
      <c r="N14" s="215">
        <v>0</v>
      </c>
      <c r="O14" s="203">
        <v>0</v>
      </c>
      <c r="P14" s="203">
        <v>0</v>
      </c>
      <c r="Q14" s="204">
        <v>0</v>
      </c>
      <c r="R14" s="204">
        <f>'外国語実績201201-201712'!M203</f>
        <v>0</v>
      </c>
      <c r="S14" s="204">
        <f>'外国語実績201201-201712'!M215</f>
        <v>0</v>
      </c>
      <c r="T14" s="204"/>
      <c r="U14" s="88" t="e">
        <f t="shared" si="1"/>
        <v>#DIV/0!</v>
      </c>
      <c r="V14" s="240">
        <v>23</v>
      </c>
      <c r="W14" s="205">
        <v>56</v>
      </c>
      <c r="X14" s="216">
        <v>158</v>
      </c>
      <c r="Y14" s="206">
        <v>282</v>
      </c>
      <c r="Z14" s="206">
        <v>297</v>
      </c>
      <c r="AA14" s="207">
        <v>284</v>
      </c>
      <c r="AB14" s="207">
        <f>'外国語実績201201-201712'!M318</f>
        <v>374</v>
      </c>
      <c r="AC14" s="207">
        <f>'外国語実績201201-201712'!M330</f>
        <v>243</v>
      </c>
      <c r="AD14" s="207"/>
      <c r="AE14" s="88">
        <f t="shared" si="2"/>
        <v>-1</v>
      </c>
      <c r="AF14" s="240">
        <v>73</v>
      </c>
      <c r="AG14" s="205">
        <v>141</v>
      </c>
      <c r="AH14" s="216">
        <v>418</v>
      </c>
      <c r="AI14" s="206">
        <v>621</v>
      </c>
      <c r="AJ14" s="206">
        <v>529</v>
      </c>
      <c r="AK14" s="207">
        <v>744</v>
      </c>
      <c r="AL14" s="207">
        <f>'外国語実績201201-201712'!M430</f>
        <v>1155</v>
      </c>
      <c r="AM14" s="207">
        <f>'外国語実績201201-201712'!M442</f>
        <v>1147</v>
      </c>
      <c r="AN14" s="207"/>
      <c r="AO14" s="88">
        <f t="shared" si="3"/>
        <v>-1</v>
      </c>
      <c r="AP14" s="208"/>
      <c r="AQ14" s="209">
        <v>50</v>
      </c>
      <c r="AR14" s="246">
        <v>71</v>
      </c>
      <c r="AS14" s="211">
        <v>101</v>
      </c>
      <c r="AT14" s="211">
        <v>62</v>
      </c>
      <c r="AU14" s="211">
        <f>'外国語実績201201-201712'!M521</f>
        <v>82</v>
      </c>
      <c r="AV14" s="211">
        <f>'外国語実績201201-201712'!M533</f>
        <v>77</v>
      </c>
      <c r="AW14" s="211"/>
      <c r="AX14" s="88">
        <f t="shared" si="4"/>
        <v>-1</v>
      </c>
      <c r="AY14" s="209"/>
      <c r="AZ14" s="209">
        <v>75</v>
      </c>
      <c r="BA14" s="245">
        <v>148</v>
      </c>
      <c r="BB14" s="213">
        <v>96</v>
      </c>
      <c r="BC14" s="213">
        <v>144</v>
      </c>
      <c r="BD14" s="213">
        <f>'外国語実績201201-201712'!M609</f>
        <v>191</v>
      </c>
      <c r="BE14" s="213">
        <f>'外国語実績201201-201712'!M621</f>
        <v>199</v>
      </c>
      <c r="BF14" s="213"/>
      <c r="BG14" s="88">
        <f t="shared" si="5"/>
        <v>-1</v>
      </c>
      <c r="BH14" s="84">
        <v>408</v>
      </c>
      <c r="BI14" s="82">
        <v>1068</v>
      </c>
      <c r="BJ14" s="82">
        <v>268</v>
      </c>
      <c r="BK14" s="82">
        <f>'外国語実績201201-201712'!M689</f>
        <v>368</v>
      </c>
      <c r="BL14" s="82">
        <f>'外国語実績201201-201712'!M701</f>
        <v>348</v>
      </c>
      <c r="BM14" s="82"/>
      <c r="BN14" s="88">
        <f t="shared" si="6"/>
        <v>-1</v>
      </c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</row>
    <row r="15" spans="1:82" s="26" customFormat="1" ht="74.25" customHeight="1">
      <c r="A15" s="247" t="s">
        <v>22</v>
      </c>
      <c r="B15" s="218">
        <v>173</v>
      </c>
      <c r="C15" s="248">
        <v>383</v>
      </c>
      <c r="D15" s="220">
        <v>2379</v>
      </c>
      <c r="E15" s="241">
        <v>4589</v>
      </c>
      <c r="F15" s="103">
        <v>6516</v>
      </c>
      <c r="G15" s="103">
        <v>5548</v>
      </c>
      <c r="H15" s="104">
        <f>'外国語実績201201-201712'!M92</f>
        <v>6261</v>
      </c>
      <c r="I15" s="104">
        <f>'外国語実績201201-201712'!M104</f>
        <v>2477</v>
      </c>
      <c r="J15" s="104"/>
      <c r="K15" s="88">
        <f t="shared" si="0"/>
        <v>-1</v>
      </c>
      <c r="L15" s="248">
        <v>0</v>
      </c>
      <c r="M15" s="249">
        <v>0</v>
      </c>
      <c r="N15" s="222">
        <v>0</v>
      </c>
      <c r="O15" s="203">
        <v>0</v>
      </c>
      <c r="P15" s="203">
        <v>0</v>
      </c>
      <c r="Q15" s="204">
        <v>0</v>
      </c>
      <c r="R15" s="204">
        <f>'外国語実績201201-201712'!M204</f>
        <v>0</v>
      </c>
      <c r="S15" s="204">
        <f>'外国語実績201201-201712'!M216</f>
        <v>0</v>
      </c>
      <c r="T15" s="204"/>
      <c r="U15" s="88" t="e">
        <f t="shared" si="1"/>
        <v>#DIV/0!</v>
      </c>
      <c r="V15" s="248">
        <v>24</v>
      </c>
      <c r="W15" s="249">
        <v>43</v>
      </c>
      <c r="X15" s="223">
        <v>145</v>
      </c>
      <c r="Y15" s="221">
        <v>219</v>
      </c>
      <c r="Z15" s="206">
        <v>118</v>
      </c>
      <c r="AA15" s="207">
        <v>158</v>
      </c>
      <c r="AB15" s="207">
        <f>'外国語実績201201-201712'!M319</f>
        <v>190</v>
      </c>
      <c r="AC15" s="207">
        <f>'外国語実績201201-201712'!M331</f>
        <v>95</v>
      </c>
      <c r="AD15" s="207"/>
      <c r="AE15" s="88">
        <f t="shared" si="2"/>
        <v>-1</v>
      </c>
      <c r="AF15" s="248">
        <v>68</v>
      </c>
      <c r="AG15" s="249">
        <v>160</v>
      </c>
      <c r="AH15" s="223">
        <v>332</v>
      </c>
      <c r="AI15" s="221">
        <v>467</v>
      </c>
      <c r="AJ15" s="206">
        <v>390</v>
      </c>
      <c r="AK15" s="207">
        <v>595</v>
      </c>
      <c r="AL15" s="207">
        <f>'外国語実績201201-201712'!M431</f>
        <v>784</v>
      </c>
      <c r="AM15" s="207">
        <f>'外国語実績201201-201712'!M443</f>
        <v>898</v>
      </c>
      <c r="AN15" s="207"/>
      <c r="AO15" s="88">
        <f t="shared" si="3"/>
        <v>-1</v>
      </c>
      <c r="AP15" s="224"/>
      <c r="AQ15" s="213">
        <v>44</v>
      </c>
      <c r="AR15" s="211">
        <v>80</v>
      </c>
      <c r="AS15" s="211">
        <v>64</v>
      </c>
      <c r="AT15" s="211">
        <v>51</v>
      </c>
      <c r="AU15" s="211">
        <f>'外国語実績201201-201712'!M522</f>
        <v>87</v>
      </c>
      <c r="AV15" s="211">
        <f>'外国語実績201201-201712'!M534</f>
        <v>67</v>
      </c>
      <c r="AW15" s="211"/>
      <c r="AX15" s="88">
        <f t="shared" si="4"/>
        <v>-1</v>
      </c>
      <c r="AY15" s="213"/>
      <c r="AZ15" s="213">
        <v>71</v>
      </c>
      <c r="BA15" s="213">
        <v>113</v>
      </c>
      <c r="BB15" s="213">
        <v>105</v>
      </c>
      <c r="BC15" s="213">
        <v>135</v>
      </c>
      <c r="BD15" s="213">
        <f>'外国語実績201201-201712'!M610</f>
        <v>119</v>
      </c>
      <c r="BE15" s="213">
        <f>'外国語実績201201-201712'!M622</f>
        <v>132</v>
      </c>
      <c r="BF15" s="213"/>
      <c r="BG15" s="88">
        <f t="shared" si="5"/>
        <v>-1</v>
      </c>
      <c r="BH15" s="83">
        <v>443</v>
      </c>
      <c r="BI15" s="82">
        <v>1171</v>
      </c>
      <c r="BJ15" s="82">
        <v>225</v>
      </c>
      <c r="BK15" s="82">
        <f>'外国語実績201201-201712'!M690</f>
        <v>302</v>
      </c>
      <c r="BL15" s="82">
        <f>'外国語実績201201-201712'!M702</f>
        <v>214</v>
      </c>
      <c r="BM15" s="82"/>
      <c r="BN15" s="88">
        <f t="shared" si="6"/>
        <v>-1</v>
      </c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</row>
    <row r="16" spans="1:82" ht="74.25" customHeight="1" thickBot="1">
      <c r="A16" s="250" t="s">
        <v>23</v>
      </c>
      <c r="B16" s="444">
        <v>338</v>
      </c>
      <c r="C16" s="445">
        <v>1438</v>
      </c>
      <c r="D16" s="285">
        <v>4954</v>
      </c>
      <c r="E16" s="446">
        <v>6882</v>
      </c>
      <c r="F16" s="446">
        <v>11262</v>
      </c>
      <c r="G16" s="446">
        <v>10170</v>
      </c>
      <c r="H16" s="437">
        <f>'外国語実績201201-201712'!M93</f>
        <v>9254</v>
      </c>
      <c r="I16" s="437">
        <f>'外国語実績201201-201712'!M105</f>
        <v>492</v>
      </c>
      <c r="J16" s="437"/>
      <c r="K16" s="447">
        <f t="shared" si="0"/>
        <v>-1</v>
      </c>
      <c r="L16" s="248">
        <v>0</v>
      </c>
      <c r="M16" s="249">
        <v>0</v>
      </c>
      <c r="N16" s="251">
        <v>12</v>
      </c>
      <c r="O16" s="252">
        <v>4</v>
      </c>
      <c r="P16" s="252">
        <v>0</v>
      </c>
      <c r="Q16" s="441">
        <v>0</v>
      </c>
      <c r="R16" s="441">
        <f>'外国語実績201201-201712'!M205</f>
        <v>0</v>
      </c>
      <c r="S16" s="441">
        <f>'外国語実績201201-201712'!M217</f>
        <v>0</v>
      </c>
      <c r="T16" s="441"/>
      <c r="U16" s="447" t="e">
        <f t="shared" si="1"/>
        <v>#DIV/0!</v>
      </c>
      <c r="V16" s="248">
        <v>40</v>
      </c>
      <c r="W16" s="248">
        <v>83</v>
      </c>
      <c r="X16" s="253">
        <v>119</v>
      </c>
      <c r="Y16" s="254">
        <v>138</v>
      </c>
      <c r="Z16" s="254">
        <v>106</v>
      </c>
      <c r="AA16" s="442">
        <v>125</v>
      </c>
      <c r="AB16" s="442">
        <f>'外国語実績201201-201712'!M320</f>
        <v>140</v>
      </c>
      <c r="AC16" s="442">
        <f>'外国語実績201201-201712'!M332</f>
        <v>20</v>
      </c>
      <c r="AD16" s="442"/>
      <c r="AE16" s="88">
        <f t="shared" si="2"/>
        <v>-1</v>
      </c>
      <c r="AF16" s="248">
        <v>30</v>
      </c>
      <c r="AG16" s="255">
        <v>74</v>
      </c>
      <c r="AH16" s="253">
        <v>192</v>
      </c>
      <c r="AI16" s="254">
        <v>142</v>
      </c>
      <c r="AJ16" s="254">
        <v>169</v>
      </c>
      <c r="AK16" s="442">
        <v>336</v>
      </c>
      <c r="AL16" s="442">
        <f>'外国語実績201201-201712'!M432</f>
        <v>356</v>
      </c>
      <c r="AM16" s="442">
        <f>'外国語実績201201-201712'!M444</f>
        <v>293</v>
      </c>
      <c r="AN16" s="442"/>
      <c r="AO16" s="447">
        <f t="shared" si="3"/>
        <v>-1</v>
      </c>
      <c r="AP16" s="256">
        <v>21</v>
      </c>
      <c r="AQ16" s="257">
        <v>105</v>
      </c>
      <c r="AR16" s="258">
        <v>108</v>
      </c>
      <c r="AS16" s="443">
        <v>130</v>
      </c>
      <c r="AT16" s="443">
        <v>99</v>
      </c>
      <c r="AU16" s="443">
        <f>'外国語実績201201-201712'!M523</f>
        <v>130</v>
      </c>
      <c r="AV16" s="443">
        <f>'外国語実績201201-201712'!M535</f>
        <v>20</v>
      </c>
      <c r="AW16" s="443"/>
      <c r="AX16" s="447">
        <f t="shared" si="4"/>
        <v>-1</v>
      </c>
      <c r="AY16" s="257">
        <v>15</v>
      </c>
      <c r="AZ16" s="257">
        <v>50</v>
      </c>
      <c r="BA16" s="259">
        <v>60</v>
      </c>
      <c r="BB16" s="257">
        <v>89</v>
      </c>
      <c r="BC16" s="448">
        <v>72</v>
      </c>
      <c r="BD16" s="257">
        <f>'外国語実績201201-201712'!M611</f>
        <v>77</v>
      </c>
      <c r="BE16" s="257">
        <f>'外国語実績201201-201712'!M623</f>
        <v>54</v>
      </c>
      <c r="BF16" s="257"/>
      <c r="BG16" s="447">
        <f t="shared" si="5"/>
        <v>-1</v>
      </c>
      <c r="BH16" s="85">
        <v>1321</v>
      </c>
      <c r="BI16" s="449">
        <v>2198</v>
      </c>
      <c r="BJ16" s="449">
        <v>662</v>
      </c>
      <c r="BK16" s="449">
        <f>'外国語実績201201-201712'!M691</f>
        <v>581</v>
      </c>
      <c r="BL16" s="449">
        <f>'外国語実績201201-201712'!M703</f>
        <v>42</v>
      </c>
      <c r="BM16" s="449"/>
      <c r="BN16" s="447">
        <f t="shared" si="6"/>
        <v>-1</v>
      </c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</row>
    <row r="17" spans="1:109" s="25" customFormat="1" ht="74.25" customHeight="1" thickBot="1">
      <c r="A17" s="76" t="s">
        <v>5</v>
      </c>
      <c r="B17" s="94">
        <f t="shared" ref="B17:J17" si="7">SUM(B5:B16)</f>
        <v>2380</v>
      </c>
      <c r="C17" s="95">
        <f t="shared" si="7"/>
        <v>6794</v>
      </c>
      <c r="D17" s="96">
        <f t="shared" si="7"/>
        <v>27665</v>
      </c>
      <c r="E17" s="96">
        <f t="shared" si="7"/>
        <v>57335</v>
      </c>
      <c r="F17" s="96">
        <f t="shared" si="7"/>
        <v>69934</v>
      </c>
      <c r="G17" s="96">
        <f t="shared" si="7"/>
        <v>86199</v>
      </c>
      <c r="H17" s="96">
        <f t="shared" si="7"/>
        <v>91887</v>
      </c>
      <c r="I17" s="96">
        <f t="shared" si="7"/>
        <v>78331</v>
      </c>
      <c r="J17" s="96">
        <f t="shared" si="7"/>
        <v>182</v>
      </c>
      <c r="K17" s="450">
        <f t="shared" si="0"/>
        <v>-0.99767652653483296</v>
      </c>
      <c r="L17" s="77">
        <f t="shared" ref="L17:T17" si="8">SUM(L5:L16)</f>
        <v>2448</v>
      </c>
      <c r="M17" s="77">
        <f t="shared" si="8"/>
        <v>3333</v>
      </c>
      <c r="N17" s="77">
        <f t="shared" si="8"/>
        <v>6093</v>
      </c>
      <c r="O17" s="77">
        <f t="shared" si="8"/>
        <v>7253</v>
      </c>
      <c r="P17" s="77">
        <f t="shared" si="8"/>
        <v>7332</v>
      </c>
      <c r="Q17" s="77">
        <f t="shared" si="8"/>
        <v>5918</v>
      </c>
      <c r="R17" s="77">
        <f t="shared" si="8"/>
        <v>3173</v>
      </c>
      <c r="S17" s="77">
        <f t="shared" si="8"/>
        <v>0</v>
      </c>
      <c r="T17" s="77">
        <f t="shared" si="8"/>
        <v>0</v>
      </c>
      <c r="U17" s="450" t="e">
        <f t="shared" si="1"/>
        <v>#DIV/0!</v>
      </c>
      <c r="V17" s="77">
        <f t="shared" ref="V17:AD17" si="9">SUM(V5:V16)</f>
        <v>298</v>
      </c>
      <c r="W17" s="77">
        <f t="shared" si="9"/>
        <v>504</v>
      </c>
      <c r="X17" s="77">
        <f t="shared" si="9"/>
        <v>1311</v>
      </c>
      <c r="Y17" s="77">
        <f t="shared" si="9"/>
        <v>1929</v>
      </c>
      <c r="Z17" s="77">
        <f t="shared" si="9"/>
        <v>1370</v>
      </c>
      <c r="AA17" s="77">
        <f t="shared" si="9"/>
        <v>1637</v>
      </c>
      <c r="AB17" s="77">
        <f t="shared" si="9"/>
        <v>2076</v>
      </c>
      <c r="AC17" s="77">
        <f t="shared" si="9"/>
        <v>1763</v>
      </c>
      <c r="AD17" s="77">
        <f t="shared" si="9"/>
        <v>15</v>
      </c>
      <c r="AE17" s="88">
        <f t="shared" si="2"/>
        <v>-0.99149177538287014</v>
      </c>
      <c r="AF17" s="77">
        <f t="shared" ref="AF17:AN17" si="10">SUM(AF5:AF16)</f>
        <v>289</v>
      </c>
      <c r="AG17" s="77">
        <f t="shared" si="10"/>
        <v>589</v>
      </c>
      <c r="AH17" s="77">
        <f t="shared" si="10"/>
        <v>1434</v>
      </c>
      <c r="AI17" s="77">
        <f t="shared" si="10"/>
        <v>2162</v>
      </c>
      <c r="AJ17" s="77">
        <f t="shared" si="10"/>
        <v>1774</v>
      </c>
      <c r="AK17" s="77">
        <f t="shared" si="10"/>
        <v>2454</v>
      </c>
      <c r="AL17" s="77">
        <f t="shared" si="10"/>
        <v>3303</v>
      </c>
      <c r="AM17" s="77">
        <f t="shared" si="10"/>
        <v>3841</v>
      </c>
      <c r="AN17" s="77">
        <f t="shared" si="10"/>
        <v>8</v>
      </c>
      <c r="AO17" s="450">
        <f t="shared" si="3"/>
        <v>-0.99791720906014059</v>
      </c>
      <c r="AP17" s="78">
        <f>SUM(AP16)</f>
        <v>21</v>
      </c>
      <c r="AQ17" s="79">
        <f t="shared" ref="AQ17:AW17" si="11">SUM(AQ5:AQ16)</f>
        <v>696</v>
      </c>
      <c r="AR17" s="79">
        <f t="shared" si="11"/>
        <v>1298</v>
      </c>
      <c r="AS17" s="79">
        <f t="shared" si="11"/>
        <v>1259</v>
      </c>
      <c r="AT17" s="79">
        <f t="shared" si="11"/>
        <v>1140</v>
      </c>
      <c r="AU17" s="79">
        <f t="shared" si="11"/>
        <v>1676</v>
      </c>
      <c r="AV17" s="79">
        <f t="shared" si="11"/>
        <v>1675</v>
      </c>
      <c r="AW17" s="79">
        <f t="shared" si="11"/>
        <v>11</v>
      </c>
      <c r="AX17" s="450">
        <f t="shared" si="4"/>
        <v>-0.99343283582089548</v>
      </c>
      <c r="AY17" s="79">
        <f>SUM(AY16)</f>
        <v>15</v>
      </c>
      <c r="AZ17" s="79">
        <f t="shared" ref="AZ17:BF17" si="12">SUM(AZ5:AZ16)</f>
        <v>435</v>
      </c>
      <c r="BA17" s="80">
        <f t="shared" si="12"/>
        <v>678</v>
      </c>
      <c r="BB17" s="80">
        <f t="shared" si="12"/>
        <v>606</v>
      </c>
      <c r="BC17" s="80">
        <f t="shared" si="12"/>
        <v>717</v>
      </c>
      <c r="BD17" s="80">
        <f t="shared" si="12"/>
        <v>845</v>
      </c>
      <c r="BE17" s="80">
        <f t="shared" si="12"/>
        <v>870</v>
      </c>
      <c r="BF17" s="80">
        <f t="shared" si="12"/>
        <v>16</v>
      </c>
      <c r="BG17" s="450">
        <f t="shared" si="5"/>
        <v>-0.98160919540229885</v>
      </c>
      <c r="BH17" s="86">
        <f t="shared" ref="BH17:BM17" si="13">SUM(BH5:BH16)</f>
        <v>5081</v>
      </c>
      <c r="BI17" s="87">
        <f t="shared" si="13"/>
        <v>15500</v>
      </c>
      <c r="BJ17" s="87">
        <f t="shared" si="13"/>
        <v>7828</v>
      </c>
      <c r="BK17" s="87">
        <f t="shared" si="13"/>
        <v>6126</v>
      </c>
      <c r="BL17" s="87">
        <f t="shared" si="13"/>
        <v>5675</v>
      </c>
      <c r="BM17" s="87">
        <f t="shared" si="13"/>
        <v>39</v>
      </c>
      <c r="BN17" s="450">
        <f t="shared" si="6"/>
        <v>-0.99312775330396474</v>
      </c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</row>
    <row r="18" spans="1:109" ht="20.100000000000001" customHeight="1" thickBot="1">
      <c r="A18" s="48"/>
      <c r="B18" s="48"/>
      <c r="C18" s="48"/>
      <c r="D18" s="48"/>
      <c r="E18" s="48"/>
      <c r="F18" s="49"/>
      <c r="G18" s="49"/>
      <c r="H18" s="49"/>
      <c r="I18" s="48"/>
      <c r="J18" s="48"/>
      <c r="K18" s="48"/>
      <c r="L18" s="48"/>
      <c r="M18" s="49"/>
      <c r="N18" s="48"/>
      <c r="O18" s="48"/>
      <c r="P18" s="48"/>
      <c r="Q18" s="48"/>
      <c r="R18" s="48"/>
      <c r="S18" s="48"/>
      <c r="T18" s="49"/>
      <c r="U18" s="48"/>
      <c r="V18" s="48"/>
      <c r="W18" s="48"/>
      <c r="X18" s="48"/>
      <c r="Y18" s="48"/>
      <c r="Z18" s="48"/>
      <c r="AA18" s="49"/>
      <c r="AB18" s="48"/>
      <c r="AC18" s="48"/>
      <c r="AD18" s="48"/>
      <c r="AE18" s="48"/>
      <c r="AF18" s="48"/>
      <c r="AG18" s="49"/>
      <c r="AH18" s="48"/>
      <c r="AI18" s="48"/>
      <c r="AJ18" s="48"/>
      <c r="AK18" s="49"/>
      <c r="AL18" s="49"/>
      <c r="AM18" s="49"/>
      <c r="AN18" s="50"/>
      <c r="AO18" s="34"/>
      <c r="AP18" s="34"/>
      <c r="AQ18" s="48"/>
      <c r="AR18" s="48"/>
      <c r="AS18" s="48"/>
      <c r="AT18" s="48"/>
      <c r="AU18" s="49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25"/>
      <c r="BR18" s="25"/>
      <c r="BS18" s="25"/>
      <c r="BT18" s="25"/>
      <c r="BU18" s="25"/>
      <c r="BV18" s="25"/>
      <c r="BW18" s="25"/>
      <c r="BX18" s="25"/>
    </row>
    <row r="19" spans="1:109" ht="74.25" customHeight="1" thickBot="1">
      <c r="A19" s="36" t="s">
        <v>1</v>
      </c>
      <c r="B19" s="462" t="s">
        <v>127</v>
      </c>
      <c r="C19" s="463"/>
      <c r="D19" s="463"/>
      <c r="E19" s="463"/>
      <c r="F19" s="464"/>
      <c r="G19" s="462" t="s">
        <v>128</v>
      </c>
      <c r="H19" s="463"/>
      <c r="I19" s="463"/>
      <c r="J19" s="463"/>
      <c r="K19" s="464"/>
      <c r="L19" s="462" t="s">
        <v>129</v>
      </c>
      <c r="M19" s="463"/>
      <c r="N19" s="463"/>
      <c r="O19" s="463"/>
      <c r="P19" s="464"/>
      <c r="Q19" s="462" t="s">
        <v>130</v>
      </c>
      <c r="R19" s="463"/>
      <c r="S19" s="463"/>
      <c r="T19" s="463"/>
      <c r="U19" s="464"/>
      <c r="V19" s="462" t="s">
        <v>131</v>
      </c>
      <c r="W19" s="463"/>
      <c r="X19" s="463"/>
      <c r="Y19" s="463"/>
      <c r="Z19" s="464"/>
      <c r="AA19" s="462" t="s">
        <v>87</v>
      </c>
      <c r="AB19" s="463"/>
      <c r="AC19" s="463"/>
      <c r="AD19" s="463"/>
      <c r="AE19" s="464"/>
      <c r="AF19" s="462" t="s">
        <v>133</v>
      </c>
      <c r="AG19" s="463"/>
      <c r="AH19" s="463"/>
      <c r="AI19" s="463"/>
      <c r="AJ19" s="464"/>
      <c r="AK19" s="462" t="s">
        <v>134</v>
      </c>
      <c r="AL19" s="463"/>
      <c r="AM19" s="463"/>
      <c r="AN19" s="463"/>
      <c r="AO19" s="464"/>
      <c r="AP19" s="462" t="s">
        <v>136</v>
      </c>
      <c r="AQ19" s="463"/>
      <c r="AR19" s="463"/>
      <c r="AS19" s="463"/>
      <c r="AT19" s="464"/>
      <c r="AU19" s="462" t="s">
        <v>137</v>
      </c>
      <c r="AV19" s="463"/>
      <c r="AW19" s="463"/>
      <c r="AX19" s="463"/>
      <c r="AY19" s="464"/>
      <c r="AZ19" s="462" t="s">
        <v>138</v>
      </c>
      <c r="BA19" s="463"/>
      <c r="BB19" s="463"/>
      <c r="BC19" s="463"/>
      <c r="BD19" s="464"/>
      <c r="BF19" s="25"/>
      <c r="CX19" s="25"/>
      <c r="CY19" s="25"/>
      <c r="CZ19" s="25"/>
      <c r="DA19" s="25"/>
      <c r="DB19" s="25"/>
      <c r="DC19" s="25"/>
      <c r="DD19" s="25"/>
      <c r="DE19" s="25"/>
    </row>
    <row r="20" spans="1:109" ht="74.25" customHeight="1">
      <c r="A20" s="37" t="s">
        <v>6</v>
      </c>
      <c r="B20" s="51" t="s">
        <v>56</v>
      </c>
      <c r="C20" s="39" t="s">
        <v>111</v>
      </c>
      <c r="D20" s="39" t="s">
        <v>222</v>
      </c>
      <c r="E20" s="39" t="s">
        <v>287</v>
      </c>
      <c r="F20" s="43" t="s">
        <v>11</v>
      </c>
      <c r="G20" s="51" t="s">
        <v>56</v>
      </c>
      <c r="H20" s="39" t="s">
        <v>111</v>
      </c>
      <c r="I20" s="39" t="s">
        <v>222</v>
      </c>
      <c r="J20" s="39" t="s">
        <v>287</v>
      </c>
      <c r="K20" s="40" t="s">
        <v>11</v>
      </c>
      <c r="L20" s="51" t="s">
        <v>56</v>
      </c>
      <c r="M20" s="39" t="s">
        <v>111</v>
      </c>
      <c r="N20" s="39" t="s">
        <v>222</v>
      </c>
      <c r="O20" s="39" t="s">
        <v>287</v>
      </c>
      <c r="P20" s="43" t="s">
        <v>11</v>
      </c>
      <c r="Q20" s="51" t="s">
        <v>56</v>
      </c>
      <c r="R20" s="39" t="s">
        <v>111</v>
      </c>
      <c r="S20" s="39" t="s">
        <v>222</v>
      </c>
      <c r="T20" s="39" t="s">
        <v>287</v>
      </c>
      <c r="U20" s="43" t="s">
        <v>11</v>
      </c>
      <c r="V20" s="51" t="s">
        <v>56</v>
      </c>
      <c r="W20" s="39" t="s">
        <v>111</v>
      </c>
      <c r="X20" s="39" t="s">
        <v>222</v>
      </c>
      <c r="Y20" s="39" t="s">
        <v>287</v>
      </c>
      <c r="Z20" s="43" t="s">
        <v>11</v>
      </c>
      <c r="AA20" s="51" t="s">
        <v>56</v>
      </c>
      <c r="AB20" s="39" t="s">
        <v>111</v>
      </c>
      <c r="AC20" s="39" t="s">
        <v>222</v>
      </c>
      <c r="AD20" s="39" t="s">
        <v>287</v>
      </c>
      <c r="AE20" s="43" t="s">
        <v>11</v>
      </c>
      <c r="AF20" s="51" t="s">
        <v>56</v>
      </c>
      <c r="AG20" s="39" t="s">
        <v>111</v>
      </c>
      <c r="AH20" s="39" t="s">
        <v>222</v>
      </c>
      <c r="AI20" s="39" t="s">
        <v>287</v>
      </c>
      <c r="AJ20" s="43" t="s">
        <v>11</v>
      </c>
      <c r="AK20" s="51" t="s">
        <v>56</v>
      </c>
      <c r="AL20" s="39" t="s">
        <v>111</v>
      </c>
      <c r="AM20" s="39" t="s">
        <v>222</v>
      </c>
      <c r="AN20" s="39" t="s">
        <v>287</v>
      </c>
      <c r="AO20" s="43" t="s">
        <v>11</v>
      </c>
      <c r="AP20" s="51" t="s">
        <v>56</v>
      </c>
      <c r="AQ20" s="39" t="s">
        <v>111</v>
      </c>
      <c r="AR20" s="39" t="s">
        <v>222</v>
      </c>
      <c r="AS20" s="39" t="s">
        <v>287</v>
      </c>
      <c r="AT20" s="43" t="s">
        <v>11</v>
      </c>
      <c r="AU20" s="51" t="s">
        <v>56</v>
      </c>
      <c r="AV20" s="39" t="s">
        <v>111</v>
      </c>
      <c r="AW20" s="39" t="s">
        <v>222</v>
      </c>
      <c r="AX20" s="39" t="s">
        <v>287</v>
      </c>
      <c r="AY20" s="43" t="s">
        <v>11</v>
      </c>
      <c r="AZ20" s="51" t="s">
        <v>56</v>
      </c>
      <c r="BA20" s="39" t="s">
        <v>111</v>
      </c>
      <c r="BB20" s="39" t="s">
        <v>222</v>
      </c>
      <c r="BC20" s="39" t="s">
        <v>287</v>
      </c>
      <c r="BD20" s="43" t="s">
        <v>11</v>
      </c>
      <c r="BF20" s="25"/>
      <c r="CX20" s="25"/>
      <c r="CY20" s="25"/>
      <c r="CZ20" s="25"/>
      <c r="DA20" s="25"/>
      <c r="DB20" s="25"/>
      <c r="DC20" s="25"/>
      <c r="DD20" s="25"/>
      <c r="DE20" s="25"/>
    </row>
    <row r="21" spans="1:109" ht="74.25" customHeight="1">
      <c r="A21" s="199" t="s">
        <v>12</v>
      </c>
      <c r="B21" s="89">
        <v>0</v>
      </c>
      <c r="C21" s="82">
        <f>'外国語実績201201-201712'!M732</f>
        <v>9</v>
      </c>
      <c r="D21" s="104">
        <f>'外国語実績201201-201712'!M744</f>
        <v>13</v>
      </c>
      <c r="E21" s="437">
        <f>'外国語実績201201-201712'!M756</f>
        <v>0</v>
      </c>
      <c r="F21" s="88">
        <f>(E21-D21)/D21</f>
        <v>-1</v>
      </c>
      <c r="G21" s="89">
        <v>0</v>
      </c>
      <c r="H21" s="82">
        <f>'外国語実績201201-201712'!M784</f>
        <v>33</v>
      </c>
      <c r="I21" s="104">
        <f>'外国語実績201201-201712'!M796</f>
        <v>79</v>
      </c>
      <c r="J21" s="437">
        <f>'外国語実績201201-201712'!M808</f>
        <v>0</v>
      </c>
      <c r="K21" s="88">
        <f>(J21-I21)/I21</f>
        <v>-1</v>
      </c>
      <c r="L21" s="89">
        <v>0</v>
      </c>
      <c r="M21" s="82">
        <f>'外国語実績201201-201712'!M836</f>
        <v>20</v>
      </c>
      <c r="N21" s="104">
        <f>'外国語実績201201-201712'!M848</f>
        <v>45</v>
      </c>
      <c r="O21" s="437">
        <f>'外国語実績201201-201712'!M860</f>
        <v>2</v>
      </c>
      <c r="P21" s="88">
        <f>(O21-N21)/N21</f>
        <v>-0.9555555555555556</v>
      </c>
      <c r="Q21" s="89">
        <v>0</v>
      </c>
      <c r="R21" s="82">
        <f>'外国語実績201201-201712'!M888</f>
        <v>4</v>
      </c>
      <c r="S21" s="104">
        <f>'外国語実績201201-201712'!M900</f>
        <v>6</v>
      </c>
      <c r="T21" s="437">
        <f>'外国語実績201201-201712'!M912</f>
        <v>0</v>
      </c>
      <c r="U21" s="88">
        <f>(T21-S21)/S21</f>
        <v>-1</v>
      </c>
      <c r="V21" s="89">
        <v>0</v>
      </c>
      <c r="W21" s="82">
        <f>'外国語実績201201-201712'!M947</f>
        <v>0</v>
      </c>
      <c r="X21" s="104">
        <f>'外国語実績201201-201712'!M959</f>
        <v>0</v>
      </c>
      <c r="Y21" s="104">
        <f>'外国語実績201201-201712'!M971</f>
        <v>0</v>
      </c>
      <c r="Z21" s="88" t="e">
        <f>(Y21-X21)/X21</f>
        <v>#DIV/0!</v>
      </c>
      <c r="AA21" s="89">
        <v>0</v>
      </c>
      <c r="AB21" s="82">
        <f>'外国語実績201201-201712'!M999</f>
        <v>15</v>
      </c>
      <c r="AC21" s="104">
        <f>'外国語実績201201-201712'!M1011</f>
        <v>13</v>
      </c>
      <c r="AD21" s="437">
        <f>'外国語実績201201-201712'!M1023</f>
        <v>0</v>
      </c>
      <c r="AE21" s="88">
        <f>(AD21-AC21)/AC21</f>
        <v>-1</v>
      </c>
      <c r="AF21" s="89">
        <v>0</v>
      </c>
      <c r="AG21" s="82">
        <f>'外国語実績201201-201712'!M1051</f>
        <v>19</v>
      </c>
      <c r="AH21" s="104">
        <f>'外国語実績201201-201712'!M1063</f>
        <v>19</v>
      </c>
      <c r="AI21" s="437">
        <f>'外国語実績201201-201712'!M1075</f>
        <v>0</v>
      </c>
      <c r="AJ21" s="88">
        <f>(AI21-AH21)/AH21</f>
        <v>-1</v>
      </c>
      <c r="AK21" s="89">
        <v>0</v>
      </c>
      <c r="AL21" s="82">
        <f>'外国語実績201201-201712'!M1103</f>
        <v>20</v>
      </c>
      <c r="AM21" s="104">
        <f>'外国語実績201201-201712'!M1115</f>
        <v>24</v>
      </c>
      <c r="AN21" s="437">
        <f>'外国語実績201201-201712'!M1127</f>
        <v>4</v>
      </c>
      <c r="AO21" s="88">
        <f>(AN21-AM21)/AM21</f>
        <v>-0.83333333333333337</v>
      </c>
      <c r="AP21" s="89">
        <v>0</v>
      </c>
      <c r="AQ21" s="82">
        <f>'外国語実績201201-201712'!M1155</f>
        <v>3</v>
      </c>
      <c r="AR21" s="104">
        <f>'外国語実績201201-201712'!M1167</f>
        <v>9</v>
      </c>
      <c r="AS21" s="437">
        <f>'外国語実績201201-201712'!M1179</f>
        <v>0</v>
      </c>
      <c r="AT21" s="88">
        <f>(AS21-AR21)/AR21</f>
        <v>-1</v>
      </c>
      <c r="AU21" s="89">
        <v>0</v>
      </c>
      <c r="AV21" s="82">
        <f>'外国語実績201201-201712'!M1207</f>
        <v>0</v>
      </c>
      <c r="AW21" s="104">
        <f>'外国語実績201201-201712'!M1219</f>
        <v>6</v>
      </c>
      <c r="AX21" s="437">
        <f>'外国語実績201201-201712'!M1231</f>
        <v>1</v>
      </c>
      <c r="AY21" s="88">
        <f>(AX21-AW21)/AW21</f>
        <v>-0.83333333333333337</v>
      </c>
      <c r="AZ21" s="89">
        <v>0</v>
      </c>
      <c r="BA21" s="82">
        <f>'外国語実績201201-201712'!M1274</f>
        <v>4</v>
      </c>
      <c r="BB21" s="104">
        <f>'外国語実績201201-201712'!M1286</f>
        <v>6</v>
      </c>
      <c r="BC21" s="437">
        <f>'外国語実績201201-201712'!M1298</f>
        <v>0</v>
      </c>
      <c r="BD21" s="88">
        <f>(BC21-BB21)/BB21</f>
        <v>-1</v>
      </c>
      <c r="BF21" s="25"/>
      <c r="CX21" s="25"/>
      <c r="CY21" s="25"/>
      <c r="CZ21" s="25"/>
      <c r="DA21" s="25"/>
      <c r="DB21" s="25"/>
      <c r="DC21" s="25"/>
      <c r="DD21" s="25"/>
      <c r="DE21" s="25"/>
    </row>
    <row r="22" spans="1:109" ht="74.25" customHeight="1">
      <c r="A22" s="199" t="s">
        <v>13</v>
      </c>
      <c r="B22" s="89">
        <v>1</v>
      </c>
      <c r="C22" s="82">
        <f>'外国語実績201201-201712'!M733</f>
        <v>6</v>
      </c>
      <c r="D22" s="104">
        <f>'外国語実績201201-201712'!M745</f>
        <v>9</v>
      </c>
      <c r="E22" s="437">
        <f>'外国語実績201201-201712'!M757</f>
        <v>0</v>
      </c>
      <c r="F22" s="88">
        <f t="shared" ref="F22:F32" si="14">(E22-D22)/D22</f>
        <v>-1</v>
      </c>
      <c r="G22" s="89">
        <v>1</v>
      </c>
      <c r="H22" s="82">
        <f>'外国語実績201201-201712'!M785</f>
        <v>58</v>
      </c>
      <c r="I22" s="104">
        <f>'外国語実績201201-201712'!M797</f>
        <v>81</v>
      </c>
      <c r="J22" s="437">
        <f>'外国語実績201201-201712'!M809</f>
        <v>2</v>
      </c>
      <c r="K22" s="88">
        <f t="shared" ref="K22:K33" si="15">(J22-I22)/I22</f>
        <v>-0.97530864197530864</v>
      </c>
      <c r="L22" s="89">
        <v>0</v>
      </c>
      <c r="M22" s="82">
        <f>'外国語実績201201-201712'!M837</f>
        <v>22</v>
      </c>
      <c r="N22" s="104">
        <f>'外国語実績201201-201712'!M849</f>
        <v>46</v>
      </c>
      <c r="O22" s="437">
        <f>'外国語実績201201-201712'!M861</f>
        <v>2</v>
      </c>
      <c r="P22" s="88">
        <f t="shared" ref="P22:P33" si="16">(O22-N22)/N22</f>
        <v>-0.95652173913043481</v>
      </c>
      <c r="Q22" s="89">
        <v>0</v>
      </c>
      <c r="R22" s="82">
        <f>'外国語実績201201-201712'!M889</f>
        <v>29</v>
      </c>
      <c r="S22" s="104">
        <f>'外国語実績201201-201712'!M901</f>
        <v>12</v>
      </c>
      <c r="T22" s="437">
        <f>'外国語実績201201-201712'!M913</f>
        <v>1</v>
      </c>
      <c r="U22" s="88">
        <f t="shared" ref="U22:U33" si="17">(T22-S22)/S22</f>
        <v>-0.91666666666666663</v>
      </c>
      <c r="V22" s="89">
        <v>0</v>
      </c>
      <c r="W22" s="82">
        <f>'外国語実績201201-201712'!M948</f>
        <v>0</v>
      </c>
      <c r="X22" s="104">
        <f>'外国語実績201201-201712'!M960</f>
        <v>0</v>
      </c>
      <c r="Y22" s="104">
        <f>'外国語実績201201-201712'!M972</f>
        <v>0</v>
      </c>
      <c r="Z22" s="88" t="e">
        <f t="shared" ref="Z22:Z33" si="18">(Y22-X22)/X22</f>
        <v>#DIV/0!</v>
      </c>
      <c r="AA22" s="89">
        <v>0</v>
      </c>
      <c r="AB22" s="82">
        <f>'外国語実績201201-201712'!M1000</f>
        <v>6</v>
      </c>
      <c r="AC22" s="104">
        <f>'外国語実績201201-201712'!M1012</f>
        <v>23</v>
      </c>
      <c r="AD22" s="437">
        <f>'外国語実績201201-201712'!M1024</f>
        <v>0</v>
      </c>
      <c r="AE22" s="88">
        <f t="shared" ref="AE22:AE33" si="19">(AD22-AC22)/AC22</f>
        <v>-1</v>
      </c>
      <c r="AF22" s="89">
        <v>0</v>
      </c>
      <c r="AG22" s="82">
        <f>'外国語実績201201-201712'!M1052</f>
        <v>8</v>
      </c>
      <c r="AH22" s="104">
        <f>'外国語実績201201-201712'!M1064</f>
        <v>7</v>
      </c>
      <c r="AI22" s="437">
        <f>'外国語実績201201-201712'!M1076</f>
        <v>2</v>
      </c>
      <c r="AJ22" s="88">
        <f t="shared" ref="AJ22:AJ33" si="20">(AI22-AH22)/AH22</f>
        <v>-0.7142857142857143</v>
      </c>
      <c r="AK22" s="89">
        <v>0</v>
      </c>
      <c r="AL22" s="82">
        <f>'外国語実績201201-201712'!M1104</f>
        <v>19</v>
      </c>
      <c r="AM22" s="104">
        <f>'外国語実績201201-201712'!M1116</f>
        <v>24</v>
      </c>
      <c r="AN22" s="437">
        <f>'外国語実績201201-201712'!M1128</f>
        <v>0</v>
      </c>
      <c r="AO22" s="88">
        <f t="shared" ref="AO22:AO33" si="21">(AN22-AM22)/AM22</f>
        <v>-1</v>
      </c>
      <c r="AP22" s="89">
        <v>0</v>
      </c>
      <c r="AQ22" s="82">
        <f>'外国語実績201201-201712'!M1156</f>
        <v>8</v>
      </c>
      <c r="AR22" s="104">
        <f>'外国語実績201201-201712'!M1168</f>
        <v>6</v>
      </c>
      <c r="AS22" s="437">
        <f>'外国語実績201201-201712'!M1180</f>
        <v>0</v>
      </c>
      <c r="AT22" s="88">
        <f t="shared" ref="AT22:AT33" si="22">(AS22-AR22)/AR22</f>
        <v>-1</v>
      </c>
      <c r="AU22" s="89">
        <v>0</v>
      </c>
      <c r="AV22" s="82">
        <f>'外国語実績201201-201712'!M1208</f>
        <v>3</v>
      </c>
      <c r="AW22" s="104">
        <f>'外国語実績201201-201712'!M1220</f>
        <v>12</v>
      </c>
      <c r="AX22" s="437">
        <f>'外国語実績201201-201712'!M1232</f>
        <v>0</v>
      </c>
      <c r="AY22" s="88">
        <f t="shared" ref="AY22:AY33" si="23">(AX22-AW22)/AW22</f>
        <v>-1</v>
      </c>
      <c r="AZ22" s="89">
        <v>0</v>
      </c>
      <c r="BA22" s="82">
        <f>'外国語実績201201-201712'!M1275</f>
        <v>2</v>
      </c>
      <c r="BB22" s="104">
        <f>'外国語実績201201-201712'!M1287</f>
        <v>8</v>
      </c>
      <c r="BC22" s="437">
        <f>'外国語実績201201-201712'!M1299</f>
        <v>0</v>
      </c>
      <c r="BD22" s="88">
        <f t="shared" ref="BD22:BD33" si="24">(BC22-BB22)/BB22</f>
        <v>-1</v>
      </c>
      <c r="BF22" s="25"/>
      <c r="CX22" s="25"/>
      <c r="CY22" s="25"/>
      <c r="CZ22" s="25"/>
      <c r="DA22" s="25"/>
      <c r="DB22" s="25"/>
      <c r="DC22" s="25"/>
      <c r="DD22" s="25"/>
      <c r="DE22" s="25"/>
    </row>
    <row r="23" spans="1:109" ht="74.25" customHeight="1">
      <c r="A23" s="217" t="s">
        <v>14</v>
      </c>
      <c r="B23" s="89">
        <v>5</v>
      </c>
      <c r="C23" s="82">
        <f>'外国語実績201201-201712'!M734</f>
        <v>9</v>
      </c>
      <c r="D23" s="104">
        <f>'外国語実績201201-201712'!M746</f>
        <v>16</v>
      </c>
      <c r="E23" s="437">
        <f>'外国語実績201201-201712'!M758</f>
        <v>1</v>
      </c>
      <c r="F23" s="88">
        <f t="shared" si="14"/>
        <v>-0.9375</v>
      </c>
      <c r="G23" s="89">
        <v>24</v>
      </c>
      <c r="H23" s="82">
        <f>'外国語実績201201-201712'!M786</f>
        <v>68</v>
      </c>
      <c r="I23" s="104">
        <f>'外国語実績201201-201712'!M798</f>
        <v>69</v>
      </c>
      <c r="J23" s="437">
        <f>'外国語実績201201-201712'!M810</f>
        <v>6</v>
      </c>
      <c r="K23" s="88">
        <f t="shared" si="15"/>
        <v>-0.91304347826086951</v>
      </c>
      <c r="L23" s="89">
        <v>6</v>
      </c>
      <c r="M23" s="82">
        <f>'外国語実績201201-201712'!M838</f>
        <v>32</v>
      </c>
      <c r="N23" s="104">
        <f>'外国語実績201201-201712'!M850</f>
        <v>43</v>
      </c>
      <c r="O23" s="437">
        <f>'外国語実績201201-201712'!M862</f>
        <v>8</v>
      </c>
      <c r="P23" s="88">
        <f t="shared" si="16"/>
        <v>-0.81395348837209303</v>
      </c>
      <c r="Q23" s="89">
        <v>2</v>
      </c>
      <c r="R23" s="82">
        <f>'外国語実績201201-201712'!M890</f>
        <v>5</v>
      </c>
      <c r="S23" s="104">
        <f>'外国語実績201201-201712'!M902</f>
        <v>17</v>
      </c>
      <c r="T23" s="437">
        <f>'外国語実績201201-201712'!M914</f>
        <v>0</v>
      </c>
      <c r="U23" s="88">
        <f t="shared" si="17"/>
        <v>-1</v>
      </c>
      <c r="V23" s="89">
        <v>2</v>
      </c>
      <c r="W23" s="82">
        <f>'外国語実績201201-201712'!M949</f>
        <v>0</v>
      </c>
      <c r="X23" s="104">
        <f>'外国語実績201201-201712'!M961</f>
        <v>0</v>
      </c>
      <c r="Y23" s="104">
        <f>'外国語実績201201-201712'!M973</f>
        <v>0</v>
      </c>
      <c r="Z23" s="88" t="e">
        <f t="shared" si="18"/>
        <v>#DIV/0!</v>
      </c>
      <c r="AA23" s="89">
        <v>0</v>
      </c>
      <c r="AB23" s="82">
        <f>'外国語実績201201-201712'!M1001</f>
        <v>19</v>
      </c>
      <c r="AC23" s="104">
        <f>'外国語実績201201-201712'!M1013</f>
        <v>14</v>
      </c>
      <c r="AD23" s="437">
        <f>'外国語実績201201-201712'!M1025</f>
        <v>0</v>
      </c>
      <c r="AE23" s="88">
        <f t="shared" si="19"/>
        <v>-1</v>
      </c>
      <c r="AF23" s="89">
        <v>0</v>
      </c>
      <c r="AG23" s="82">
        <f>'外国語実績201201-201712'!M1053</f>
        <v>7</v>
      </c>
      <c r="AH23" s="104">
        <f>'外国語実績201201-201712'!M1065</f>
        <v>8</v>
      </c>
      <c r="AI23" s="437">
        <f>'外国語実績201201-201712'!M1077</f>
        <v>0</v>
      </c>
      <c r="AJ23" s="88">
        <f t="shared" si="20"/>
        <v>-1</v>
      </c>
      <c r="AK23" s="89">
        <v>0</v>
      </c>
      <c r="AL23" s="82">
        <f>'外国語実績201201-201712'!M1105</f>
        <v>9</v>
      </c>
      <c r="AM23" s="104">
        <f>'外国語実績201201-201712'!M1117</f>
        <v>12</v>
      </c>
      <c r="AN23" s="437">
        <f>'外国語実績201201-201712'!M1129</f>
        <v>4</v>
      </c>
      <c r="AO23" s="88">
        <f t="shared" si="21"/>
        <v>-0.66666666666666663</v>
      </c>
      <c r="AP23" s="89">
        <v>0</v>
      </c>
      <c r="AQ23" s="82">
        <f>'外国語実績201201-201712'!M1157</f>
        <v>8</v>
      </c>
      <c r="AR23" s="104">
        <f>'外国語実績201201-201712'!M1169</f>
        <v>6</v>
      </c>
      <c r="AS23" s="437">
        <f>'外国語実績201201-201712'!M1181</f>
        <v>0</v>
      </c>
      <c r="AT23" s="88">
        <f t="shared" si="22"/>
        <v>-1</v>
      </c>
      <c r="AU23" s="89">
        <v>0</v>
      </c>
      <c r="AV23" s="82">
        <f>'外国語実績201201-201712'!M1209</f>
        <v>1</v>
      </c>
      <c r="AW23" s="104">
        <f>'外国語実績201201-201712'!M1221</f>
        <v>6</v>
      </c>
      <c r="AX23" s="437">
        <f>'外国語実績201201-201712'!M1233</f>
        <v>1</v>
      </c>
      <c r="AY23" s="88">
        <f t="shared" si="23"/>
        <v>-0.83333333333333337</v>
      </c>
      <c r="AZ23" s="89">
        <v>0</v>
      </c>
      <c r="BA23" s="82">
        <f>'外国語実績201201-201712'!M1276</f>
        <v>0</v>
      </c>
      <c r="BB23" s="104">
        <f>'外国語実績201201-201712'!M1288</f>
        <v>10</v>
      </c>
      <c r="BC23" s="437">
        <f>'外国語実績201201-201712'!M1300</f>
        <v>0</v>
      </c>
      <c r="BD23" s="88">
        <f t="shared" si="24"/>
        <v>-1</v>
      </c>
      <c r="BF23" s="25"/>
      <c r="CX23" s="25"/>
      <c r="CY23" s="25"/>
      <c r="CZ23" s="25"/>
      <c r="DA23" s="25"/>
      <c r="DB23" s="25"/>
      <c r="DC23" s="25"/>
      <c r="DD23" s="25"/>
      <c r="DE23" s="25"/>
    </row>
    <row r="24" spans="1:109" ht="74.25" customHeight="1">
      <c r="A24" s="225" t="s">
        <v>15</v>
      </c>
      <c r="B24" s="89">
        <v>0</v>
      </c>
      <c r="C24" s="82">
        <f>'外国語実績201201-201712'!M735</f>
        <v>19</v>
      </c>
      <c r="D24" s="104">
        <f>'外国語実績201201-201712'!M747</f>
        <v>27</v>
      </c>
      <c r="E24" s="437">
        <f>'外国語実績201201-201712'!M759</f>
        <v>0</v>
      </c>
      <c r="F24" s="88">
        <f t="shared" si="14"/>
        <v>-1</v>
      </c>
      <c r="G24" s="89">
        <v>29</v>
      </c>
      <c r="H24" s="82">
        <f>'外国語実績201201-201712'!M787</f>
        <v>88</v>
      </c>
      <c r="I24" s="104">
        <f>'外国語実績201201-201712'!M799</f>
        <v>97</v>
      </c>
      <c r="J24" s="437">
        <f>'外国語実績201201-201712'!M811</f>
        <v>0</v>
      </c>
      <c r="K24" s="88">
        <f t="shared" si="15"/>
        <v>-1</v>
      </c>
      <c r="L24" s="89">
        <v>8</v>
      </c>
      <c r="M24" s="82">
        <f>'外国語実績201201-201712'!M839</f>
        <v>35</v>
      </c>
      <c r="N24" s="104">
        <f>'外国語実績201201-201712'!M851</f>
        <v>47</v>
      </c>
      <c r="O24" s="437">
        <f>'外国語実績201201-201712'!M863</f>
        <v>0</v>
      </c>
      <c r="P24" s="88">
        <f t="shared" si="16"/>
        <v>-1</v>
      </c>
      <c r="Q24" s="89">
        <v>1</v>
      </c>
      <c r="R24" s="82">
        <f>'外国語実績201201-201712'!M891</f>
        <v>12</v>
      </c>
      <c r="S24" s="104">
        <f>'外国語実績201201-201712'!M903</f>
        <v>9</v>
      </c>
      <c r="T24" s="437">
        <f>'外国語実績201201-201712'!M915</f>
        <v>0</v>
      </c>
      <c r="U24" s="88">
        <f t="shared" si="17"/>
        <v>-1</v>
      </c>
      <c r="V24" s="89">
        <v>6</v>
      </c>
      <c r="W24" s="82">
        <f>'外国語実績201201-201712'!M950</f>
        <v>0</v>
      </c>
      <c r="X24" s="104">
        <f>'外国語実績201201-201712'!M962</f>
        <v>0</v>
      </c>
      <c r="Y24" s="104">
        <f>'外国語実績201201-201712'!M974</f>
        <v>0</v>
      </c>
      <c r="Z24" s="88" t="e">
        <f t="shared" si="18"/>
        <v>#DIV/0!</v>
      </c>
      <c r="AA24" s="89">
        <v>8</v>
      </c>
      <c r="AB24" s="82">
        <f>'外国語実績201201-201712'!M1002</f>
        <v>16</v>
      </c>
      <c r="AC24" s="104">
        <f>'外国語実績201201-201712'!M1014</f>
        <v>22</v>
      </c>
      <c r="AD24" s="437">
        <f>'外国語実績201201-201712'!M1026</f>
        <v>0</v>
      </c>
      <c r="AE24" s="88">
        <f t="shared" si="19"/>
        <v>-1</v>
      </c>
      <c r="AF24" s="89">
        <v>2</v>
      </c>
      <c r="AG24" s="82">
        <f>'外国語実績201201-201712'!M1054</f>
        <v>13</v>
      </c>
      <c r="AH24" s="104">
        <f>'外国語実績201201-201712'!M1066</f>
        <v>7</v>
      </c>
      <c r="AI24" s="437">
        <f>'外国語実績201201-201712'!M1078</f>
        <v>0</v>
      </c>
      <c r="AJ24" s="88">
        <f t="shared" si="20"/>
        <v>-1</v>
      </c>
      <c r="AK24" s="89">
        <v>3</v>
      </c>
      <c r="AL24" s="82">
        <f>'外国語実績201201-201712'!M1106</f>
        <v>19</v>
      </c>
      <c r="AM24" s="104">
        <f>'外国語実績201201-201712'!M1118</f>
        <v>30</v>
      </c>
      <c r="AN24" s="437">
        <f>'外国語実績201201-201712'!M1130</f>
        <v>0</v>
      </c>
      <c r="AO24" s="88">
        <f t="shared" si="21"/>
        <v>-1</v>
      </c>
      <c r="AP24" s="89">
        <v>2</v>
      </c>
      <c r="AQ24" s="82">
        <f>'外国語実績201201-201712'!M1158</f>
        <v>18</v>
      </c>
      <c r="AR24" s="104">
        <f>'外国語実績201201-201712'!M1170</f>
        <v>23</v>
      </c>
      <c r="AS24" s="437">
        <f>'外国語実績201201-201712'!M1182</f>
        <v>0</v>
      </c>
      <c r="AT24" s="88">
        <f t="shared" si="22"/>
        <v>-1</v>
      </c>
      <c r="AU24" s="89">
        <v>2</v>
      </c>
      <c r="AV24" s="82">
        <f>'外国語実績201201-201712'!M1210</f>
        <v>2</v>
      </c>
      <c r="AW24" s="104">
        <f>'外国語実績201201-201712'!M1222</f>
        <v>19</v>
      </c>
      <c r="AX24" s="437">
        <f>'外国語実績201201-201712'!M1234</f>
        <v>0</v>
      </c>
      <c r="AY24" s="88">
        <f t="shared" si="23"/>
        <v>-1</v>
      </c>
      <c r="AZ24" s="89">
        <v>2</v>
      </c>
      <c r="BA24" s="82">
        <f>'外国語実績201201-201712'!M1277</f>
        <v>5</v>
      </c>
      <c r="BB24" s="104">
        <f>'外国語実績201201-201712'!M1289</f>
        <v>4</v>
      </c>
      <c r="BC24" s="437">
        <f>'外国語実績201201-201712'!M1301</f>
        <v>0</v>
      </c>
      <c r="BD24" s="88">
        <f t="shared" si="24"/>
        <v>-1</v>
      </c>
      <c r="BF24" s="25"/>
      <c r="CX24" s="25"/>
      <c r="CY24" s="25"/>
      <c r="CZ24" s="25"/>
      <c r="DA24" s="25"/>
      <c r="DB24" s="25"/>
      <c r="DC24" s="25"/>
      <c r="DD24" s="25"/>
      <c r="DE24" s="25"/>
    </row>
    <row r="25" spans="1:109" ht="74.25" customHeight="1">
      <c r="A25" s="199" t="s">
        <v>16</v>
      </c>
      <c r="B25" s="89">
        <v>7</v>
      </c>
      <c r="C25" s="82">
        <f>'外国語実績201201-201712'!M736</f>
        <v>14</v>
      </c>
      <c r="D25" s="104">
        <f>'外国語実績201201-201712'!M748</f>
        <v>22</v>
      </c>
      <c r="E25" s="437">
        <f>'外国語実績201201-201712'!M760</f>
        <v>0</v>
      </c>
      <c r="F25" s="88">
        <f t="shared" si="14"/>
        <v>-1</v>
      </c>
      <c r="G25" s="89">
        <v>16</v>
      </c>
      <c r="H25" s="82">
        <f>'外国語実績201201-201712'!M788</f>
        <v>78</v>
      </c>
      <c r="I25" s="104">
        <f>'外国語実績201201-201712'!M800</f>
        <v>103</v>
      </c>
      <c r="J25" s="437">
        <f>'外国語実績201201-201712'!M812</f>
        <v>0</v>
      </c>
      <c r="K25" s="88">
        <f t="shared" si="15"/>
        <v>-1</v>
      </c>
      <c r="L25" s="89">
        <v>10</v>
      </c>
      <c r="M25" s="82">
        <f>'外国語実績201201-201712'!M840</f>
        <v>36</v>
      </c>
      <c r="N25" s="104">
        <f>'外国語実績201201-201712'!M852</f>
        <v>46</v>
      </c>
      <c r="O25" s="437">
        <f>'外国語実績201201-201712'!M864</f>
        <v>0</v>
      </c>
      <c r="P25" s="88">
        <f t="shared" si="16"/>
        <v>-1</v>
      </c>
      <c r="Q25" s="89">
        <v>0</v>
      </c>
      <c r="R25" s="82">
        <f>'外国語実績201201-201712'!M892</f>
        <v>8</v>
      </c>
      <c r="S25" s="104">
        <f>'外国語実績201201-201712'!M904</f>
        <v>9</v>
      </c>
      <c r="T25" s="437">
        <f>'外国語実績201201-201712'!M916</f>
        <v>0</v>
      </c>
      <c r="U25" s="88">
        <f t="shared" si="17"/>
        <v>-1</v>
      </c>
      <c r="V25" s="89">
        <v>5</v>
      </c>
      <c r="W25" s="82">
        <f>'外国語実績201201-201712'!M951</f>
        <v>0</v>
      </c>
      <c r="X25" s="104">
        <f>'外国語実績201201-201712'!M963</f>
        <v>0</v>
      </c>
      <c r="Y25" s="104">
        <f>'外国語実績201201-201712'!M975</f>
        <v>0</v>
      </c>
      <c r="Z25" s="88" t="e">
        <f t="shared" si="18"/>
        <v>#DIV/0!</v>
      </c>
      <c r="AA25" s="89">
        <v>10</v>
      </c>
      <c r="AB25" s="82">
        <f>'外国語実績201201-201712'!M1003</f>
        <v>17</v>
      </c>
      <c r="AC25" s="104">
        <f>'外国語実績201201-201712'!M1015</f>
        <v>16</v>
      </c>
      <c r="AD25" s="437">
        <f>'外国語実績201201-201712'!M1027</f>
        <v>0</v>
      </c>
      <c r="AE25" s="88">
        <f t="shared" si="19"/>
        <v>-1</v>
      </c>
      <c r="AF25" s="89">
        <v>4</v>
      </c>
      <c r="AG25" s="82">
        <f>'外国語実績201201-201712'!M1055</f>
        <v>10</v>
      </c>
      <c r="AH25" s="104">
        <f>'外国語実績201201-201712'!M1067</f>
        <v>8</v>
      </c>
      <c r="AI25" s="437">
        <f>'外国語実績201201-201712'!M1079</f>
        <v>0</v>
      </c>
      <c r="AJ25" s="88">
        <f t="shared" si="20"/>
        <v>-1</v>
      </c>
      <c r="AK25" s="89">
        <v>2</v>
      </c>
      <c r="AL25" s="82">
        <f>'外国語実績201201-201712'!M1107</f>
        <v>18</v>
      </c>
      <c r="AM25" s="104">
        <f>'外国語実績201201-201712'!M1119</f>
        <v>23</v>
      </c>
      <c r="AN25" s="437">
        <f>'外国語実績201201-201712'!M1131</f>
        <v>0</v>
      </c>
      <c r="AO25" s="88">
        <f t="shared" si="21"/>
        <v>-1</v>
      </c>
      <c r="AP25" s="89">
        <v>1</v>
      </c>
      <c r="AQ25" s="82">
        <f>'外国語実績201201-201712'!M1159</f>
        <v>27</v>
      </c>
      <c r="AR25" s="104">
        <f>'外国語実績201201-201712'!M1171</f>
        <v>21</v>
      </c>
      <c r="AS25" s="437">
        <f>'外国語実績201201-201712'!M1183</f>
        <v>0</v>
      </c>
      <c r="AT25" s="88">
        <f t="shared" si="22"/>
        <v>-1</v>
      </c>
      <c r="AU25" s="89">
        <v>0</v>
      </c>
      <c r="AV25" s="82">
        <f>'外国語実績201201-201712'!M1211</f>
        <v>6</v>
      </c>
      <c r="AW25" s="104">
        <f>'外国語実績201201-201712'!M1223</f>
        <v>12</v>
      </c>
      <c r="AX25" s="437">
        <f>'外国語実績201201-201712'!M1235</f>
        <v>0</v>
      </c>
      <c r="AY25" s="88">
        <f t="shared" si="23"/>
        <v>-1</v>
      </c>
      <c r="AZ25" s="89">
        <v>1</v>
      </c>
      <c r="BA25" s="82">
        <f>'外国語実績201201-201712'!M1278</f>
        <v>4</v>
      </c>
      <c r="BB25" s="104">
        <f>'外国語実績201201-201712'!M1290</f>
        <v>8</v>
      </c>
      <c r="BC25" s="437">
        <f>'外国語実績201201-201712'!M1302</f>
        <v>0</v>
      </c>
      <c r="BD25" s="88">
        <f t="shared" si="24"/>
        <v>-1</v>
      </c>
      <c r="BF25" s="25"/>
      <c r="CX25" s="25"/>
      <c r="CY25" s="25"/>
      <c r="CZ25" s="25"/>
      <c r="DA25" s="25"/>
      <c r="DB25" s="25"/>
      <c r="DC25" s="25"/>
      <c r="DD25" s="25"/>
      <c r="DE25" s="25"/>
    </row>
    <row r="26" spans="1:109" ht="74.25" customHeight="1">
      <c r="A26" s="199" t="s">
        <v>17</v>
      </c>
      <c r="B26" s="89">
        <v>4</v>
      </c>
      <c r="C26" s="82">
        <f>'外国語実績201201-201712'!M737</f>
        <v>14</v>
      </c>
      <c r="D26" s="104">
        <f>'外国語実績201201-201712'!M749</f>
        <v>19</v>
      </c>
      <c r="E26" s="437">
        <f>'外国語実績201201-201712'!M761</f>
        <v>0</v>
      </c>
      <c r="F26" s="88">
        <f t="shared" si="14"/>
        <v>-1</v>
      </c>
      <c r="G26" s="89">
        <v>17</v>
      </c>
      <c r="H26" s="82">
        <f>'外国語実績201201-201712'!M789</f>
        <v>71</v>
      </c>
      <c r="I26" s="104">
        <f>'外国語実績201201-201712'!M801</f>
        <v>134</v>
      </c>
      <c r="J26" s="437">
        <f>'外国語実績201201-201712'!M813</f>
        <v>0</v>
      </c>
      <c r="K26" s="88">
        <f t="shared" si="15"/>
        <v>-1</v>
      </c>
      <c r="L26" s="89">
        <v>17</v>
      </c>
      <c r="M26" s="82">
        <f>'外国語実績201201-201712'!M841</f>
        <v>29</v>
      </c>
      <c r="N26" s="104">
        <f>'外国語実績201201-201712'!M853</f>
        <v>38</v>
      </c>
      <c r="O26" s="437">
        <f>'外国語実績201201-201712'!M865</f>
        <v>0</v>
      </c>
      <c r="P26" s="88">
        <f t="shared" si="16"/>
        <v>-1</v>
      </c>
      <c r="Q26" s="89">
        <v>3</v>
      </c>
      <c r="R26" s="82">
        <f>'外国語実績201201-201712'!M893</f>
        <v>9</v>
      </c>
      <c r="S26" s="104">
        <f>'外国語実績201201-201712'!M905</f>
        <v>6</v>
      </c>
      <c r="T26" s="437">
        <f>'外国語実績201201-201712'!M917</f>
        <v>0</v>
      </c>
      <c r="U26" s="88">
        <f t="shared" si="17"/>
        <v>-1</v>
      </c>
      <c r="V26" s="89">
        <v>3</v>
      </c>
      <c r="W26" s="82">
        <f>'外国語実績201201-201712'!M952</f>
        <v>0</v>
      </c>
      <c r="X26" s="104">
        <f>'外国語実績201201-201712'!M964</f>
        <v>0</v>
      </c>
      <c r="Y26" s="104">
        <f>'外国語実績201201-201712'!M976</f>
        <v>0</v>
      </c>
      <c r="Z26" s="88" t="e">
        <f t="shared" si="18"/>
        <v>#DIV/0!</v>
      </c>
      <c r="AA26" s="89">
        <v>10</v>
      </c>
      <c r="AB26" s="82">
        <f>'外国語実績201201-201712'!M1004</f>
        <v>27</v>
      </c>
      <c r="AC26" s="104">
        <f>'外国語実績201201-201712'!M1016</f>
        <v>22</v>
      </c>
      <c r="AD26" s="437">
        <f>'外国語実績201201-201712'!M1028</f>
        <v>0</v>
      </c>
      <c r="AE26" s="88">
        <f t="shared" si="19"/>
        <v>-1</v>
      </c>
      <c r="AF26" s="89">
        <v>3</v>
      </c>
      <c r="AG26" s="82">
        <f>'外国語実績201201-201712'!M1056</f>
        <v>3</v>
      </c>
      <c r="AH26" s="104">
        <f>'外国語実績201201-201712'!M1068</f>
        <v>6</v>
      </c>
      <c r="AI26" s="437">
        <f>'外国語実績201201-201712'!M1080</f>
        <v>0</v>
      </c>
      <c r="AJ26" s="88">
        <f t="shared" si="20"/>
        <v>-1</v>
      </c>
      <c r="AK26" s="89">
        <v>4</v>
      </c>
      <c r="AL26" s="82">
        <f>'外国語実績201201-201712'!M1108</f>
        <v>18</v>
      </c>
      <c r="AM26" s="104">
        <f>'外国語実績201201-201712'!M1120</f>
        <v>20</v>
      </c>
      <c r="AN26" s="437">
        <f>'外国語実績201201-201712'!M1132</f>
        <v>0</v>
      </c>
      <c r="AO26" s="88">
        <f t="shared" si="21"/>
        <v>-1</v>
      </c>
      <c r="AP26" s="89">
        <v>3</v>
      </c>
      <c r="AQ26" s="82">
        <f>'外国語実績201201-201712'!M1160</f>
        <v>21</v>
      </c>
      <c r="AR26" s="104">
        <f>'外国語実績201201-201712'!M1172</f>
        <v>26</v>
      </c>
      <c r="AS26" s="437">
        <f>'外国語実績201201-201712'!M1184</f>
        <v>0</v>
      </c>
      <c r="AT26" s="88">
        <f t="shared" si="22"/>
        <v>-1</v>
      </c>
      <c r="AU26" s="89">
        <v>1</v>
      </c>
      <c r="AV26" s="82">
        <f>'外国語実績201201-201712'!M1212</f>
        <v>6</v>
      </c>
      <c r="AW26" s="104">
        <f>'外国語実績201201-201712'!M1224</f>
        <v>25</v>
      </c>
      <c r="AX26" s="437">
        <f>'外国語実績201201-201712'!M1236</f>
        <v>0</v>
      </c>
      <c r="AY26" s="88">
        <f t="shared" si="23"/>
        <v>-1</v>
      </c>
      <c r="AZ26" s="89">
        <v>4</v>
      </c>
      <c r="BA26" s="82">
        <f>'外国語実績201201-201712'!M1279</f>
        <v>3</v>
      </c>
      <c r="BB26" s="104">
        <f>'外国語実績201201-201712'!M1291</f>
        <v>2</v>
      </c>
      <c r="BC26" s="437">
        <f>'外国語実績201201-201712'!M1303</f>
        <v>0</v>
      </c>
      <c r="BD26" s="88">
        <f t="shared" si="24"/>
        <v>-1</v>
      </c>
      <c r="BF26" s="25"/>
      <c r="CX26" s="25"/>
      <c r="CY26" s="25"/>
      <c r="CZ26" s="25"/>
      <c r="DA26" s="25"/>
      <c r="DB26" s="25"/>
      <c r="DC26" s="25"/>
      <c r="DD26" s="25"/>
      <c r="DE26" s="25"/>
    </row>
    <row r="27" spans="1:109" ht="74.25" customHeight="1">
      <c r="A27" s="199" t="s">
        <v>18</v>
      </c>
      <c r="B27" s="89">
        <v>2</v>
      </c>
      <c r="C27" s="82">
        <f>'外国語実績201201-201712'!M738</f>
        <v>21</v>
      </c>
      <c r="D27" s="104">
        <f>'外国語実績201201-201712'!M750</f>
        <v>37</v>
      </c>
      <c r="E27" s="437">
        <f>'外国語実績201201-201712'!M762</f>
        <v>0</v>
      </c>
      <c r="F27" s="88">
        <f t="shared" si="14"/>
        <v>-1</v>
      </c>
      <c r="G27" s="89">
        <v>13</v>
      </c>
      <c r="H27" s="82">
        <f>'外国語実績201201-201712'!M790</f>
        <v>103</v>
      </c>
      <c r="I27" s="104">
        <f>'外国語実績201201-201712'!M802</f>
        <v>76</v>
      </c>
      <c r="J27" s="437">
        <f>'外国語実績201201-201712'!M814</f>
        <v>0</v>
      </c>
      <c r="K27" s="88">
        <f t="shared" si="15"/>
        <v>-1</v>
      </c>
      <c r="L27" s="89">
        <v>26</v>
      </c>
      <c r="M27" s="82">
        <f>'外国語実績201201-201712'!M842</f>
        <v>50</v>
      </c>
      <c r="N27" s="104">
        <f>'外国語実績201201-201712'!M854</f>
        <v>57</v>
      </c>
      <c r="O27" s="437">
        <f>'外国語実績201201-201712'!M866</f>
        <v>0</v>
      </c>
      <c r="P27" s="88">
        <f t="shared" si="16"/>
        <v>-1</v>
      </c>
      <c r="Q27" s="89">
        <v>2</v>
      </c>
      <c r="R27" s="82">
        <f>'外国語実績201201-201712'!M894</f>
        <v>5</v>
      </c>
      <c r="S27" s="104">
        <f>'外国語実績201201-201712'!M906</f>
        <v>7</v>
      </c>
      <c r="T27" s="437">
        <f>'外国語実績201201-201712'!M918</f>
        <v>0</v>
      </c>
      <c r="U27" s="88">
        <f t="shared" si="17"/>
        <v>-1</v>
      </c>
      <c r="V27" s="89">
        <v>0</v>
      </c>
      <c r="W27" s="82">
        <f>'外国語実績201201-201712'!M953</f>
        <v>0</v>
      </c>
      <c r="X27" s="104">
        <f>'外国語実績201201-201712'!M965</f>
        <v>0</v>
      </c>
      <c r="Y27" s="104">
        <f>'外国語実績201201-201712'!M977</f>
        <v>0</v>
      </c>
      <c r="Z27" s="88" t="e">
        <f t="shared" si="18"/>
        <v>#DIV/0!</v>
      </c>
      <c r="AA27" s="89">
        <v>23</v>
      </c>
      <c r="AB27" s="82">
        <f>'外国語実績201201-201712'!M1005</f>
        <v>26</v>
      </c>
      <c r="AC27" s="104">
        <f>'外国語実績201201-201712'!M1017</f>
        <v>30</v>
      </c>
      <c r="AD27" s="437">
        <f>'外国語実績201201-201712'!M1029</f>
        <v>0</v>
      </c>
      <c r="AE27" s="88">
        <f t="shared" si="19"/>
        <v>-1</v>
      </c>
      <c r="AF27" s="89">
        <v>5</v>
      </c>
      <c r="AG27" s="82">
        <f>'外国語実績201201-201712'!M1057</f>
        <v>4</v>
      </c>
      <c r="AH27" s="104">
        <f>'外国語実績201201-201712'!M1069</f>
        <v>15</v>
      </c>
      <c r="AI27" s="437">
        <f>'外国語実績201201-201712'!M1081</f>
        <v>0</v>
      </c>
      <c r="AJ27" s="88">
        <f t="shared" si="20"/>
        <v>-1</v>
      </c>
      <c r="AK27" s="89">
        <v>4</v>
      </c>
      <c r="AL27" s="82">
        <f>'外国語実績201201-201712'!M1109</f>
        <v>28</v>
      </c>
      <c r="AM27" s="104">
        <f>'外国語実績201201-201712'!M1121</f>
        <v>15</v>
      </c>
      <c r="AN27" s="437">
        <f>'外国語実績201201-201712'!M1133</f>
        <v>0</v>
      </c>
      <c r="AO27" s="88">
        <f t="shared" si="21"/>
        <v>-1</v>
      </c>
      <c r="AP27" s="89">
        <v>7</v>
      </c>
      <c r="AQ27" s="82">
        <f>'外国語実績201201-201712'!M1161</f>
        <v>17</v>
      </c>
      <c r="AR27" s="104">
        <f>'外国語実績201201-201712'!M1173</f>
        <v>15</v>
      </c>
      <c r="AS27" s="437">
        <f>'外国語実績201201-201712'!M1185</f>
        <v>0</v>
      </c>
      <c r="AT27" s="88">
        <f t="shared" si="22"/>
        <v>-1</v>
      </c>
      <c r="AU27" s="89">
        <v>3</v>
      </c>
      <c r="AV27" s="82">
        <f>'外国語実績201201-201712'!M1213</f>
        <v>5</v>
      </c>
      <c r="AW27" s="104">
        <f>'外国語実績201201-201712'!M1225</f>
        <v>22</v>
      </c>
      <c r="AX27" s="437">
        <f>'外国語実績201201-201712'!M1237</f>
        <v>0</v>
      </c>
      <c r="AY27" s="88">
        <f t="shared" si="23"/>
        <v>-1</v>
      </c>
      <c r="AZ27" s="89">
        <v>0</v>
      </c>
      <c r="BA27" s="82">
        <f>'外国語実績201201-201712'!M1280</f>
        <v>0</v>
      </c>
      <c r="BB27" s="104">
        <f>'外国語実績201201-201712'!M1292</f>
        <v>12</v>
      </c>
      <c r="BC27" s="437">
        <f>'外国語実績201201-201712'!M1304</f>
        <v>0</v>
      </c>
      <c r="BD27" s="88">
        <f t="shared" si="24"/>
        <v>-1</v>
      </c>
      <c r="BF27" s="25"/>
      <c r="CX27" s="25"/>
      <c r="CY27" s="25"/>
      <c r="CZ27" s="25"/>
      <c r="DA27" s="25"/>
      <c r="DB27" s="25"/>
      <c r="DC27" s="25"/>
      <c r="DD27" s="25"/>
      <c r="DE27" s="25"/>
    </row>
    <row r="28" spans="1:109" ht="74.25" customHeight="1">
      <c r="A28" s="199" t="s">
        <v>19</v>
      </c>
      <c r="B28" s="89">
        <v>2</v>
      </c>
      <c r="C28" s="82">
        <f>'外国語実績201201-201712'!M739</f>
        <v>11</v>
      </c>
      <c r="D28" s="104">
        <f>'外国語実績201201-201712'!M751</f>
        <v>23</v>
      </c>
      <c r="E28" s="437">
        <f>'外国語実績201201-201712'!M763</f>
        <v>0</v>
      </c>
      <c r="F28" s="88">
        <f t="shared" si="14"/>
        <v>-1</v>
      </c>
      <c r="G28" s="89">
        <v>0</v>
      </c>
      <c r="H28" s="82">
        <f>'外国語実績201201-201712'!M791</f>
        <v>10</v>
      </c>
      <c r="I28" s="104">
        <f>'外国語実績201201-201712'!M803</f>
        <v>29</v>
      </c>
      <c r="J28" s="437">
        <f>'外国語実績201201-201712'!M815</f>
        <v>0</v>
      </c>
      <c r="K28" s="88">
        <f t="shared" si="15"/>
        <v>-1</v>
      </c>
      <c r="L28" s="89">
        <v>28</v>
      </c>
      <c r="M28" s="82">
        <f>'外国語実績201201-201712'!M843</f>
        <v>36</v>
      </c>
      <c r="N28" s="104">
        <f>'外国語実績201201-201712'!M855</f>
        <v>62</v>
      </c>
      <c r="O28" s="437">
        <f>'外国語実績201201-201712'!M867</f>
        <v>0</v>
      </c>
      <c r="P28" s="88">
        <f t="shared" si="16"/>
        <v>-1</v>
      </c>
      <c r="Q28" s="89">
        <v>4</v>
      </c>
      <c r="R28" s="82">
        <f>'外国語実績201201-201712'!M895</f>
        <v>11</v>
      </c>
      <c r="S28" s="104">
        <f>'外国語実績201201-201712'!M907</f>
        <v>6</v>
      </c>
      <c r="T28" s="437">
        <f>'外国語実績201201-201712'!M919</f>
        <v>0</v>
      </c>
      <c r="U28" s="88">
        <f t="shared" si="17"/>
        <v>-1</v>
      </c>
      <c r="V28" s="89">
        <v>0</v>
      </c>
      <c r="W28" s="82">
        <f>'外国語実績201201-201712'!M954</f>
        <v>0</v>
      </c>
      <c r="X28" s="104">
        <f>'外国語実績201201-201712'!M966</f>
        <v>0</v>
      </c>
      <c r="Y28" s="104">
        <f>'外国語実績201201-201712'!M978</f>
        <v>0</v>
      </c>
      <c r="Z28" s="88" t="e">
        <f t="shared" si="18"/>
        <v>#DIV/0!</v>
      </c>
      <c r="AA28" s="89">
        <v>17</v>
      </c>
      <c r="AB28" s="82">
        <f>'外国語実績201201-201712'!M1006</f>
        <v>46</v>
      </c>
      <c r="AC28" s="104">
        <f>'外国語実績201201-201712'!M1018</f>
        <v>45</v>
      </c>
      <c r="AD28" s="437">
        <f>'外国語実績201201-201712'!M1030</f>
        <v>0</v>
      </c>
      <c r="AE28" s="88">
        <f t="shared" si="19"/>
        <v>-1</v>
      </c>
      <c r="AF28" s="89">
        <v>10</v>
      </c>
      <c r="AG28" s="82">
        <f>'外国語実績201201-201712'!M1058</f>
        <v>9</v>
      </c>
      <c r="AH28" s="104">
        <f>'外国語実績201201-201712'!M1070</f>
        <v>16</v>
      </c>
      <c r="AI28" s="437">
        <f>'外国語実績201201-201712'!M1082</f>
        <v>0</v>
      </c>
      <c r="AJ28" s="88">
        <f t="shared" si="20"/>
        <v>-1</v>
      </c>
      <c r="AK28" s="89">
        <v>3</v>
      </c>
      <c r="AL28" s="82">
        <f>'外国語実績201201-201712'!M1110</f>
        <v>13</v>
      </c>
      <c r="AM28" s="104">
        <f>'外国語実績201201-201712'!M1122</f>
        <v>10</v>
      </c>
      <c r="AN28" s="437">
        <f>'外国語実績201201-201712'!M1134</f>
        <v>0</v>
      </c>
      <c r="AO28" s="88">
        <f t="shared" si="21"/>
        <v>-1</v>
      </c>
      <c r="AP28" s="89">
        <v>0</v>
      </c>
      <c r="AQ28" s="82">
        <f>'外国語実績201201-201712'!M1162</f>
        <v>0</v>
      </c>
      <c r="AR28" s="104">
        <f>'外国語実績201201-201712'!M1174</f>
        <v>0</v>
      </c>
      <c r="AS28" s="437">
        <f>'外国語実績201201-201712'!M1186</f>
        <v>0</v>
      </c>
      <c r="AT28" s="88" t="e">
        <f t="shared" si="22"/>
        <v>#DIV/0!</v>
      </c>
      <c r="AU28" s="89">
        <v>0</v>
      </c>
      <c r="AV28" s="82">
        <f>'外国語実績201201-201712'!M1214</f>
        <v>9</v>
      </c>
      <c r="AW28" s="104">
        <f>'外国語実績201201-201712'!M1226</f>
        <v>15</v>
      </c>
      <c r="AX28" s="437">
        <f>'外国語実績201201-201712'!M1238</f>
        <v>0</v>
      </c>
      <c r="AY28" s="88">
        <f t="shared" si="23"/>
        <v>-1</v>
      </c>
      <c r="AZ28" s="89">
        <v>2</v>
      </c>
      <c r="BA28" s="82">
        <f>'外国語実績201201-201712'!M1281</f>
        <v>1</v>
      </c>
      <c r="BB28" s="104">
        <f>'外国語実績201201-201712'!M1293</f>
        <v>6</v>
      </c>
      <c r="BC28" s="437">
        <f>'外国語実績201201-201712'!M1305</f>
        <v>0</v>
      </c>
      <c r="BD28" s="88">
        <f t="shared" si="24"/>
        <v>-1</v>
      </c>
      <c r="BF28" s="25"/>
      <c r="CX28" s="25"/>
      <c r="CY28" s="25"/>
      <c r="CZ28" s="25"/>
      <c r="DA28" s="25"/>
      <c r="DB28" s="25"/>
      <c r="DC28" s="25"/>
      <c r="DD28" s="25"/>
      <c r="DE28" s="25"/>
    </row>
    <row r="29" spans="1:109" ht="74.25" customHeight="1">
      <c r="A29" s="199" t="s">
        <v>20</v>
      </c>
      <c r="B29" s="89">
        <v>5</v>
      </c>
      <c r="C29" s="82">
        <f>'外国語実績201201-201712'!M740</f>
        <v>10</v>
      </c>
      <c r="D29" s="104">
        <f>'外国語実績201201-201712'!M752</f>
        <v>15</v>
      </c>
      <c r="E29" s="437">
        <f>'外国語実績201201-201712'!M764</f>
        <v>0</v>
      </c>
      <c r="F29" s="88">
        <f t="shared" si="14"/>
        <v>-1</v>
      </c>
      <c r="G29" s="89">
        <v>0</v>
      </c>
      <c r="H29" s="82">
        <f>'外国語実績201201-201712'!M792</f>
        <v>0</v>
      </c>
      <c r="I29" s="104">
        <f>'外国語実績201201-201712'!M804</f>
        <v>0</v>
      </c>
      <c r="J29" s="437">
        <f>'外国語実績201201-201712'!M816</f>
        <v>0</v>
      </c>
      <c r="K29" s="88" t="e">
        <f t="shared" si="15"/>
        <v>#DIV/0!</v>
      </c>
      <c r="L29" s="89">
        <v>17</v>
      </c>
      <c r="M29" s="82">
        <f>'外国語実績201201-201712'!M844</f>
        <v>40</v>
      </c>
      <c r="N29" s="104">
        <f>'外国語実績201201-201712'!M856</f>
        <v>63</v>
      </c>
      <c r="O29" s="437">
        <f>'外国語実績201201-201712'!M868</f>
        <v>0</v>
      </c>
      <c r="P29" s="88">
        <f t="shared" si="16"/>
        <v>-1</v>
      </c>
      <c r="Q29" s="89">
        <v>1</v>
      </c>
      <c r="R29" s="82">
        <f>'外国語実績201201-201712'!M896</f>
        <v>5</v>
      </c>
      <c r="S29" s="104">
        <f>'外国語実績201201-201712'!M908</f>
        <v>3</v>
      </c>
      <c r="T29" s="437">
        <f>'外国語実績201201-201712'!M920</f>
        <v>0</v>
      </c>
      <c r="U29" s="88">
        <f t="shared" si="17"/>
        <v>-1</v>
      </c>
      <c r="V29" s="89">
        <v>0</v>
      </c>
      <c r="W29" s="82">
        <f>'外国語実績201201-201712'!M955</f>
        <v>0</v>
      </c>
      <c r="X29" s="104">
        <f>'外国語実績201201-201712'!M967</f>
        <v>0</v>
      </c>
      <c r="Y29" s="104">
        <f>'外国語実績201201-201712'!M979</f>
        <v>0</v>
      </c>
      <c r="Z29" s="88" t="e">
        <f t="shared" si="18"/>
        <v>#DIV/0!</v>
      </c>
      <c r="AA29" s="89">
        <v>21</v>
      </c>
      <c r="AB29" s="82">
        <f>'外国語実績201201-201712'!M1007</f>
        <v>49</v>
      </c>
      <c r="AC29" s="104">
        <f>'外国語実績201201-201712'!M1019</f>
        <v>49</v>
      </c>
      <c r="AD29" s="437">
        <f>'外国語実績201201-201712'!M1031</f>
        <v>0</v>
      </c>
      <c r="AE29" s="88">
        <f t="shared" si="19"/>
        <v>-1</v>
      </c>
      <c r="AF29" s="89">
        <v>9</v>
      </c>
      <c r="AG29" s="82">
        <f>'外国語実績201201-201712'!M1059</f>
        <v>4</v>
      </c>
      <c r="AH29" s="104">
        <f>'外国語実績201201-201712'!M1071</f>
        <v>12</v>
      </c>
      <c r="AI29" s="437">
        <f>'外国語実績201201-201712'!M1083</f>
        <v>0</v>
      </c>
      <c r="AJ29" s="88">
        <f t="shared" si="20"/>
        <v>-1</v>
      </c>
      <c r="AK29" s="89">
        <v>9</v>
      </c>
      <c r="AL29" s="82">
        <f>'外国語実績201201-201712'!M1111</f>
        <v>30</v>
      </c>
      <c r="AM29" s="104">
        <f>'外国語実績201201-201712'!M1123</f>
        <v>12</v>
      </c>
      <c r="AN29" s="437">
        <f>'外国語実績201201-201712'!M1135</f>
        <v>0</v>
      </c>
      <c r="AO29" s="88">
        <f t="shared" si="21"/>
        <v>-1</v>
      </c>
      <c r="AP29" s="89">
        <v>0</v>
      </c>
      <c r="AQ29" s="82">
        <f>'外国語実績201201-201712'!M1163</f>
        <v>0</v>
      </c>
      <c r="AR29" s="104">
        <f>'外国語実績201201-201712'!M1175</f>
        <v>0</v>
      </c>
      <c r="AS29" s="437">
        <f>'外国語実績201201-201712'!M1187</f>
        <v>0</v>
      </c>
      <c r="AT29" s="88" t="e">
        <f t="shared" si="22"/>
        <v>#DIV/0!</v>
      </c>
      <c r="AU29" s="89">
        <v>1</v>
      </c>
      <c r="AV29" s="82">
        <f>'外国語実績201201-201712'!M1215</f>
        <v>10</v>
      </c>
      <c r="AW29" s="104">
        <f>'外国語実績201201-201712'!M1227</f>
        <v>3</v>
      </c>
      <c r="AX29" s="437">
        <f>'外国語実績201201-201712'!M1239</f>
        <v>0</v>
      </c>
      <c r="AY29" s="88">
        <f t="shared" si="23"/>
        <v>-1</v>
      </c>
      <c r="AZ29" s="89">
        <v>0</v>
      </c>
      <c r="BA29" s="82">
        <f>'外国語実績201201-201712'!M1282</f>
        <v>1</v>
      </c>
      <c r="BB29" s="104">
        <f>'外国語実績201201-201712'!M1294</f>
        <v>5</v>
      </c>
      <c r="BC29" s="437">
        <f>'外国語実績201201-201712'!M1306</f>
        <v>0</v>
      </c>
      <c r="BD29" s="88">
        <f t="shared" si="24"/>
        <v>-1</v>
      </c>
      <c r="BF29" s="25"/>
      <c r="CX29" s="25"/>
      <c r="CY29" s="25"/>
      <c r="CZ29" s="25"/>
      <c r="DA29" s="25"/>
      <c r="DB29" s="25"/>
      <c r="DC29" s="25"/>
      <c r="DD29" s="25"/>
      <c r="DE29" s="25"/>
    </row>
    <row r="30" spans="1:109" ht="74.25" customHeight="1">
      <c r="A30" s="199" t="s">
        <v>21</v>
      </c>
      <c r="B30" s="89">
        <f>'外国語実績201201-201712'!M729</f>
        <v>5</v>
      </c>
      <c r="C30" s="82">
        <f>'外国語実績201201-201712'!M741</f>
        <v>13</v>
      </c>
      <c r="D30" s="104">
        <f>'外国語実績201201-201712'!M753</f>
        <v>13</v>
      </c>
      <c r="E30" s="437"/>
      <c r="F30" s="88">
        <f t="shared" si="14"/>
        <v>-1</v>
      </c>
      <c r="G30" s="89">
        <f>'外国語実績201201-201712'!M781</f>
        <v>0</v>
      </c>
      <c r="H30" s="82">
        <f>'外国語実績201201-201712'!M793</f>
        <v>0</v>
      </c>
      <c r="I30" s="104">
        <f>'外国語実績201201-201712'!M805</f>
        <v>0</v>
      </c>
      <c r="J30" s="437"/>
      <c r="K30" s="88" t="e">
        <f t="shared" si="15"/>
        <v>#DIV/0!</v>
      </c>
      <c r="L30" s="89">
        <f>'外国語実績201201-201712'!M833</f>
        <v>9</v>
      </c>
      <c r="M30" s="82">
        <f>'外国語実績201201-201712'!M845</f>
        <v>26</v>
      </c>
      <c r="N30" s="104">
        <f>'外国語実績201201-201712'!M857</f>
        <v>33</v>
      </c>
      <c r="O30" s="437"/>
      <c r="P30" s="88">
        <f t="shared" si="16"/>
        <v>-1</v>
      </c>
      <c r="Q30" s="89">
        <f>'外国語実績201201-201712'!M885</f>
        <v>2</v>
      </c>
      <c r="R30" s="82">
        <f>'外国語実績201201-201712'!M897</f>
        <v>3</v>
      </c>
      <c r="S30" s="104">
        <f>'外国語実績201201-201712'!M909</f>
        <v>1</v>
      </c>
      <c r="T30" s="437"/>
      <c r="U30" s="88">
        <f t="shared" si="17"/>
        <v>-1</v>
      </c>
      <c r="V30" s="89">
        <f>'外国語実績201201-201712'!M944</f>
        <v>0</v>
      </c>
      <c r="W30" s="82">
        <f>'外国語実績201201-201712'!M956</f>
        <v>0</v>
      </c>
      <c r="X30" s="104">
        <f>'外国語実績201201-201712'!M968</f>
        <v>0</v>
      </c>
      <c r="Y30" s="104"/>
      <c r="Z30" s="88" t="e">
        <f t="shared" si="18"/>
        <v>#DIV/0!</v>
      </c>
      <c r="AA30" s="89">
        <f>'外国語実績201201-201712'!M996</f>
        <v>25</v>
      </c>
      <c r="AB30" s="82">
        <f>'外国語実績201201-201712'!M1008</f>
        <v>46</v>
      </c>
      <c r="AC30" s="104">
        <f>'外国語実績201201-201712'!M1020</f>
        <v>79</v>
      </c>
      <c r="AD30" s="437"/>
      <c r="AE30" s="88">
        <f t="shared" si="19"/>
        <v>-1</v>
      </c>
      <c r="AF30" s="89">
        <f>'外国語実績201201-201712'!M1048</f>
        <v>7</v>
      </c>
      <c r="AG30" s="82">
        <f>'外国語実績201201-201712'!M1060</f>
        <v>7</v>
      </c>
      <c r="AH30" s="104">
        <f>'外国語実績201201-201712'!M1072</f>
        <v>29</v>
      </c>
      <c r="AI30" s="437"/>
      <c r="AJ30" s="88">
        <f t="shared" si="20"/>
        <v>-1</v>
      </c>
      <c r="AK30" s="89">
        <f>'外国語実績201201-201712'!M1100</f>
        <v>9</v>
      </c>
      <c r="AL30" s="82">
        <f>'外国語実績201201-201712'!M1112</f>
        <v>31</v>
      </c>
      <c r="AM30" s="104">
        <f>'外国語実績201201-201712'!M1124</f>
        <v>14</v>
      </c>
      <c r="AN30" s="437"/>
      <c r="AO30" s="88">
        <f t="shared" si="21"/>
        <v>-1</v>
      </c>
      <c r="AP30" s="89">
        <f>'外国語実績201201-201712'!M1152</f>
        <v>0</v>
      </c>
      <c r="AQ30" s="82">
        <f>'外国語実績201201-201712'!M1164</f>
        <v>0</v>
      </c>
      <c r="AR30" s="104">
        <f>'外国語実績201201-201712'!M1176</f>
        <v>0</v>
      </c>
      <c r="AS30" s="437"/>
      <c r="AT30" s="88" t="e">
        <f t="shared" si="22"/>
        <v>#DIV/0!</v>
      </c>
      <c r="AU30" s="89">
        <f>'外国語実績201201-201712'!M1204</f>
        <v>0</v>
      </c>
      <c r="AV30" s="82">
        <f>'外国語実績201201-201712'!M1216</f>
        <v>2</v>
      </c>
      <c r="AW30" s="104">
        <f>'外国語実績201201-201712'!M1228</f>
        <v>3</v>
      </c>
      <c r="AX30" s="437"/>
      <c r="AY30" s="88">
        <f t="shared" si="23"/>
        <v>-1</v>
      </c>
      <c r="AZ30" s="89">
        <f>'外国語実績201201-201712'!M1271</f>
        <v>0</v>
      </c>
      <c r="BA30" s="82">
        <f>'外国語実績201201-201712'!M1283</f>
        <v>2</v>
      </c>
      <c r="BB30" s="104">
        <f>'外国語実績201201-201712'!M1295</f>
        <v>8</v>
      </c>
      <c r="BC30" s="437"/>
      <c r="BD30" s="88">
        <f t="shared" si="24"/>
        <v>-1</v>
      </c>
      <c r="BF30" s="25"/>
      <c r="CX30" s="25"/>
      <c r="CY30" s="25"/>
      <c r="CZ30" s="25"/>
      <c r="DA30" s="25"/>
      <c r="DB30" s="25"/>
      <c r="DC30" s="25"/>
      <c r="DD30" s="25"/>
      <c r="DE30" s="25"/>
    </row>
    <row r="31" spans="1:109" ht="74.25" customHeight="1">
      <c r="A31" s="247" t="s">
        <v>22</v>
      </c>
      <c r="B31" s="89">
        <f>'外国語実績201201-201712'!M730</f>
        <v>6</v>
      </c>
      <c r="C31" s="82">
        <f>'外国語実績201201-201712'!M742</f>
        <v>6</v>
      </c>
      <c r="D31" s="104">
        <f>'外国語実績201201-201712'!M754</f>
        <v>7</v>
      </c>
      <c r="E31" s="437"/>
      <c r="F31" s="88">
        <f t="shared" si="14"/>
        <v>-1</v>
      </c>
      <c r="G31" s="89">
        <f>'外国語実績201201-201712'!M782</f>
        <v>0</v>
      </c>
      <c r="H31" s="82">
        <f>'外国語実績201201-201712'!M794</f>
        <v>0</v>
      </c>
      <c r="I31" s="104">
        <f>'外国語実績201201-201712'!M806</f>
        <v>0</v>
      </c>
      <c r="J31" s="437"/>
      <c r="K31" s="88" t="e">
        <f t="shared" si="15"/>
        <v>#DIV/0!</v>
      </c>
      <c r="L31" s="89">
        <f>'外国語実績201201-201712'!M834</f>
        <v>11</v>
      </c>
      <c r="M31" s="82">
        <f>'外国語実績201201-201712'!M846</f>
        <v>27</v>
      </c>
      <c r="N31" s="104">
        <f>'外国語実績201201-201712'!M858</f>
        <v>34</v>
      </c>
      <c r="O31" s="437"/>
      <c r="P31" s="88">
        <f t="shared" si="16"/>
        <v>-1</v>
      </c>
      <c r="Q31" s="89">
        <f>'外国語実績201201-201712'!M886</f>
        <v>0</v>
      </c>
      <c r="R31" s="82">
        <f>'外国語実績201201-201712'!M898</f>
        <v>6</v>
      </c>
      <c r="S31" s="104">
        <f>'外国語実績201201-201712'!M910</f>
        <v>2</v>
      </c>
      <c r="T31" s="437"/>
      <c r="U31" s="88">
        <f t="shared" si="17"/>
        <v>-1</v>
      </c>
      <c r="V31" s="89">
        <f>'外国語実績201201-201712'!M945</f>
        <v>0</v>
      </c>
      <c r="W31" s="82">
        <f>'外国語実績201201-201712'!M957</f>
        <v>0</v>
      </c>
      <c r="X31" s="104">
        <f>'外国語実績201201-201712'!M969</f>
        <v>0</v>
      </c>
      <c r="Y31" s="104"/>
      <c r="Z31" s="88" t="e">
        <f t="shared" si="18"/>
        <v>#DIV/0!</v>
      </c>
      <c r="AA31" s="89">
        <f>'外国語実績201201-201712'!M997</f>
        <v>12</v>
      </c>
      <c r="AB31" s="82">
        <f>'外国語実績201201-201712'!M1009</f>
        <v>34</v>
      </c>
      <c r="AC31" s="104">
        <f>'外国語実績201201-201712'!M1021</f>
        <v>50</v>
      </c>
      <c r="AD31" s="437"/>
      <c r="AE31" s="88">
        <f t="shared" si="19"/>
        <v>-1</v>
      </c>
      <c r="AF31" s="89">
        <f>'外国語実績201201-201712'!M1049</f>
        <v>9</v>
      </c>
      <c r="AG31" s="82">
        <f>'外国語実績201201-201712'!M1061</f>
        <v>11</v>
      </c>
      <c r="AH31" s="104">
        <f>'外国語実績201201-201712'!M1073</f>
        <v>6</v>
      </c>
      <c r="AI31" s="437"/>
      <c r="AJ31" s="88">
        <f t="shared" si="20"/>
        <v>-1</v>
      </c>
      <c r="AK31" s="89">
        <f>'外国語実績201201-201712'!M1101</f>
        <v>8</v>
      </c>
      <c r="AL31" s="82">
        <f>'外国語実績201201-201712'!M1113</f>
        <v>27</v>
      </c>
      <c r="AM31" s="104">
        <f>'外国語実績201201-201712'!M1125</f>
        <v>9</v>
      </c>
      <c r="AN31" s="437"/>
      <c r="AO31" s="88">
        <f t="shared" si="21"/>
        <v>-1</v>
      </c>
      <c r="AP31" s="89">
        <f>'外国語実績201201-201712'!M1153</f>
        <v>0</v>
      </c>
      <c r="AQ31" s="82">
        <f>'外国語実績201201-201712'!M1165</f>
        <v>0</v>
      </c>
      <c r="AR31" s="104">
        <f>'外国語実績201201-201712'!M1177</f>
        <v>0</v>
      </c>
      <c r="AS31" s="437"/>
      <c r="AT31" s="88" t="e">
        <f t="shared" si="22"/>
        <v>#DIV/0!</v>
      </c>
      <c r="AU31" s="89">
        <f>'外国語実績201201-201712'!M1205</f>
        <v>0</v>
      </c>
      <c r="AV31" s="82">
        <f>'外国語実績201201-201712'!M1217</f>
        <v>2</v>
      </c>
      <c r="AW31" s="104">
        <f>'外国語実績201201-201712'!M1229</f>
        <v>5</v>
      </c>
      <c r="AX31" s="437"/>
      <c r="AY31" s="88">
        <f t="shared" si="23"/>
        <v>-1</v>
      </c>
      <c r="AZ31" s="89">
        <f>'外国語実績201201-201712'!M1272</f>
        <v>0</v>
      </c>
      <c r="BA31" s="82">
        <f>'外国語実績201201-201712'!M1284</f>
        <v>3</v>
      </c>
      <c r="BB31" s="104">
        <f>'外国語実績201201-201712'!M1296</f>
        <v>2</v>
      </c>
      <c r="BC31" s="437"/>
      <c r="BD31" s="88">
        <f t="shared" si="24"/>
        <v>-1</v>
      </c>
      <c r="BF31" s="25"/>
      <c r="CX31" s="25"/>
      <c r="CY31" s="25"/>
      <c r="CZ31" s="25"/>
      <c r="DA31" s="25"/>
      <c r="DB31" s="25"/>
      <c r="DC31" s="25"/>
      <c r="DD31" s="25"/>
      <c r="DE31" s="25"/>
    </row>
    <row r="32" spans="1:109" ht="74.25" customHeight="1" thickBot="1">
      <c r="A32" s="250" t="s">
        <v>23</v>
      </c>
      <c r="B32" s="451">
        <f>'外国語実績201201-201712'!M731</f>
        <v>10</v>
      </c>
      <c r="C32" s="449">
        <f>'外国語実績201201-201712'!M743</f>
        <v>23</v>
      </c>
      <c r="D32" s="437">
        <f>'外国語実績201201-201712'!M755</f>
        <v>0</v>
      </c>
      <c r="E32" s="437"/>
      <c r="F32" s="447" t="e">
        <f t="shared" si="14"/>
        <v>#DIV/0!</v>
      </c>
      <c r="G32" s="451">
        <f>'外国語実績201201-201712'!M783</f>
        <v>5</v>
      </c>
      <c r="H32" s="449">
        <f>'外国語実績201201-201712'!M795</f>
        <v>13</v>
      </c>
      <c r="I32" s="437">
        <f>'外国語実績201201-201712'!M807</f>
        <v>1</v>
      </c>
      <c r="J32" s="437"/>
      <c r="K32" s="447">
        <f t="shared" si="15"/>
        <v>-1</v>
      </c>
      <c r="L32" s="451">
        <f>'外国語実績201201-201712'!M835</f>
        <v>22</v>
      </c>
      <c r="M32" s="449">
        <f>'外国語実績201201-201712'!M847</f>
        <v>44</v>
      </c>
      <c r="N32" s="437">
        <f>'外国語実績201201-201712'!M859</f>
        <v>24</v>
      </c>
      <c r="O32" s="437"/>
      <c r="P32" s="447">
        <f t="shared" si="16"/>
        <v>-1</v>
      </c>
      <c r="Q32" s="451">
        <f>'外国語実績201201-201712'!M887</f>
        <v>5</v>
      </c>
      <c r="R32" s="449">
        <f>'外国語実績201201-201712'!M899</f>
        <v>9</v>
      </c>
      <c r="S32" s="437">
        <f>'外国語実績201201-201712'!M911</f>
        <v>2</v>
      </c>
      <c r="T32" s="437"/>
      <c r="U32" s="447">
        <f t="shared" si="17"/>
        <v>-1</v>
      </c>
      <c r="V32" s="451">
        <f>'外国語実績201201-201712'!M946</f>
        <v>0</v>
      </c>
      <c r="W32" s="449">
        <f>'外国語実績201201-201712'!M958</f>
        <v>0</v>
      </c>
      <c r="X32" s="437">
        <f>'外国語実績201201-201712'!M970</f>
        <v>0</v>
      </c>
      <c r="Y32" s="437"/>
      <c r="Z32" s="447" t="e">
        <f t="shared" si="18"/>
        <v>#DIV/0!</v>
      </c>
      <c r="AA32" s="451">
        <f>'外国語実績201201-201712'!M998</f>
        <v>26</v>
      </c>
      <c r="AB32" s="449">
        <f>'外国語実績201201-201712'!M1010</f>
        <v>35</v>
      </c>
      <c r="AC32" s="437">
        <f>'外国語実績201201-201712'!M1022</f>
        <v>10</v>
      </c>
      <c r="AD32" s="437"/>
      <c r="AE32" s="447">
        <f t="shared" si="19"/>
        <v>-1</v>
      </c>
      <c r="AF32" s="451">
        <f>'外国語実績201201-201712'!M1050</f>
        <v>6</v>
      </c>
      <c r="AG32" s="449">
        <f>'外国語実績201201-201712'!M1062</f>
        <v>14</v>
      </c>
      <c r="AH32" s="437">
        <f>'外国語実績201201-201712'!M1074</f>
        <v>1</v>
      </c>
      <c r="AI32" s="437"/>
      <c r="AJ32" s="447">
        <f t="shared" si="20"/>
        <v>-1</v>
      </c>
      <c r="AK32" s="451">
        <f>'外国語実績201201-201712'!M1102</f>
        <v>20</v>
      </c>
      <c r="AL32" s="449">
        <f>'外国語実績201201-201712'!M1114</f>
        <v>26</v>
      </c>
      <c r="AM32" s="437">
        <f>'外国語実績201201-201712'!M1126</f>
        <v>13</v>
      </c>
      <c r="AN32" s="437"/>
      <c r="AO32" s="447">
        <f t="shared" si="21"/>
        <v>-1</v>
      </c>
      <c r="AP32" s="451">
        <f>'外国語実績201201-201712'!M1154</f>
        <v>0</v>
      </c>
      <c r="AQ32" s="449">
        <f>'外国語実績201201-201712'!M1166</f>
        <v>2</v>
      </c>
      <c r="AR32" s="437">
        <f>'外国語実績201201-201712'!M1178</f>
        <v>0</v>
      </c>
      <c r="AS32" s="437"/>
      <c r="AT32" s="447" t="e">
        <f t="shared" si="22"/>
        <v>#DIV/0!</v>
      </c>
      <c r="AU32" s="451">
        <f>'外国語実績201201-201712'!M1206</f>
        <v>1</v>
      </c>
      <c r="AV32" s="449">
        <f>'外国語実績201201-201712'!M1218</f>
        <v>4</v>
      </c>
      <c r="AW32" s="437">
        <f>'外国語実績201201-201712'!M1230</f>
        <v>1</v>
      </c>
      <c r="AX32" s="437"/>
      <c r="AY32" s="447">
        <f t="shared" si="23"/>
        <v>-1</v>
      </c>
      <c r="AZ32" s="451">
        <f>'外国語実績201201-201712'!M1273</f>
        <v>0</v>
      </c>
      <c r="BA32" s="449">
        <f>'外国語実績201201-201712'!M1285</f>
        <v>9</v>
      </c>
      <c r="BB32" s="437">
        <f>'外国語実績201201-201712'!M1297</f>
        <v>1</v>
      </c>
      <c r="BC32" s="437"/>
      <c r="BD32" s="447">
        <f t="shared" si="24"/>
        <v>-1</v>
      </c>
      <c r="BF32" s="25"/>
      <c r="CX32" s="25"/>
      <c r="CY32" s="25"/>
      <c r="CZ32" s="25"/>
      <c r="DA32" s="25"/>
      <c r="DB32" s="25"/>
      <c r="DC32" s="25"/>
      <c r="DD32" s="25"/>
      <c r="DE32" s="25"/>
    </row>
    <row r="33" spans="1:109" ht="74.25" customHeight="1" thickBot="1">
      <c r="A33" s="76" t="s">
        <v>5</v>
      </c>
      <c r="B33" s="90">
        <f>SUM(B21:B32)</f>
        <v>47</v>
      </c>
      <c r="C33" s="87">
        <f>SUM(C21:C32)</f>
        <v>155</v>
      </c>
      <c r="D33" s="96">
        <f t="shared" ref="D33:E33" si="25">SUM(D21:D32)</f>
        <v>201</v>
      </c>
      <c r="E33" s="96">
        <f t="shared" si="25"/>
        <v>1</v>
      </c>
      <c r="F33" s="450">
        <f>(E33-D33)/D33</f>
        <v>-0.99502487562189057</v>
      </c>
      <c r="G33" s="90">
        <f>SUM(G21:G32)</f>
        <v>105</v>
      </c>
      <c r="H33" s="87">
        <f>SUM(H21:H32)</f>
        <v>522</v>
      </c>
      <c r="I33" s="96">
        <f t="shared" ref="I33:J33" si="26">SUM(I21:I32)</f>
        <v>669</v>
      </c>
      <c r="J33" s="96">
        <f t="shared" si="26"/>
        <v>8</v>
      </c>
      <c r="K33" s="450">
        <f t="shared" si="15"/>
        <v>-0.98804185351270557</v>
      </c>
      <c r="L33" s="90">
        <f>SUM(L21:L32)</f>
        <v>154</v>
      </c>
      <c r="M33" s="87">
        <f>SUM(M21:M32)</f>
        <v>397</v>
      </c>
      <c r="N33" s="96">
        <f t="shared" ref="N33:O33" si="27">SUM(N21:N32)</f>
        <v>538</v>
      </c>
      <c r="O33" s="96">
        <f t="shared" si="27"/>
        <v>12</v>
      </c>
      <c r="P33" s="450">
        <f t="shared" si="16"/>
        <v>-0.97769516728624539</v>
      </c>
      <c r="Q33" s="90">
        <f>SUM(Q21:Q32)</f>
        <v>20</v>
      </c>
      <c r="R33" s="87">
        <f>SUM(R21:R32)</f>
        <v>106</v>
      </c>
      <c r="S33" s="96">
        <f t="shared" ref="S33:T33" si="28">SUM(S21:S32)</f>
        <v>80</v>
      </c>
      <c r="T33" s="96">
        <f t="shared" si="28"/>
        <v>1</v>
      </c>
      <c r="U33" s="450">
        <f t="shared" si="17"/>
        <v>-0.98750000000000004</v>
      </c>
      <c r="V33" s="90">
        <f t="shared" ref="V33:BA33" si="29">SUM(V21:V32)</f>
        <v>16</v>
      </c>
      <c r="W33" s="87">
        <f t="shared" si="29"/>
        <v>0</v>
      </c>
      <c r="X33" s="96">
        <f t="shared" ref="X33:Y33" si="30">SUM(X21:X32)</f>
        <v>0</v>
      </c>
      <c r="Y33" s="96">
        <f t="shared" si="30"/>
        <v>0</v>
      </c>
      <c r="Z33" s="450" t="e">
        <f t="shared" si="18"/>
        <v>#DIV/0!</v>
      </c>
      <c r="AA33" s="90">
        <f t="shared" si="29"/>
        <v>152</v>
      </c>
      <c r="AB33" s="87">
        <f t="shared" si="29"/>
        <v>336</v>
      </c>
      <c r="AC33" s="96">
        <f t="shared" ref="AC33:AD33" si="31">SUM(AC21:AC32)</f>
        <v>373</v>
      </c>
      <c r="AD33" s="96">
        <f t="shared" si="31"/>
        <v>0</v>
      </c>
      <c r="AE33" s="450">
        <f t="shared" si="19"/>
        <v>-1</v>
      </c>
      <c r="AF33" s="90">
        <f t="shared" si="29"/>
        <v>55</v>
      </c>
      <c r="AG33" s="87">
        <f t="shared" si="29"/>
        <v>109</v>
      </c>
      <c r="AH33" s="96">
        <f t="shared" ref="AH33:AI33" si="32">SUM(AH21:AH32)</f>
        <v>134</v>
      </c>
      <c r="AI33" s="96">
        <f t="shared" si="32"/>
        <v>2</v>
      </c>
      <c r="AJ33" s="450">
        <f t="shared" si="20"/>
        <v>-0.9850746268656716</v>
      </c>
      <c r="AK33" s="90">
        <f t="shared" si="29"/>
        <v>62</v>
      </c>
      <c r="AL33" s="87">
        <f t="shared" si="29"/>
        <v>258</v>
      </c>
      <c r="AM33" s="96">
        <f t="shared" ref="AM33:AN33" si="33">SUM(AM21:AM32)</f>
        <v>206</v>
      </c>
      <c r="AN33" s="96">
        <f t="shared" si="33"/>
        <v>8</v>
      </c>
      <c r="AO33" s="450">
        <f t="shared" si="21"/>
        <v>-0.96116504854368934</v>
      </c>
      <c r="AP33" s="90">
        <f t="shared" si="29"/>
        <v>13</v>
      </c>
      <c r="AQ33" s="87">
        <f t="shared" si="29"/>
        <v>104</v>
      </c>
      <c r="AR33" s="96">
        <f t="shared" ref="AR33:AS33" si="34">SUM(AR21:AR32)</f>
        <v>106</v>
      </c>
      <c r="AS33" s="96">
        <f t="shared" si="34"/>
        <v>0</v>
      </c>
      <c r="AT33" s="450">
        <f t="shared" si="22"/>
        <v>-1</v>
      </c>
      <c r="AU33" s="90">
        <f t="shared" si="29"/>
        <v>8</v>
      </c>
      <c r="AV33" s="87">
        <f t="shared" si="29"/>
        <v>50</v>
      </c>
      <c r="AW33" s="96">
        <f t="shared" ref="AW33:AX33" si="35">SUM(AW21:AW32)</f>
        <v>129</v>
      </c>
      <c r="AX33" s="96">
        <f t="shared" si="35"/>
        <v>2</v>
      </c>
      <c r="AY33" s="450">
        <f t="shared" si="23"/>
        <v>-0.98449612403100772</v>
      </c>
      <c r="AZ33" s="90">
        <f t="shared" si="29"/>
        <v>9</v>
      </c>
      <c r="BA33" s="87">
        <f t="shared" si="29"/>
        <v>34</v>
      </c>
      <c r="BB33" s="96">
        <f t="shared" ref="BB33:BC33" si="36">SUM(BB21:BB32)</f>
        <v>72</v>
      </c>
      <c r="BC33" s="96">
        <f t="shared" si="36"/>
        <v>0</v>
      </c>
      <c r="BD33" s="450">
        <f t="shared" si="24"/>
        <v>-1</v>
      </c>
      <c r="BF33" s="25"/>
      <c r="CX33" s="25"/>
      <c r="CY33" s="25"/>
      <c r="CZ33" s="25"/>
      <c r="DA33" s="25"/>
      <c r="DB33" s="25"/>
      <c r="DC33" s="25"/>
      <c r="DD33" s="25"/>
      <c r="DE33" s="25"/>
    </row>
    <row r="34" spans="1:109" ht="20.100000000000001" customHeight="1" thickBot="1">
      <c r="A34" s="48"/>
      <c r="B34" s="48"/>
      <c r="C34" s="48"/>
      <c r="D34" s="48"/>
      <c r="E34" s="48"/>
      <c r="F34" s="49"/>
      <c r="G34" s="49"/>
      <c r="H34" s="49"/>
      <c r="I34" s="48"/>
      <c r="J34" s="48"/>
      <c r="K34" s="48"/>
      <c r="L34" s="48"/>
      <c r="M34" s="49"/>
      <c r="N34" s="48"/>
      <c r="O34" s="48"/>
      <c r="P34" s="48"/>
      <c r="Q34" s="48"/>
      <c r="R34" s="48"/>
      <c r="S34" s="48"/>
      <c r="T34" s="49"/>
      <c r="U34" s="48"/>
      <c r="V34" s="48"/>
      <c r="W34" s="48"/>
      <c r="X34" s="48"/>
      <c r="Y34" s="48"/>
      <c r="Z34" s="48"/>
      <c r="AA34" s="49"/>
      <c r="AB34" s="48"/>
      <c r="AC34" s="48"/>
      <c r="AD34" s="48"/>
      <c r="AE34" s="48"/>
      <c r="AF34" s="48"/>
      <c r="AG34" s="49"/>
      <c r="AH34" s="48"/>
      <c r="AI34" s="48"/>
      <c r="AJ34" s="48"/>
      <c r="AK34" s="49"/>
      <c r="AL34" s="49"/>
      <c r="AM34" s="49"/>
      <c r="AN34" s="50"/>
      <c r="AO34" s="34"/>
      <c r="AP34" s="34"/>
      <c r="AQ34" s="48"/>
      <c r="AR34" s="48"/>
      <c r="AS34" s="48"/>
      <c r="AT34" s="48"/>
      <c r="AU34" s="49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25"/>
      <c r="BR34" s="25"/>
      <c r="BS34" s="25"/>
      <c r="BT34" s="25"/>
      <c r="BU34" s="25"/>
      <c r="BV34" s="25"/>
      <c r="BW34" s="25"/>
      <c r="BX34" s="25"/>
    </row>
    <row r="35" spans="1:109" ht="74.25" customHeight="1" thickBot="1">
      <c r="A35" s="36" t="s">
        <v>1</v>
      </c>
      <c r="B35" s="462" t="s">
        <v>115</v>
      </c>
      <c r="C35" s="463"/>
      <c r="D35" s="463"/>
      <c r="E35" s="463"/>
      <c r="F35" s="464"/>
      <c r="G35" s="462" t="s">
        <v>139</v>
      </c>
      <c r="H35" s="463"/>
      <c r="I35" s="463"/>
      <c r="J35" s="463"/>
      <c r="K35" s="464"/>
      <c r="L35" s="462" t="s">
        <v>140</v>
      </c>
      <c r="M35" s="463"/>
      <c r="N35" s="463"/>
      <c r="O35" s="463"/>
      <c r="P35" s="464"/>
      <c r="Q35" s="462" t="s">
        <v>141</v>
      </c>
      <c r="R35" s="463"/>
      <c r="S35" s="463"/>
      <c r="T35" s="463"/>
      <c r="U35" s="464"/>
      <c r="V35" s="462" t="s">
        <v>114</v>
      </c>
      <c r="W35" s="463"/>
      <c r="X35" s="463"/>
      <c r="Y35" s="463"/>
      <c r="Z35" s="464"/>
      <c r="AA35" s="462" t="s">
        <v>143</v>
      </c>
      <c r="AB35" s="463"/>
      <c r="AC35" s="463"/>
      <c r="AD35" s="463"/>
      <c r="AE35" s="464"/>
      <c r="AF35" s="462" t="s">
        <v>113</v>
      </c>
      <c r="AG35" s="463"/>
      <c r="AH35" s="463"/>
      <c r="AI35" s="463"/>
      <c r="AJ35" s="464"/>
      <c r="AK35" s="462" t="s">
        <v>144</v>
      </c>
      <c r="AL35" s="463"/>
      <c r="AM35" s="463"/>
      <c r="AN35" s="463"/>
      <c r="AO35" s="464"/>
      <c r="AP35" s="462" t="s">
        <v>145</v>
      </c>
      <c r="AQ35" s="463"/>
      <c r="AR35" s="463"/>
      <c r="AS35" s="463"/>
      <c r="AT35" s="464"/>
      <c r="AU35" s="462" t="s">
        <v>112</v>
      </c>
      <c r="AV35" s="463"/>
      <c r="AW35" s="463"/>
      <c r="AX35" s="463"/>
      <c r="AY35" s="464"/>
      <c r="AZ35" s="462" t="s">
        <v>109</v>
      </c>
      <c r="BA35" s="463"/>
      <c r="BB35" s="463"/>
      <c r="BC35" s="463"/>
      <c r="BD35" s="464"/>
      <c r="BE35" s="462" t="s">
        <v>146</v>
      </c>
      <c r="BF35" s="463"/>
      <c r="BG35" s="463"/>
      <c r="BH35" s="464"/>
      <c r="BI35" s="462" t="s">
        <v>147</v>
      </c>
      <c r="BJ35" s="463"/>
      <c r="BK35" s="463"/>
      <c r="BL35" s="46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25"/>
      <c r="CC35" s="25"/>
      <c r="CD35" s="25"/>
      <c r="CE35" s="25"/>
      <c r="CF35" s="25"/>
      <c r="CG35" s="25"/>
      <c r="CH35" s="25"/>
      <c r="CI35" s="25"/>
    </row>
    <row r="36" spans="1:109" ht="74.25" customHeight="1">
      <c r="A36" s="37" t="s">
        <v>6</v>
      </c>
      <c r="B36" s="51" t="s">
        <v>56</v>
      </c>
      <c r="C36" s="39" t="s">
        <v>111</v>
      </c>
      <c r="D36" s="39" t="s">
        <v>222</v>
      </c>
      <c r="E36" s="39" t="s">
        <v>287</v>
      </c>
      <c r="F36" s="43" t="s">
        <v>11</v>
      </c>
      <c r="G36" s="51" t="s">
        <v>56</v>
      </c>
      <c r="H36" s="39" t="s">
        <v>111</v>
      </c>
      <c r="I36" s="39" t="s">
        <v>222</v>
      </c>
      <c r="J36" s="39" t="s">
        <v>287</v>
      </c>
      <c r="K36" s="43" t="s">
        <v>11</v>
      </c>
      <c r="L36" s="51" t="s">
        <v>56</v>
      </c>
      <c r="M36" s="39" t="s">
        <v>111</v>
      </c>
      <c r="N36" s="39" t="s">
        <v>222</v>
      </c>
      <c r="O36" s="39" t="s">
        <v>287</v>
      </c>
      <c r="P36" s="43" t="s">
        <v>11</v>
      </c>
      <c r="Q36" s="51" t="s">
        <v>56</v>
      </c>
      <c r="R36" s="39" t="s">
        <v>111</v>
      </c>
      <c r="S36" s="39" t="s">
        <v>222</v>
      </c>
      <c r="T36" s="39" t="s">
        <v>287</v>
      </c>
      <c r="U36" s="43" t="s">
        <v>11</v>
      </c>
      <c r="V36" s="51" t="s">
        <v>56</v>
      </c>
      <c r="W36" s="39" t="s">
        <v>111</v>
      </c>
      <c r="X36" s="39" t="s">
        <v>222</v>
      </c>
      <c r="Y36" s="39" t="s">
        <v>287</v>
      </c>
      <c r="Z36" s="43" t="s">
        <v>11</v>
      </c>
      <c r="AA36" s="51" t="s">
        <v>56</v>
      </c>
      <c r="AB36" s="39" t="s">
        <v>111</v>
      </c>
      <c r="AC36" s="39" t="s">
        <v>222</v>
      </c>
      <c r="AD36" s="39" t="s">
        <v>287</v>
      </c>
      <c r="AE36" s="43" t="s">
        <v>11</v>
      </c>
      <c r="AF36" s="51" t="s">
        <v>56</v>
      </c>
      <c r="AG36" s="39" t="s">
        <v>111</v>
      </c>
      <c r="AH36" s="39" t="s">
        <v>222</v>
      </c>
      <c r="AI36" s="39" t="s">
        <v>287</v>
      </c>
      <c r="AJ36" s="43" t="s">
        <v>11</v>
      </c>
      <c r="AK36" s="51" t="s">
        <v>56</v>
      </c>
      <c r="AL36" s="39" t="s">
        <v>111</v>
      </c>
      <c r="AM36" s="39" t="s">
        <v>222</v>
      </c>
      <c r="AN36" s="39" t="s">
        <v>287</v>
      </c>
      <c r="AO36" s="43" t="s">
        <v>11</v>
      </c>
      <c r="AP36" s="51" t="s">
        <v>56</v>
      </c>
      <c r="AQ36" s="39" t="s">
        <v>111</v>
      </c>
      <c r="AR36" s="39" t="s">
        <v>222</v>
      </c>
      <c r="AS36" s="39" t="s">
        <v>287</v>
      </c>
      <c r="AT36" s="43" t="s">
        <v>11</v>
      </c>
      <c r="AU36" s="51" t="s">
        <v>56</v>
      </c>
      <c r="AV36" s="39" t="s">
        <v>111</v>
      </c>
      <c r="AW36" s="39" t="s">
        <v>222</v>
      </c>
      <c r="AX36" s="39" t="s">
        <v>287</v>
      </c>
      <c r="AY36" s="43" t="s">
        <v>11</v>
      </c>
      <c r="AZ36" s="51" t="s">
        <v>56</v>
      </c>
      <c r="BA36" s="39" t="s">
        <v>111</v>
      </c>
      <c r="BB36" s="39" t="s">
        <v>222</v>
      </c>
      <c r="BC36" s="39" t="s">
        <v>287</v>
      </c>
      <c r="BD36" s="43" t="s">
        <v>11</v>
      </c>
      <c r="BE36" s="51" t="s">
        <v>110</v>
      </c>
      <c r="BF36" s="39" t="s">
        <v>223</v>
      </c>
      <c r="BG36" s="39" t="s">
        <v>287</v>
      </c>
      <c r="BH36" s="43" t="s">
        <v>11</v>
      </c>
      <c r="BI36" s="51" t="s">
        <v>110</v>
      </c>
      <c r="BJ36" s="39" t="s">
        <v>223</v>
      </c>
      <c r="BK36" s="39" t="s">
        <v>287</v>
      </c>
      <c r="BL36" s="43" t="s">
        <v>11</v>
      </c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25"/>
      <c r="CC36" s="25"/>
      <c r="CD36" s="25"/>
      <c r="CE36" s="25"/>
      <c r="CF36" s="25"/>
      <c r="CG36" s="25"/>
      <c r="CH36" s="25"/>
      <c r="CI36" s="25"/>
    </row>
    <row r="37" spans="1:109" ht="74.25" customHeight="1">
      <c r="A37" s="199" t="s">
        <v>12</v>
      </c>
      <c r="B37" s="89">
        <v>0</v>
      </c>
      <c r="C37" s="82">
        <f>'外国語実績201201-201712'!M1326</f>
        <v>12</v>
      </c>
      <c r="D37" s="104">
        <f>'外国語実績201201-201712'!M1338</f>
        <v>18</v>
      </c>
      <c r="E37" s="104">
        <f>'外国語実績201201-201712'!M1350</f>
        <v>0</v>
      </c>
      <c r="F37" s="88">
        <f>(E37-D37)/D37</f>
        <v>-1</v>
      </c>
      <c r="G37" s="89">
        <v>0</v>
      </c>
      <c r="H37" s="82">
        <f>'外国語実績201201-201712'!M1378</f>
        <v>5</v>
      </c>
      <c r="I37" s="104">
        <f>'外国語実績201201-201712'!M1390</f>
        <v>0</v>
      </c>
      <c r="J37" s="104">
        <f>'外国語実績201201-201712'!M1402</f>
        <v>0</v>
      </c>
      <c r="K37" s="88" t="e">
        <f>(J37-I37)/I37</f>
        <v>#DIV/0!</v>
      </c>
      <c r="L37" s="89">
        <v>0</v>
      </c>
      <c r="M37" s="82">
        <f>'外国語実績201201-201712'!M1430</f>
        <v>0</v>
      </c>
      <c r="N37" s="104">
        <f>'外国語実績201201-201712'!M1442</f>
        <v>0</v>
      </c>
      <c r="O37" s="104">
        <f>'外国語実績201201-201712'!M1454</f>
        <v>0</v>
      </c>
      <c r="P37" s="88" t="e">
        <f>(O37-N37)/N37</f>
        <v>#DIV/0!</v>
      </c>
      <c r="Q37" s="89">
        <v>0</v>
      </c>
      <c r="R37" s="82">
        <f>'外国語実績201201-201712'!M1482</f>
        <v>0</v>
      </c>
      <c r="S37" s="104">
        <f>'外国語実績201201-201712'!M1494</f>
        <v>0</v>
      </c>
      <c r="T37" s="104">
        <f>'外国語実績201201-201712'!M1506</f>
        <v>0</v>
      </c>
      <c r="U37" s="88" t="e">
        <f>(T37-S37)/S37</f>
        <v>#DIV/0!</v>
      </c>
      <c r="V37" s="89">
        <v>0</v>
      </c>
      <c r="W37" s="82">
        <f>'外国語実績201201-201712'!M1534</f>
        <v>2</v>
      </c>
      <c r="X37" s="104">
        <f>'外国語実績201201-201712'!M1546</f>
        <v>11</v>
      </c>
      <c r="Y37" s="104">
        <f>'外国語実績201201-201712'!M1558</f>
        <v>1</v>
      </c>
      <c r="Z37" s="88">
        <f>(Y37-X37)/X37</f>
        <v>-0.90909090909090906</v>
      </c>
      <c r="AA37" s="89">
        <v>0</v>
      </c>
      <c r="AB37" s="82">
        <f>'外国語実績201201-201712'!M1601</f>
        <v>5</v>
      </c>
      <c r="AC37" s="104">
        <f>'外国語実績201201-201712'!M1613</f>
        <v>10</v>
      </c>
      <c r="AD37" s="104">
        <f>'外国語実績201201-201712'!M1625</f>
        <v>0</v>
      </c>
      <c r="AE37" s="88">
        <f>(AD37-AC37)/AC37</f>
        <v>-1</v>
      </c>
      <c r="AF37" s="89">
        <v>0</v>
      </c>
      <c r="AG37" s="82">
        <f>'外国語実績201201-201712'!M1653</f>
        <v>0</v>
      </c>
      <c r="AH37" s="104">
        <f>'外国語実績201201-201712'!M1665</f>
        <v>3</v>
      </c>
      <c r="AI37" s="104">
        <f>'外国語実績201201-201712'!M1677</f>
        <v>0</v>
      </c>
      <c r="AJ37" s="88">
        <f>(AI37-AH37)/AH37</f>
        <v>-1</v>
      </c>
      <c r="AK37" s="89">
        <v>0</v>
      </c>
      <c r="AL37" s="82">
        <f>'外国語実績201201-201712'!M1705</f>
        <v>0</v>
      </c>
      <c r="AM37" s="104">
        <f>'外国語実績201201-201712'!M1717</f>
        <v>0</v>
      </c>
      <c r="AN37" s="104">
        <f>'外国語実績201201-201712'!M1729</f>
        <v>0</v>
      </c>
      <c r="AO37" s="88" t="e">
        <f>(AN37-AM37)/AM37</f>
        <v>#DIV/0!</v>
      </c>
      <c r="AP37" s="89">
        <v>0</v>
      </c>
      <c r="AQ37" s="82">
        <f>'外国語実績201201-201712'!M1757</f>
        <v>0</v>
      </c>
      <c r="AR37" s="104">
        <f>'外国語実績201201-201712'!M1769</f>
        <v>0</v>
      </c>
      <c r="AS37" s="104">
        <f>'外国語実績201201-201712'!M1781</f>
        <v>0</v>
      </c>
      <c r="AT37" s="88" t="e">
        <f>(AS37-AR37)/AR37</f>
        <v>#DIV/0!</v>
      </c>
      <c r="AU37" s="89">
        <v>0</v>
      </c>
      <c r="AV37" s="82">
        <f>'外国語実績201201-201712'!M1797</f>
        <v>1</v>
      </c>
      <c r="AW37" s="104">
        <f>'外国語実績201201-201712'!M1809</f>
        <v>6</v>
      </c>
      <c r="AX37" s="104">
        <f>'外国語実績201201-201712'!M1821</f>
        <v>0</v>
      </c>
      <c r="AY37" s="88">
        <f>(AX37-AW37)/AW37</f>
        <v>-1</v>
      </c>
      <c r="AZ37" s="89">
        <v>0</v>
      </c>
      <c r="BA37" s="82">
        <f>'外国語実績201201-201712'!M1837</f>
        <v>26</v>
      </c>
      <c r="BB37" s="104">
        <f>'外国語実績201201-201712'!M1849</f>
        <v>101</v>
      </c>
      <c r="BC37" s="104">
        <f>'外国語実績201201-201712'!M1861</f>
        <v>0</v>
      </c>
      <c r="BD37" s="88">
        <f>(BC37-BB37)/BB37</f>
        <v>-1</v>
      </c>
      <c r="BE37" s="82">
        <f>'外国語実績201201-201712'!M1877</f>
        <v>1</v>
      </c>
      <c r="BF37" s="104">
        <f>'外国語実績201201-201712'!M1889</f>
        <v>18</v>
      </c>
      <c r="BG37" s="104">
        <f>'外国語実績201201-201712'!M1901</f>
        <v>2</v>
      </c>
      <c r="BH37" s="88">
        <f>(BG37-BF37)/BF37</f>
        <v>-0.88888888888888884</v>
      </c>
      <c r="BI37" s="82">
        <f>'外国語実績201201-201712'!M1917</f>
        <v>3</v>
      </c>
      <c r="BJ37" s="104">
        <f>'外国語実績201201-201712'!M1929</f>
        <v>2</v>
      </c>
      <c r="BK37" s="104">
        <f>'外国語実績201201-201712'!M1941</f>
        <v>0</v>
      </c>
      <c r="BL37" s="88">
        <f>(BK37-BJ37)/BJ37</f>
        <v>-1</v>
      </c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25"/>
      <c r="CC37" s="25"/>
      <c r="CD37" s="25"/>
      <c r="CE37" s="25"/>
      <c r="CF37" s="25"/>
      <c r="CG37" s="25"/>
      <c r="CH37" s="25"/>
      <c r="CI37" s="25"/>
    </row>
    <row r="38" spans="1:109" ht="74.25" customHeight="1">
      <c r="A38" s="199" t="s">
        <v>13</v>
      </c>
      <c r="B38" s="89">
        <v>0</v>
      </c>
      <c r="C38" s="82">
        <f>'外国語実績201201-201712'!M1327</f>
        <v>12</v>
      </c>
      <c r="D38" s="104">
        <f>'外国語実績201201-201712'!M1339</f>
        <v>17</v>
      </c>
      <c r="E38" s="104">
        <f>'外国語実績201201-201712'!M1351</f>
        <v>0</v>
      </c>
      <c r="F38" s="88">
        <f t="shared" ref="F38:F49" si="37">(E38-D38)/D38</f>
        <v>-1</v>
      </c>
      <c r="G38" s="89">
        <v>0</v>
      </c>
      <c r="H38" s="82">
        <f>'外国語実績201201-201712'!M1379</f>
        <v>0</v>
      </c>
      <c r="I38" s="104">
        <f>'外国語実績201201-201712'!M1391</f>
        <v>0</v>
      </c>
      <c r="J38" s="104">
        <f>'外国語実績201201-201712'!M1403</f>
        <v>0</v>
      </c>
      <c r="K38" s="88" t="e">
        <f t="shared" ref="K38:K49" si="38">(J38-I38)/I38</f>
        <v>#DIV/0!</v>
      </c>
      <c r="L38" s="89">
        <v>0</v>
      </c>
      <c r="M38" s="82">
        <f>'外国語実績201201-201712'!M1431</f>
        <v>0</v>
      </c>
      <c r="N38" s="104">
        <f>'外国語実績201201-201712'!M1443</f>
        <v>0</v>
      </c>
      <c r="O38" s="104">
        <f>'外国語実績201201-201712'!M1455</f>
        <v>0</v>
      </c>
      <c r="P38" s="88" t="e">
        <f t="shared" ref="P38:P49" si="39">(O38-N38)/N38</f>
        <v>#DIV/0!</v>
      </c>
      <c r="Q38" s="89">
        <v>0</v>
      </c>
      <c r="R38" s="82">
        <f>'外国語実績201201-201712'!M1483</f>
        <v>0</v>
      </c>
      <c r="S38" s="104">
        <f>'外国語実績201201-201712'!M1495</f>
        <v>0</v>
      </c>
      <c r="T38" s="104">
        <f>'外国語実績201201-201712'!M1507</f>
        <v>0</v>
      </c>
      <c r="U38" s="88" t="e">
        <f t="shared" ref="U38:U49" si="40">(T38-S38)/S38</f>
        <v>#DIV/0!</v>
      </c>
      <c r="V38" s="89">
        <v>0</v>
      </c>
      <c r="W38" s="82">
        <f>'外国語実績201201-201712'!M1535</f>
        <v>3</v>
      </c>
      <c r="X38" s="104">
        <f>'外国語実績201201-201712'!M1547</f>
        <v>4</v>
      </c>
      <c r="Y38" s="104">
        <f>'外国語実績201201-201712'!M1559</f>
        <v>0</v>
      </c>
      <c r="Z38" s="88">
        <f t="shared" ref="Z38:Z49" si="41">(Y38-X38)/X38</f>
        <v>-1</v>
      </c>
      <c r="AA38" s="89">
        <v>0</v>
      </c>
      <c r="AB38" s="82">
        <f>'外国語実績201201-201712'!M1602</f>
        <v>11</v>
      </c>
      <c r="AC38" s="104">
        <f>'外国語実績201201-201712'!M1614</f>
        <v>21</v>
      </c>
      <c r="AD38" s="104">
        <f>'外国語実績201201-201712'!M1626</f>
        <v>0</v>
      </c>
      <c r="AE38" s="88">
        <f t="shared" ref="AE38:AE49" si="42">(AD38-AC38)/AC38</f>
        <v>-1</v>
      </c>
      <c r="AF38" s="89">
        <v>0</v>
      </c>
      <c r="AG38" s="82">
        <f>'外国語実績201201-201712'!M1654</f>
        <v>1</v>
      </c>
      <c r="AH38" s="104">
        <f>'外国語実績201201-201712'!M1666</f>
        <v>0</v>
      </c>
      <c r="AI38" s="104">
        <f>'外国語実績201201-201712'!M1678</f>
        <v>0</v>
      </c>
      <c r="AJ38" s="88" t="e">
        <f t="shared" ref="AJ38:AJ49" si="43">(AI38-AH38)/AH38</f>
        <v>#DIV/0!</v>
      </c>
      <c r="AK38" s="89">
        <v>0</v>
      </c>
      <c r="AL38" s="82">
        <f>'外国語実績201201-201712'!M1706</f>
        <v>0</v>
      </c>
      <c r="AM38" s="104">
        <f>'外国語実績201201-201712'!M1718</f>
        <v>0</v>
      </c>
      <c r="AN38" s="104">
        <f>'外国語実績201201-201712'!M1730</f>
        <v>0</v>
      </c>
      <c r="AO38" s="88" t="e">
        <f t="shared" ref="AO38:AO49" si="44">(AN38-AM38)/AM38</f>
        <v>#DIV/0!</v>
      </c>
      <c r="AP38" s="89">
        <v>0</v>
      </c>
      <c r="AQ38" s="82">
        <f>'外国語実績201201-201712'!M1758</f>
        <v>0</v>
      </c>
      <c r="AR38" s="104">
        <f>'外国語実績201201-201712'!M1770</f>
        <v>0</v>
      </c>
      <c r="AS38" s="104">
        <f>'外国語実績201201-201712'!M1782</f>
        <v>0</v>
      </c>
      <c r="AT38" s="88" t="e">
        <f t="shared" ref="AT38:AT49" si="45">(AS38-AR38)/AR38</f>
        <v>#DIV/0!</v>
      </c>
      <c r="AU38" s="89">
        <v>0</v>
      </c>
      <c r="AV38" s="82">
        <f>'外国語実績201201-201712'!M1798</f>
        <v>4</v>
      </c>
      <c r="AW38" s="104">
        <f>'外国語実績201201-201712'!M1810</f>
        <v>9</v>
      </c>
      <c r="AX38" s="104">
        <f>'外国語実績201201-201712'!M1822</f>
        <v>0</v>
      </c>
      <c r="AY38" s="88">
        <f t="shared" ref="AY38:AY49" si="46">(AX38-AW38)/AW38</f>
        <v>-1</v>
      </c>
      <c r="AZ38" s="89">
        <v>0</v>
      </c>
      <c r="BA38" s="82">
        <f>'外国語実績201201-201712'!M1838</f>
        <v>24</v>
      </c>
      <c r="BB38" s="104">
        <f>'外国語実績201201-201712'!M1850</f>
        <v>55</v>
      </c>
      <c r="BC38" s="104">
        <f>'外国語実績201201-201712'!M1862</f>
        <v>0</v>
      </c>
      <c r="BD38" s="88">
        <f t="shared" ref="BD38:BD49" si="47">(BC38-BB38)/BB38</f>
        <v>-1</v>
      </c>
      <c r="BE38" s="82">
        <f>'外国語実績201201-201712'!M1878</f>
        <v>9</v>
      </c>
      <c r="BF38" s="104">
        <f>'外国語実績201201-201712'!M1890</f>
        <v>21</v>
      </c>
      <c r="BG38" s="104">
        <f>'外国語実績201201-201712'!M1902</f>
        <v>0</v>
      </c>
      <c r="BH38" s="88">
        <f t="shared" ref="BH38:BH49" si="48">(BG38-BF38)/BF38</f>
        <v>-1</v>
      </c>
      <c r="BI38" s="82">
        <f>'外国語実績201201-201712'!M1918</f>
        <v>0</v>
      </c>
      <c r="BJ38" s="104">
        <f>'外国語実績201201-201712'!M1930</f>
        <v>0</v>
      </c>
      <c r="BK38" s="104">
        <f>'外国語実績201201-201712'!M1942</f>
        <v>0</v>
      </c>
      <c r="BL38" s="88" t="e">
        <f t="shared" ref="BL38:BL48" si="49">(BK38-BJ38)/BJ38</f>
        <v>#DIV/0!</v>
      </c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25"/>
      <c r="CC38" s="25"/>
      <c r="CD38" s="25"/>
      <c r="CE38" s="25"/>
      <c r="CF38" s="25"/>
      <c r="CG38" s="25"/>
      <c r="CH38" s="25"/>
      <c r="CI38" s="25"/>
    </row>
    <row r="39" spans="1:109" ht="74.25" customHeight="1">
      <c r="A39" s="217" t="s">
        <v>14</v>
      </c>
      <c r="B39" s="89">
        <v>0</v>
      </c>
      <c r="C39" s="82">
        <f>'外国語実績201201-201712'!M1328</f>
        <v>10</v>
      </c>
      <c r="D39" s="104">
        <f>'外国語実績201201-201712'!M1340</f>
        <v>13</v>
      </c>
      <c r="E39" s="104">
        <f>'外国語実績201201-201712'!M1352</f>
        <v>6</v>
      </c>
      <c r="F39" s="88">
        <f t="shared" si="37"/>
        <v>-0.53846153846153844</v>
      </c>
      <c r="G39" s="89">
        <v>0</v>
      </c>
      <c r="H39" s="82">
        <f>'外国語実績201201-201712'!M1380</f>
        <v>3</v>
      </c>
      <c r="I39" s="104">
        <f>'外国語実績201201-201712'!M1392</f>
        <v>2</v>
      </c>
      <c r="J39" s="104">
        <f>'外国語実績201201-201712'!M1404</f>
        <v>0</v>
      </c>
      <c r="K39" s="88">
        <f t="shared" si="38"/>
        <v>-1</v>
      </c>
      <c r="L39" s="89">
        <v>0</v>
      </c>
      <c r="M39" s="82">
        <f>'外国語実績201201-201712'!M1432</f>
        <v>5</v>
      </c>
      <c r="N39" s="104">
        <f>'外国語実績201201-201712'!M1444</f>
        <v>7</v>
      </c>
      <c r="O39" s="104">
        <f>'外国語実績201201-201712'!M1456</f>
        <v>0</v>
      </c>
      <c r="P39" s="88">
        <f t="shared" si="39"/>
        <v>-1</v>
      </c>
      <c r="Q39" s="89">
        <v>0</v>
      </c>
      <c r="R39" s="82">
        <f>'外国語実績201201-201712'!M1484</f>
        <v>0</v>
      </c>
      <c r="S39" s="104">
        <f>'外国語実績201201-201712'!M1496</f>
        <v>0</v>
      </c>
      <c r="T39" s="104">
        <f>'外国語実績201201-201712'!M1508</f>
        <v>0</v>
      </c>
      <c r="U39" s="88" t="e">
        <f t="shared" si="40"/>
        <v>#DIV/0!</v>
      </c>
      <c r="V39" s="89">
        <v>0</v>
      </c>
      <c r="W39" s="82">
        <f>'外国語実績201201-201712'!M1536</f>
        <v>2</v>
      </c>
      <c r="X39" s="104">
        <f>'外国語実績201201-201712'!M1548</f>
        <v>5</v>
      </c>
      <c r="Y39" s="104">
        <f>'外国語実績201201-201712'!M1560</f>
        <v>0</v>
      </c>
      <c r="Z39" s="88">
        <f t="shared" si="41"/>
        <v>-1</v>
      </c>
      <c r="AA39" s="89">
        <v>0</v>
      </c>
      <c r="AB39" s="82">
        <f>'外国語実績201201-201712'!M1603</f>
        <v>4</v>
      </c>
      <c r="AC39" s="104">
        <f>'外国語実績201201-201712'!M1615</f>
        <v>15</v>
      </c>
      <c r="AD39" s="104">
        <f>'外国語実績201201-201712'!M1627</f>
        <v>0</v>
      </c>
      <c r="AE39" s="88">
        <f t="shared" si="42"/>
        <v>-1</v>
      </c>
      <c r="AF39" s="89">
        <v>0</v>
      </c>
      <c r="AG39" s="82">
        <f>'外国語実績201201-201712'!M1655</f>
        <v>0</v>
      </c>
      <c r="AH39" s="104">
        <f>'外国語実績201201-201712'!M1667</f>
        <v>1</v>
      </c>
      <c r="AI39" s="104">
        <f>'外国語実績201201-201712'!M1679</f>
        <v>0</v>
      </c>
      <c r="AJ39" s="88">
        <f t="shared" si="43"/>
        <v>-1</v>
      </c>
      <c r="AK39" s="89">
        <v>0</v>
      </c>
      <c r="AL39" s="82">
        <f>'外国語実績201201-201712'!M1707</f>
        <v>0</v>
      </c>
      <c r="AM39" s="104">
        <f>'外国語実績201201-201712'!M1719</f>
        <v>0</v>
      </c>
      <c r="AN39" s="104">
        <f>'外国語実績201201-201712'!M1731</f>
        <v>0</v>
      </c>
      <c r="AO39" s="88" t="e">
        <f t="shared" si="44"/>
        <v>#DIV/0!</v>
      </c>
      <c r="AP39" s="89">
        <v>0</v>
      </c>
      <c r="AQ39" s="82">
        <f>'外国語実績201201-201712'!M1759</f>
        <v>0</v>
      </c>
      <c r="AR39" s="104">
        <f>'外国語実績201201-201712'!M1771</f>
        <v>0</v>
      </c>
      <c r="AS39" s="104">
        <f>'外国語実績201201-201712'!M1783</f>
        <v>0</v>
      </c>
      <c r="AT39" s="88" t="e">
        <f t="shared" si="45"/>
        <v>#DIV/0!</v>
      </c>
      <c r="AU39" s="89">
        <v>0</v>
      </c>
      <c r="AV39" s="82">
        <f>'外国語実績201201-201712'!M1799</f>
        <v>5</v>
      </c>
      <c r="AW39" s="104">
        <f>'外国語実績201201-201712'!M1811</f>
        <v>13</v>
      </c>
      <c r="AX39" s="104">
        <f>'外国語実績201201-201712'!M1823</f>
        <v>0</v>
      </c>
      <c r="AY39" s="88">
        <f t="shared" si="46"/>
        <v>-1</v>
      </c>
      <c r="AZ39" s="89">
        <v>0</v>
      </c>
      <c r="BA39" s="82">
        <f>'外国語実績201201-201712'!M1839</f>
        <v>22</v>
      </c>
      <c r="BB39" s="104">
        <f>'外国語実績201201-201712'!M1851</f>
        <v>34</v>
      </c>
      <c r="BC39" s="104">
        <f>'外国語実績201201-201712'!M1863</f>
        <v>0</v>
      </c>
      <c r="BD39" s="88">
        <f t="shared" si="47"/>
        <v>-1</v>
      </c>
      <c r="BE39" s="82">
        <f>'外国語実績201201-201712'!M1879</f>
        <v>17</v>
      </c>
      <c r="BF39" s="104">
        <f>'外国語実績201201-201712'!M1891</f>
        <v>10</v>
      </c>
      <c r="BG39" s="104">
        <f>'外国語実績201201-201712'!M1903</f>
        <v>0</v>
      </c>
      <c r="BH39" s="88">
        <f t="shared" si="48"/>
        <v>-1</v>
      </c>
      <c r="BI39" s="82">
        <f>'外国語実績201201-201712'!M1919</f>
        <v>3</v>
      </c>
      <c r="BJ39" s="104">
        <f>'外国語実績201201-201712'!M1931</f>
        <v>0</v>
      </c>
      <c r="BK39" s="104">
        <f>'外国語実績201201-201712'!M1943</f>
        <v>0</v>
      </c>
      <c r="BL39" s="88" t="e">
        <f t="shared" si="49"/>
        <v>#DIV/0!</v>
      </c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25"/>
      <c r="CC39" s="25"/>
      <c r="CD39" s="25"/>
      <c r="CE39" s="25"/>
      <c r="CF39" s="25"/>
      <c r="CG39" s="25"/>
      <c r="CH39" s="25"/>
      <c r="CI39" s="25"/>
    </row>
    <row r="40" spans="1:109" ht="74.25" customHeight="1">
      <c r="A40" s="225" t="s">
        <v>15</v>
      </c>
      <c r="B40" s="89">
        <v>1</v>
      </c>
      <c r="C40" s="82">
        <f>'外国語実績201201-201712'!M1329</f>
        <v>17</v>
      </c>
      <c r="D40" s="104">
        <f>'外国語実績201201-201712'!M1341</f>
        <v>14</v>
      </c>
      <c r="E40" s="104">
        <f>'外国語実績201201-201712'!M1353</f>
        <v>0</v>
      </c>
      <c r="F40" s="88">
        <f t="shared" si="37"/>
        <v>-1</v>
      </c>
      <c r="G40" s="89">
        <v>2</v>
      </c>
      <c r="H40" s="82">
        <f>'外国語実績201201-201712'!M1381</f>
        <v>4</v>
      </c>
      <c r="I40" s="104">
        <f>'外国語実績201201-201712'!M1393</f>
        <v>4</v>
      </c>
      <c r="J40" s="104">
        <f>'外国語実績201201-201712'!M1405</f>
        <v>0</v>
      </c>
      <c r="K40" s="88">
        <f t="shared" si="38"/>
        <v>-1</v>
      </c>
      <c r="L40" s="89">
        <v>0</v>
      </c>
      <c r="M40" s="82">
        <f>'外国語実績201201-201712'!M1433</f>
        <v>31</v>
      </c>
      <c r="N40" s="104">
        <f>'外国語実績201201-201712'!M1445</f>
        <v>7</v>
      </c>
      <c r="O40" s="104">
        <f>'外国語実績201201-201712'!M1457</f>
        <v>0</v>
      </c>
      <c r="P40" s="88">
        <f t="shared" si="39"/>
        <v>-1</v>
      </c>
      <c r="Q40" s="89">
        <v>0</v>
      </c>
      <c r="R40" s="82">
        <f>'外国語実績201201-201712'!M1485</f>
        <v>0</v>
      </c>
      <c r="S40" s="104">
        <f>'外国語実績201201-201712'!M1497</f>
        <v>0</v>
      </c>
      <c r="T40" s="104">
        <f>'外国語実績201201-201712'!M1509</f>
        <v>0</v>
      </c>
      <c r="U40" s="88" t="e">
        <f t="shared" si="40"/>
        <v>#DIV/0!</v>
      </c>
      <c r="V40" s="89">
        <v>0</v>
      </c>
      <c r="W40" s="82">
        <f>'外国語実績201201-201712'!M1537</f>
        <v>9</v>
      </c>
      <c r="X40" s="104">
        <f>'外国語実績201201-201712'!M1549</f>
        <v>5</v>
      </c>
      <c r="Y40" s="104">
        <f>'外国語実績201201-201712'!M1561</f>
        <v>0</v>
      </c>
      <c r="Z40" s="88">
        <f t="shared" si="41"/>
        <v>-1</v>
      </c>
      <c r="AA40" s="89">
        <v>0</v>
      </c>
      <c r="AB40" s="82">
        <f>'外国語実績201201-201712'!M1604</f>
        <v>10</v>
      </c>
      <c r="AC40" s="104">
        <f>'外国語実績201201-201712'!M1616</f>
        <v>2</v>
      </c>
      <c r="AD40" s="104">
        <f>'外国語実績201201-201712'!M1628</f>
        <v>0</v>
      </c>
      <c r="AE40" s="88">
        <f t="shared" si="42"/>
        <v>-1</v>
      </c>
      <c r="AF40" s="89">
        <v>0</v>
      </c>
      <c r="AG40" s="82">
        <f>'外国語実績201201-201712'!M1656</f>
        <v>2</v>
      </c>
      <c r="AH40" s="104">
        <f>'外国語実績201201-201712'!M1668</f>
        <v>2</v>
      </c>
      <c r="AI40" s="104">
        <f>'外国語実績201201-201712'!M1680</f>
        <v>0</v>
      </c>
      <c r="AJ40" s="88">
        <f t="shared" si="43"/>
        <v>-1</v>
      </c>
      <c r="AK40" s="89">
        <v>0</v>
      </c>
      <c r="AL40" s="82">
        <f>'外国語実績201201-201712'!M1708</f>
        <v>0</v>
      </c>
      <c r="AM40" s="104">
        <f>'外国語実績201201-201712'!M1720</f>
        <v>5</v>
      </c>
      <c r="AN40" s="104">
        <f>'外国語実績201201-201712'!M1732</f>
        <v>0</v>
      </c>
      <c r="AO40" s="88">
        <f t="shared" si="44"/>
        <v>-1</v>
      </c>
      <c r="AP40" s="89">
        <v>0</v>
      </c>
      <c r="AQ40" s="82">
        <f>'外国語実績201201-201712'!M1760</f>
        <v>0</v>
      </c>
      <c r="AR40" s="104">
        <f>'外国語実績201201-201712'!M1772</f>
        <v>0</v>
      </c>
      <c r="AS40" s="104">
        <f>'外国語実績201201-201712'!M1784</f>
        <v>0</v>
      </c>
      <c r="AT40" s="88" t="e">
        <f t="shared" si="45"/>
        <v>#DIV/0!</v>
      </c>
      <c r="AU40" s="89">
        <v>0</v>
      </c>
      <c r="AV40" s="82">
        <f>'外国語実績201201-201712'!M1800</f>
        <v>5</v>
      </c>
      <c r="AW40" s="104">
        <f>'外国語実績201201-201712'!M1812</f>
        <v>6</v>
      </c>
      <c r="AX40" s="104">
        <f>'外国語実績201201-201712'!M1824</f>
        <v>0</v>
      </c>
      <c r="AY40" s="88">
        <f t="shared" si="46"/>
        <v>-1</v>
      </c>
      <c r="AZ40" s="89">
        <v>0</v>
      </c>
      <c r="BA40" s="82">
        <f>'外国語実績201201-201712'!M1840</f>
        <v>31</v>
      </c>
      <c r="BB40" s="104">
        <f>'外国語実績201201-201712'!M1852</f>
        <v>57</v>
      </c>
      <c r="BC40" s="104">
        <f>'外国語実績201201-201712'!M1864</f>
        <v>0</v>
      </c>
      <c r="BD40" s="88">
        <f t="shared" si="47"/>
        <v>-1</v>
      </c>
      <c r="BE40" s="82">
        <f>'外国語実績201201-201712'!M1880</f>
        <v>5</v>
      </c>
      <c r="BF40" s="104">
        <f>'外国語実績201201-201712'!M1892</f>
        <v>20</v>
      </c>
      <c r="BG40" s="104">
        <f>'外国語実績201201-201712'!M1904</f>
        <v>0</v>
      </c>
      <c r="BH40" s="88">
        <f t="shared" si="48"/>
        <v>-1</v>
      </c>
      <c r="BI40" s="82">
        <f>'外国語実績201201-201712'!M1920</f>
        <v>0</v>
      </c>
      <c r="BJ40" s="104">
        <f>'外国語実績201201-201712'!M1932</f>
        <v>0</v>
      </c>
      <c r="BK40" s="104">
        <f>'外国語実績201201-201712'!M1944</f>
        <v>0</v>
      </c>
      <c r="BL40" s="88" t="e">
        <f t="shared" si="49"/>
        <v>#DIV/0!</v>
      </c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25"/>
      <c r="CC40" s="25"/>
      <c r="CD40" s="25"/>
      <c r="CE40" s="25"/>
      <c r="CF40" s="25"/>
      <c r="CG40" s="25"/>
      <c r="CH40" s="25"/>
      <c r="CI40" s="25"/>
    </row>
    <row r="41" spans="1:109" ht="74.25" customHeight="1">
      <c r="A41" s="199" t="s">
        <v>16</v>
      </c>
      <c r="B41" s="89">
        <v>1</v>
      </c>
      <c r="C41" s="82">
        <f>'外国語実績201201-201712'!M1330</f>
        <v>11</v>
      </c>
      <c r="D41" s="104">
        <f>'外国語実績201201-201712'!M1342</f>
        <v>16</v>
      </c>
      <c r="E41" s="104">
        <f>'外国語実績201201-201712'!M1354</f>
        <v>0</v>
      </c>
      <c r="F41" s="88">
        <f t="shared" si="37"/>
        <v>-1</v>
      </c>
      <c r="G41" s="89">
        <v>3</v>
      </c>
      <c r="H41" s="82">
        <f>'外国語実績201201-201712'!M1382</f>
        <v>3</v>
      </c>
      <c r="I41" s="104">
        <f>'外国語実績201201-201712'!M1394</f>
        <v>2</v>
      </c>
      <c r="J41" s="104">
        <f>'外国語実績201201-201712'!M1406</f>
        <v>0</v>
      </c>
      <c r="K41" s="88">
        <f t="shared" si="38"/>
        <v>-1</v>
      </c>
      <c r="L41" s="89">
        <v>7</v>
      </c>
      <c r="M41" s="82">
        <f>'外国語実績201201-201712'!M1434</f>
        <v>12</v>
      </c>
      <c r="N41" s="104">
        <f>'外国語実績201201-201712'!M1446</f>
        <v>12</v>
      </c>
      <c r="O41" s="104">
        <f>'外国語実績201201-201712'!M1458</f>
        <v>0</v>
      </c>
      <c r="P41" s="88">
        <f t="shared" si="39"/>
        <v>-1</v>
      </c>
      <c r="Q41" s="89">
        <v>1</v>
      </c>
      <c r="R41" s="82">
        <f>'外国語実績201201-201712'!M1486</f>
        <v>0</v>
      </c>
      <c r="S41" s="104">
        <f>'外国語実績201201-201712'!M1498</f>
        <v>0</v>
      </c>
      <c r="T41" s="104">
        <f>'外国語実績201201-201712'!M1510</f>
        <v>0</v>
      </c>
      <c r="U41" s="88" t="e">
        <f t="shared" si="40"/>
        <v>#DIV/0!</v>
      </c>
      <c r="V41" s="89">
        <v>1</v>
      </c>
      <c r="W41" s="82">
        <f>'外国語実績201201-201712'!M1538</f>
        <v>6</v>
      </c>
      <c r="X41" s="104">
        <f>'外国語実績201201-201712'!M1550</f>
        <v>11</v>
      </c>
      <c r="Y41" s="104">
        <f>'外国語実績201201-201712'!M1562</f>
        <v>0</v>
      </c>
      <c r="Z41" s="88">
        <f t="shared" si="41"/>
        <v>-1</v>
      </c>
      <c r="AA41" s="89">
        <v>0</v>
      </c>
      <c r="AB41" s="82">
        <f>'外国語実績201201-201712'!M1605</f>
        <v>18</v>
      </c>
      <c r="AC41" s="104">
        <f>'外国語実績201201-201712'!M1617</f>
        <v>8</v>
      </c>
      <c r="AD41" s="104">
        <f>'外国語実績201201-201712'!M1629</f>
        <v>0</v>
      </c>
      <c r="AE41" s="88">
        <f t="shared" si="42"/>
        <v>-1</v>
      </c>
      <c r="AF41" s="89">
        <v>0</v>
      </c>
      <c r="AG41" s="82">
        <f>'外国語実績201201-201712'!M1657</f>
        <v>3</v>
      </c>
      <c r="AH41" s="104">
        <f>'外国語実績201201-201712'!M1669</f>
        <v>1</v>
      </c>
      <c r="AI41" s="104">
        <f>'外国語実績201201-201712'!M1681</f>
        <v>0</v>
      </c>
      <c r="AJ41" s="88">
        <f t="shared" si="43"/>
        <v>-1</v>
      </c>
      <c r="AK41" s="89">
        <v>0</v>
      </c>
      <c r="AL41" s="82">
        <f>'外国語実績201201-201712'!M1709</f>
        <v>0</v>
      </c>
      <c r="AM41" s="104">
        <f>'外国語実績201201-201712'!M1721</f>
        <v>0</v>
      </c>
      <c r="AN41" s="104">
        <f>'外国語実績201201-201712'!M1733</f>
        <v>0</v>
      </c>
      <c r="AO41" s="88" t="e">
        <f t="shared" si="44"/>
        <v>#DIV/0!</v>
      </c>
      <c r="AP41" s="89">
        <v>0</v>
      </c>
      <c r="AQ41" s="82">
        <f>'外国語実績201201-201712'!M1761</f>
        <v>0</v>
      </c>
      <c r="AR41" s="104">
        <f>'外国語実績201201-201712'!M1773</f>
        <v>0</v>
      </c>
      <c r="AS41" s="104">
        <f>'外国語実績201201-201712'!M1785</f>
        <v>0</v>
      </c>
      <c r="AT41" s="88" t="e">
        <f t="shared" si="45"/>
        <v>#DIV/0!</v>
      </c>
      <c r="AU41" s="89">
        <v>0</v>
      </c>
      <c r="AV41" s="82">
        <f>'外国語実績201201-201712'!M1801</f>
        <v>12</v>
      </c>
      <c r="AW41" s="104">
        <f>'外国語実績201201-201712'!M1813</f>
        <v>5</v>
      </c>
      <c r="AX41" s="104">
        <f>'外国語実績201201-201712'!M1825</f>
        <v>0</v>
      </c>
      <c r="AY41" s="88">
        <f t="shared" si="46"/>
        <v>-1</v>
      </c>
      <c r="AZ41" s="89">
        <v>0</v>
      </c>
      <c r="BA41" s="82">
        <f>'外国語実績201201-201712'!M1841</f>
        <v>40</v>
      </c>
      <c r="BB41" s="104">
        <f>'外国語実績201201-201712'!M1853</f>
        <v>62</v>
      </c>
      <c r="BC41" s="104">
        <f>'外国語実績201201-201712'!M1865</f>
        <v>0</v>
      </c>
      <c r="BD41" s="88">
        <f t="shared" si="47"/>
        <v>-1</v>
      </c>
      <c r="BE41" s="82">
        <f>'外国語実績201201-201712'!M1881</f>
        <v>10</v>
      </c>
      <c r="BF41" s="104">
        <f>'外国語実績201201-201712'!M1893</f>
        <v>30</v>
      </c>
      <c r="BG41" s="104">
        <f>'外国語実績201201-201712'!M1905</f>
        <v>0</v>
      </c>
      <c r="BH41" s="88">
        <f t="shared" si="48"/>
        <v>-1</v>
      </c>
      <c r="BI41" s="82">
        <f>'外国語実績201201-201712'!M1921</f>
        <v>0</v>
      </c>
      <c r="BJ41" s="104">
        <f>'外国語実績201201-201712'!M1933</f>
        <v>0</v>
      </c>
      <c r="BK41" s="104">
        <f>'外国語実績201201-201712'!M1945</f>
        <v>0</v>
      </c>
      <c r="BL41" s="88" t="e">
        <f t="shared" si="49"/>
        <v>#DIV/0!</v>
      </c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25"/>
      <c r="CC41" s="25"/>
      <c r="CD41" s="25"/>
      <c r="CE41" s="25"/>
      <c r="CF41" s="25"/>
      <c r="CG41" s="25"/>
      <c r="CH41" s="25"/>
      <c r="CI41" s="25"/>
    </row>
    <row r="42" spans="1:109" ht="74.25" customHeight="1">
      <c r="A42" s="199" t="s">
        <v>17</v>
      </c>
      <c r="B42" s="89">
        <v>1</v>
      </c>
      <c r="C42" s="82">
        <f>'外国語実績201201-201712'!M1331</f>
        <v>9</v>
      </c>
      <c r="D42" s="104">
        <f>'外国語実績201201-201712'!M1343</f>
        <v>19</v>
      </c>
      <c r="E42" s="104">
        <f>'外国語実績201201-201712'!M1355</f>
        <v>0</v>
      </c>
      <c r="F42" s="88">
        <f t="shared" si="37"/>
        <v>-1</v>
      </c>
      <c r="G42" s="89">
        <v>1</v>
      </c>
      <c r="H42" s="82">
        <f>'外国語実績201201-201712'!M1383</f>
        <v>3</v>
      </c>
      <c r="I42" s="104">
        <f>'外国語実績201201-201712'!M1395</f>
        <v>3</v>
      </c>
      <c r="J42" s="104">
        <f>'外国語実績201201-201712'!M1407</f>
        <v>0</v>
      </c>
      <c r="K42" s="88">
        <f t="shared" si="38"/>
        <v>-1</v>
      </c>
      <c r="L42" s="89">
        <v>5</v>
      </c>
      <c r="M42" s="82">
        <f>'外国語実績201201-201712'!M1435</f>
        <v>7</v>
      </c>
      <c r="N42" s="104">
        <f>'外国語実績201201-201712'!M1447</f>
        <v>11</v>
      </c>
      <c r="O42" s="104">
        <f>'外国語実績201201-201712'!M1459</f>
        <v>0</v>
      </c>
      <c r="P42" s="88">
        <f t="shared" si="39"/>
        <v>-1</v>
      </c>
      <c r="Q42" s="89">
        <v>0</v>
      </c>
      <c r="R42" s="82">
        <f>'外国語実績201201-201712'!M1487</f>
        <v>0</v>
      </c>
      <c r="S42" s="104">
        <f>'外国語実績201201-201712'!M1499</f>
        <v>0</v>
      </c>
      <c r="T42" s="104">
        <f>'外国語実績201201-201712'!M1511</f>
        <v>0</v>
      </c>
      <c r="U42" s="88" t="e">
        <f t="shared" si="40"/>
        <v>#DIV/0!</v>
      </c>
      <c r="V42" s="89">
        <v>0</v>
      </c>
      <c r="W42" s="82">
        <f>'外国語実績201201-201712'!M1539</f>
        <v>14</v>
      </c>
      <c r="X42" s="104">
        <f>'外国語実績201201-201712'!M1551</f>
        <v>9</v>
      </c>
      <c r="Y42" s="104">
        <f>'外国語実績201201-201712'!M1563</f>
        <v>0</v>
      </c>
      <c r="Z42" s="88">
        <f t="shared" si="41"/>
        <v>-1</v>
      </c>
      <c r="AA42" s="89">
        <v>1</v>
      </c>
      <c r="AB42" s="82">
        <f>'外国語実績201201-201712'!M1606</f>
        <v>10</v>
      </c>
      <c r="AC42" s="104">
        <f>'外国語実績201201-201712'!M1618</f>
        <v>12</v>
      </c>
      <c r="AD42" s="104">
        <f>'外国語実績201201-201712'!M1630</f>
        <v>0</v>
      </c>
      <c r="AE42" s="88">
        <f t="shared" si="42"/>
        <v>-1</v>
      </c>
      <c r="AF42" s="89">
        <v>0</v>
      </c>
      <c r="AG42" s="82">
        <f>'外国語実績201201-201712'!M1658</f>
        <v>1</v>
      </c>
      <c r="AH42" s="104">
        <f>'外国語実績201201-201712'!M1670</f>
        <v>1</v>
      </c>
      <c r="AI42" s="104">
        <f>'外国語実績201201-201712'!M1682</f>
        <v>0</v>
      </c>
      <c r="AJ42" s="88">
        <f t="shared" si="43"/>
        <v>-1</v>
      </c>
      <c r="AK42" s="89">
        <v>0</v>
      </c>
      <c r="AL42" s="82">
        <f>'外国語実績201201-201712'!M1710</f>
        <v>0</v>
      </c>
      <c r="AM42" s="104">
        <f>'外国語実績201201-201712'!M1722</f>
        <v>0</v>
      </c>
      <c r="AN42" s="104">
        <f>'外国語実績201201-201712'!M1734</f>
        <v>0</v>
      </c>
      <c r="AO42" s="88" t="e">
        <f t="shared" si="44"/>
        <v>#DIV/0!</v>
      </c>
      <c r="AP42" s="89">
        <v>0</v>
      </c>
      <c r="AQ42" s="82">
        <f>'外国語実績201201-201712'!M1762</f>
        <v>0</v>
      </c>
      <c r="AR42" s="104">
        <f>'外国語実績201201-201712'!M1774</f>
        <v>0</v>
      </c>
      <c r="AS42" s="104">
        <f>'外国語実績201201-201712'!M1786</f>
        <v>0</v>
      </c>
      <c r="AT42" s="88" t="e">
        <f t="shared" si="45"/>
        <v>#DIV/0!</v>
      </c>
      <c r="AU42" s="89">
        <v>0</v>
      </c>
      <c r="AV42" s="82">
        <f>'外国語実績201201-201712'!M1802</f>
        <v>0</v>
      </c>
      <c r="AW42" s="104">
        <f>'外国語実績201201-201712'!M1814</f>
        <v>4</v>
      </c>
      <c r="AX42" s="104">
        <f>'外国語実績201201-201712'!M1826</f>
        <v>0</v>
      </c>
      <c r="AY42" s="88">
        <f t="shared" si="46"/>
        <v>-1</v>
      </c>
      <c r="AZ42" s="89">
        <v>0</v>
      </c>
      <c r="BA42" s="82">
        <f>'外国語実績201201-201712'!M1842</f>
        <v>49</v>
      </c>
      <c r="BB42" s="104">
        <f>'外国語実績201201-201712'!M1854</f>
        <v>67</v>
      </c>
      <c r="BC42" s="104">
        <f>'外国語実績201201-201712'!M1866</f>
        <v>0</v>
      </c>
      <c r="BD42" s="88">
        <f t="shared" si="47"/>
        <v>-1</v>
      </c>
      <c r="BE42" s="82">
        <f>'外国語実績201201-201712'!M1882</f>
        <v>12</v>
      </c>
      <c r="BF42" s="104">
        <f>'外国語実績201201-201712'!M1894</f>
        <v>22</v>
      </c>
      <c r="BG42" s="104">
        <f>'外国語実績201201-201712'!M1906</f>
        <v>0</v>
      </c>
      <c r="BH42" s="88">
        <f t="shared" si="48"/>
        <v>-1</v>
      </c>
      <c r="BI42" s="82">
        <f>'外国語実績201201-201712'!M1922</f>
        <v>0</v>
      </c>
      <c r="BJ42" s="104">
        <f>'外国語実績201201-201712'!M1934</f>
        <v>0</v>
      </c>
      <c r="BK42" s="104">
        <f>'外国語実績201201-201712'!M1946</f>
        <v>0</v>
      </c>
      <c r="BL42" s="88" t="e">
        <f t="shared" si="49"/>
        <v>#DIV/0!</v>
      </c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25"/>
      <c r="CC42" s="25"/>
      <c r="CD42" s="25"/>
      <c r="CE42" s="25"/>
      <c r="CF42" s="25"/>
      <c r="CG42" s="25"/>
      <c r="CH42" s="25"/>
      <c r="CI42" s="25"/>
    </row>
    <row r="43" spans="1:109" ht="74.25" customHeight="1">
      <c r="A43" s="199" t="s">
        <v>18</v>
      </c>
      <c r="B43" s="89">
        <v>0</v>
      </c>
      <c r="C43" s="82">
        <f>'外国語実績201201-201712'!M1332</f>
        <v>17</v>
      </c>
      <c r="D43" s="104">
        <f>'外国語実績201201-201712'!M1344</f>
        <v>27</v>
      </c>
      <c r="E43" s="104">
        <f>'外国語実績201201-201712'!M1356</f>
        <v>0</v>
      </c>
      <c r="F43" s="88">
        <f t="shared" si="37"/>
        <v>-1</v>
      </c>
      <c r="G43" s="89">
        <v>3</v>
      </c>
      <c r="H43" s="82">
        <f>'外国語実績201201-201712'!M1384</f>
        <v>4</v>
      </c>
      <c r="I43" s="104">
        <f>'外国語実績201201-201712'!M1396</f>
        <v>1</v>
      </c>
      <c r="J43" s="104">
        <f>'外国語実績201201-201712'!M1408</f>
        <v>0</v>
      </c>
      <c r="K43" s="88">
        <f t="shared" si="38"/>
        <v>-1</v>
      </c>
      <c r="L43" s="89">
        <v>3</v>
      </c>
      <c r="M43" s="82">
        <f>'外国語実績201201-201712'!M1436</f>
        <v>2</v>
      </c>
      <c r="N43" s="104">
        <f>'外国語実績201201-201712'!M1448</f>
        <v>8</v>
      </c>
      <c r="O43" s="104">
        <f>'外国語実績201201-201712'!M1460</f>
        <v>0</v>
      </c>
      <c r="P43" s="88">
        <f t="shared" si="39"/>
        <v>-1</v>
      </c>
      <c r="Q43" s="89">
        <v>0</v>
      </c>
      <c r="R43" s="82">
        <f>'外国語実績201201-201712'!M1488</f>
        <v>0</v>
      </c>
      <c r="S43" s="104">
        <f>'外国語実績201201-201712'!M1500</f>
        <v>0</v>
      </c>
      <c r="T43" s="104">
        <f>'外国語実績201201-201712'!M1512</f>
        <v>0</v>
      </c>
      <c r="U43" s="88" t="e">
        <f t="shared" si="40"/>
        <v>#DIV/0!</v>
      </c>
      <c r="V43" s="89">
        <v>9</v>
      </c>
      <c r="W43" s="82">
        <f>'外国語実績201201-201712'!M1540</f>
        <v>9</v>
      </c>
      <c r="X43" s="104">
        <f>'外国語実績201201-201712'!M1552</f>
        <v>2</v>
      </c>
      <c r="Y43" s="104">
        <f>'外国語実績201201-201712'!M1564</f>
        <v>0</v>
      </c>
      <c r="Z43" s="88">
        <f t="shared" si="41"/>
        <v>-1</v>
      </c>
      <c r="AA43" s="89">
        <v>0</v>
      </c>
      <c r="AB43" s="82">
        <f>'外国語実績201201-201712'!M1607</f>
        <v>10</v>
      </c>
      <c r="AC43" s="104">
        <f>'外国語実績201201-201712'!M1619</f>
        <v>14</v>
      </c>
      <c r="AD43" s="104">
        <f>'外国語実績201201-201712'!M1631</f>
        <v>0</v>
      </c>
      <c r="AE43" s="88">
        <f t="shared" si="42"/>
        <v>-1</v>
      </c>
      <c r="AF43" s="89">
        <v>1</v>
      </c>
      <c r="AG43" s="82">
        <f>'外国語実績201201-201712'!M1659</f>
        <v>2</v>
      </c>
      <c r="AH43" s="104">
        <f>'外国語実績201201-201712'!M1671</f>
        <v>0</v>
      </c>
      <c r="AI43" s="104">
        <f>'外国語実績201201-201712'!M1683</f>
        <v>0</v>
      </c>
      <c r="AJ43" s="88" t="e">
        <f t="shared" si="43"/>
        <v>#DIV/0!</v>
      </c>
      <c r="AK43" s="89">
        <v>0</v>
      </c>
      <c r="AL43" s="82">
        <f>'外国語実績201201-201712'!M1711</f>
        <v>0</v>
      </c>
      <c r="AM43" s="104">
        <f>'外国語実績201201-201712'!M1723</f>
        <v>70</v>
      </c>
      <c r="AN43" s="104">
        <f>'外国語実績201201-201712'!M1735</f>
        <v>0</v>
      </c>
      <c r="AO43" s="88">
        <f t="shared" si="44"/>
        <v>-1</v>
      </c>
      <c r="AP43" s="89">
        <v>0</v>
      </c>
      <c r="AQ43" s="82">
        <f>'外国語実績201201-201712'!M1763</f>
        <v>0</v>
      </c>
      <c r="AR43" s="104">
        <f>'外国語実績201201-201712'!M1775</f>
        <v>0</v>
      </c>
      <c r="AS43" s="104">
        <f>'外国語実績201201-201712'!M1787</f>
        <v>0</v>
      </c>
      <c r="AT43" s="88" t="e">
        <f t="shared" si="45"/>
        <v>#DIV/0!</v>
      </c>
      <c r="AU43" s="89">
        <v>0</v>
      </c>
      <c r="AV43" s="82">
        <f>'外国語実績201201-201712'!M1803</f>
        <v>3</v>
      </c>
      <c r="AW43" s="104">
        <f>'外国語実績201201-201712'!M1815</f>
        <v>7</v>
      </c>
      <c r="AX43" s="104">
        <f>'外国語実績201201-201712'!M1827</f>
        <v>0</v>
      </c>
      <c r="AY43" s="88">
        <f t="shared" si="46"/>
        <v>-1</v>
      </c>
      <c r="AZ43" s="89">
        <v>0</v>
      </c>
      <c r="BA43" s="82">
        <f>'外国語実績201201-201712'!M1843</f>
        <v>90</v>
      </c>
      <c r="BB43" s="104">
        <f>'外国語実績201201-201712'!M1855</f>
        <v>107</v>
      </c>
      <c r="BC43" s="104">
        <f>'外国語実績201201-201712'!M1867</f>
        <v>0</v>
      </c>
      <c r="BD43" s="88">
        <f t="shared" si="47"/>
        <v>-1</v>
      </c>
      <c r="BE43" s="82">
        <f>'外国語実績201201-201712'!M1883</f>
        <v>15</v>
      </c>
      <c r="BF43" s="104">
        <f>'外国語実績201201-201712'!M1895</f>
        <v>23</v>
      </c>
      <c r="BG43" s="104">
        <f>'外国語実績201201-201712'!M1907</f>
        <v>0</v>
      </c>
      <c r="BH43" s="88">
        <f t="shared" si="48"/>
        <v>-1</v>
      </c>
      <c r="BI43" s="82">
        <f>'外国語実績201201-201712'!M1923</f>
        <v>1</v>
      </c>
      <c r="BJ43" s="104">
        <f>'外国語実績201201-201712'!M1935</f>
        <v>0</v>
      </c>
      <c r="BK43" s="104">
        <f>'外国語実績201201-201712'!M1947</f>
        <v>0</v>
      </c>
      <c r="BL43" s="88" t="e">
        <f t="shared" si="49"/>
        <v>#DIV/0!</v>
      </c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25"/>
      <c r="CC43" s="25"/>
      <c r="CD43" s="25"/>
      <c r="CE43" s="25"/>
      <c r="CF43" s="25"/>
      <c r="CG43" s="25"/>
      <c r="CH43" s="25"/>
      <c r="CI43" s="25"/>
    </row>
    <row r="44" spans="1:109" ht="74.25" customHeight="1">
      <c r="A44" s="199" t="s">
        <v>19</v>
      </c>
      <c r="B44" s="89">
        <v>9</v>
      </c>
      <c r="C44" s="82">
        <f>'外国語実績201201-201712'!M1333</f>
        <v>11</v>
      </c>
      <c r="D44" s="104">
        <f>'外国語実績201201-201712'!M1345</f>
        <v>12</v>
      </c>
      <c r="E44" s="104">
        <f>'外国語実績201201-201712'!M1357</f>
        <v>0</v>
      </c>
      <c r="F44" s="88">
        <f t="shared" si="37"/>
        <v>-1</v>
      </c>
      <c r="G44" s="89">
        <v>6</v>
      </c>
      <c r="H44" s="82">
        <f>'外国語実績201201-201712'!M1385</f>
        <v>6</v>
      </c>
      <c r="I44" s="104">
        <f>'外国語実績201201-201712'!M1397</f>
        <v>0</v>
      </c>
      <c r="J44" s="104">
        <f>'外国語実績201201-201712'!M1409</f>
        <v>0</v>
      </c>
      <c r="K44" s="88" t="e">
        <f t="shared" si="38"/>
        <v>#DIV/0!</v>
      </c>
      <c r="L44" s="89">
        <v>0</v>
      </c>
      <c r="M44" s="82">
        <f>'外国語実績201201-201712'!M1437</f>
        <v>0</v>
      </c>
      <c r="N44" s="104">
        <f>'外国語実績201201-201712'!M1449</f>
        <v>0</v>
      </c>
      <c r="O44" s="104">
        <f>'外国語実績201201-201712'!M1461</f>
        <v>0</v>
      </c>
      <c r="P44" s="88" t="e">
        <f t="shared" si="39"/>
        <v>#DIV/0!</v>
      </c>
      <c r="Q44" s="89">
        <v>0</v>
      </c>
      <c r="R44" s="82">
        <f>'外国語実績201201-201712'!M1489</f>
        <v>0</v>
      </c>
      <c r="S44" s="104">
        <f>'外国語実績201201-201712'!M1501</f>
        <v>0</v>
      </c>
      <c r="T44" s="104">
        <f>'外国語実績201201-201712'!M1513</f>
        <v>0</v>
      </c>
      <c r="U44" s="88" t="e">
        <f t="shared" si="40"/>
        <v>#DIV/0!</v>
      </c>
      <c r="V44" s="89">
        <v>5</v>
      </c>
      <c r="W44" s="82">
        <f>'外国語実績201201-201712'!M1541</f>
        <v>6</v>
      </c>
      <c r="X44" s="104">
        <f>'外国語実績201201-201712'!M1553</f>
        <v>16</v>
      </c>
      <c r="Y44" s="104">
        <f>'外国語実績201201-201712'!M1565</f>
        <v>0</v>
      </c>
      <c r="Z44" s="88">
        <f t="shared" si="41"/>
        <v>-1</v>
      </c>
      <c r="AA44" s="89">
        <v>0</v>
      </c>
      <c r="AB44" s="82">
        <f>'外国語実績201201-201712'!M1608</f>
        <v>0</v>
      </c>
      <c r="AC44" s="104">
        <f>'外国語実績201201-201712'!M1620</f>
        <v>3</v>
      </c>
      <c r="AD44" s="104">
        <f>'外国語実績201201-201712'!M1632</f>
        <v>0</v>
      </c>
      <c r="AE44" s="88">
        <f t="shared" si="42"/>
        <v>-1</v>
      </c>
      <c r="AF44" s="89">
        <v>1</v>
      </c>
      <c r="AG44" s="82">
        <f>'外国語実績201201-201712'!M1660</f>
        <v>2</v>
      </c>
      <c r="AH44" s="104">
        <f>'外国語実績201201-201712'!M1672</f>
        <v>0</v>
      </c>
      <c r="AI44" s="104">
        <f>'外国語実績201201-201712'!M1684</f>
        <v>0</v>
      </c>
      <c r="AJ44" s="88" t="e">
        <f t="shared" si="43"/>
        <v>#DIV/0!</v>
      </c>
      <c r="AK44" s="89">
        <v>1</v>
      </c>
      <c r="AL44" s="82">
        <f>'外国語実績201201-201712'!M1712</f>
        <v>0</v>
      </c>
      <c r="AM44" s="104">
        <f>'外国語実績201201-201712'!M1724</f>
        <v>0</v>
      </c>
      <c r="AN44" s="104">
        <f>'外国語実績201201-201712'!M1736</f>
        <v>0</v>
      </c>
      <c r="AO44" s="88" t="e">
        <f t="shared" si="44"/>
        <v>#DIV/0!</v>
      </c>
      <c r="AP44" s="89">
        <v>0</v>
      </c>
      <c r="AQ44" s="82">
        <f>'外国語実績201201-201712'!M1764</f>
        <v>2</v>
      </c>
      <c r="AR44" s="104">
        <f>'外国語実績201201-201712'!M1776</f>
        <v>0</v>
      </c>
      <c r="AS44" s="104">
        <f>'外国語実績201201-201712'!M1788</f>
        <v>0</v>
      </c>
      <c r="AT44" s="88" t="e">
        <f t="shared" si="45"/>
        <v>#DIV/0!</v>
      </c>
      <c r="AU44" s="89">
        <v>0</v>
      </c>
      <c r="AV44" s="82">
        <f>'外国語実績201201-201712'!M1804</f>
        <v>4</v>
      </c>
      <c r="AW44" s="104">
        <f>'外国語実績201201-201712'!M1816</f>
        <v>8</v>
      </c>
      <c r="AX44" s="104">
        <f>'外国語実績201201-201712'!M1828</f>
        <v>0</v>
      </c>
      <c r="AY44" s="88">
        <f t="shared" si="46"/>
        <v>-1</v>
      </c>
      <c r="AZ44" s="89">
        <v>0</v>
      </c>
      <c r="BA44" s="82">
        <f>'外国語実績201201-201712'!M1844</f>
        <v>106</v>
      </c>
      <c r="BB44" s="104">
        <f>'外国語実績201201-201712'!M1856</f>
        <v>148</v>
      </c>
      <c r="BC44" s="104">
        <f>'外国語実績201201-201712'!M1868</f>
        <v>0</v>
      </c>
      <c r="BD44" s="88">
        <f t="shared" si="47"/>
        <v>-1</v>
      </c>
      <c r="BE44" s="82">
        <f>'外国語実績201201-201712'!M1884</f>
        <v>13</v>
      </c>
      <c r="BF44" s="104">
        <f>'外国語実績201201-201712'!M1896</f>
        <v>31</v>
      </c>
      <c r="BG44" s="104">
        <f>'外国語実績201201-201712'!M1908</f>
        <v>0</v>
      </c>
      <c r="BH44" s="88">
        <f t="shared" si="48"/>
        <v>-1</v>
      </c>
      <c r="BI44" s="82">
        <f>'外国語実績201201-201712'!M1924</f>
        <v>1</v>
      </c>
      <c r="BJ44" s="104">
        <f>'外国語実績201201-201712'!M1936</f>
        <v>1</v>
      </c>
      <c r="BK44" s="104">
        <f>'外国語実績201201-201712'!M1948</f>
        <v>0</v>
      </c>
      <c r="BL44" s="88">
        <f t="shared" si="49"/>
        <v>-1</v>
      </c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25"/>
      <c r="CC44" s="25"/>
      <c r="CD44" s="25"/>
      <c r="CE44" s="25"/>
      <c r="CF44" s="25"/>
      <c r="CG44" s="25"/>
      <c r="CH44" s="25"/>
      <c r="CI44" s="25"/>
    </row>
    <row r="45" spans="1:109" ht="74.25" customHeight="1">
      <c r="A45" s="199" t="s">
        <v>20</v>
      </c>
      <c r="B45" s="89">
        <v>15</v>
      </c>
      <c r="C45" s="82">
        <f>'外国語実績201201-201712'!M1334</f>
        <v>18</v>
      </c>
      <c r="D45" s="104">
        <f>'外国語実績201201-201712'!M1346</f>
        <v>30</v>
      </c>
      <c r="E45" s="104">
        <f>'外国語実績201201-201712'!M1358</f>
        <v>0</v>
      </c>
      <c r="F45" s="88">
        <f t="shared" si="37"/>
        <v>-1</v>
      </c>
      <c r="G45" s="89">
        <v>1</v>
      </c>
      <c r="H45" s="82">
        <f>'外国語実績201201-201712'!M1386</f>
        <v>2</v>
      </c>
      <c r="I45" s="104">
        <f>'外国語実績201201-201712'!M1398</f>
        <v>1</v>
      </c>
      <c r="J45" s="104">
        <f>'外国語実績201201-201712'!M1410</f>
        <v>0</v>
      </c>
      <c r="K45" s="88">
        <f t="shared" si="38"/>
        <v>-1</v>
      </c>
      <c r="L45" s="89">
        <v>0</v>
      </c>
      <c r="M45" s="82">
        <f>'外国語実績201201-201712'!M1438</f>
        <v>0</v>
      </c>
      <c r="N45" s="104">
        <f>'外国語実績201201-201712'!M1450</f>
        <v>0</v>
      </c>
      <c r="O45" s="104">
        <f>'外国語実績201201-201712'!M1462</f>
        <v>0</v>
      </c>
      <c r="P45" s="88" t="e">
        <f t="shared" si="39"/>
        <v>#DIV/0!</v>
      </c>
      <c r="Q45" s="89">
        <v>0</v>
      </c>
      <c r="R45" s="82">
        <f>'外国語実績201201-201712'!M1490</f>
        <v>0</v>
      </c>
      <c r="S45" s="104">
        <f>'外国語実績201201-201712'!M1502</f>
        <v>0</v>
      </c>
      <c r="T45" s="104">
        <f>'外国語実績201201-201712'!M1514</f>
        <v>0</v>
      </c>
      <c r="U45" s="88" t="e">
        <f t="shared" si="40"/>
        <v>#DIV/0!</v>
      </c>
      <c r="V45" s="89">
        <v>7</v>
      </c>
      <c r="W45" s="82">
        <f>'外国語実績201201-201712'!M1542</f>
        <v>9</v>
      </c>
      <c r="X45" s="104">
        <f>'外国語実績201201-201712'!M1554</f>
        <v>13</v>
      </c>
      <c r="Y45" s="104">
        <f>'外国語実績201201-201712'!M1566</f>
        <v>0</v>
      </c>
      <c r="Z45" s="88">
        <f t="shared" si="41"/>
        <v>-1</v>
      </c>
      <c r="AA45" s="89">
        <v>0</v>
      </c>
      <c r="AB45" s="82">
        <f>'外国語実績201201-201712'!M1609</f>
        <v>0</v>
      </c>
      <c r="AC45" s="104">
        <f>'外国語実績201201-201712'!M1621</f>
        <v>0</v>
      </c>
      <c r="AD45" s="104">
        <f>'外国語実績201201-201712'!M1633</f>
        <v>0</v>
      </c>
      <c r="AE45" s="88" t="e">
        <f t="shared" si="42"/>
        <v>#DIV/0!</v>
      </c>
      <c r="AF45" s="89">
        <v>1</v>
      </c>
      <c r="AG45" s="82">
        <f>'外国語実績201201-201712'!M1661</f>
        <v>0</v>
      </c>
      <c r="AH45" s="104">
        <f>'外国語実績201201-201712'!M1673</f>
        <v>1</v>
      </c>
      <c r="AI45" s="104">
        <f>'外国語実績201201-201712'!M1685</f>
        <v>0</v>
      </c>
      <c r="AJ45" s="88">
        <f t="shared" si="43"/>
        <v>-1</v>
      </c>
      <c r="AK45" s="89">
        <v>11</v>
      </c>
      <c r="AL45" s="82">
        <f>'外国語実績201201-201712'!M1713</f>
        <v>5</v>
      </c>
      <c r="AM45" s="104">
        <f>'外国語実績201201-201712'!M1725</f>
        <v>0</v>
      </c>
      <c r="AN45" s="104">
        <f>'外国語実績201201-201712'!M1737</f>
        <v>0</v>
      </c>
      <c r="AO45" s="88" t="e">
        <f t="shared" si="44"/>
        <v>#DIV/0!</v>
      </c>
      <c r="AP45" s="89">
        <v>5</v>
      </c>
      <c r="AQ45" s="82">
        <f>'外国語実績201201-201712'!M1765</f>
        <v>0</v>
      </c>
      <c r="AR45" s="104">
        <f>'外国語実績201201-201712'!M1777</f>
        <v>5</v>
      </c>
      <c r="AS45" s="104">
        <f>'外国語実績201201-201712'!M1789</f>
        <v>0</v>
      </c>
      <c r="AT45" s="88">
        <f t="shared" si="45"/>
        <v>-1</v>
      </c>
      <c r="AU45" s="89">
        <v>0</v>
      </c>
      <c r="AV45" s="82">
        <f>'外国語実績201201-201712'!M1805</f>
        <v>5</v>
      </c>
      <c r="AW45" s="104">
        <f>'外国語実績201201-201712'!M1817</f>
        <v>14</v>
      </c>
      <c r="AX45" s="104">
        <f>'外国語実績201201-201712'!M1829</f>
        <v>0</v>
      </c>
      <c r="AY45" s="88">
        <f t="shared" si="46"/>
        <v>-1</v>
      </c>
      <c r="AZ45" s="89">
        <v>0</v>
      </c>
      <c r="BA45" s="82">
        <f>'外国語実績201201-201712'!M1845</f>
        <v>93</v>
      </c>
      <c r="BB45" s="104">
        <f>'外国語実績201201-201712'!M1857</f>
        <v>125</v>
      </c>
      <c r="BC45" s="104">
        <f>'外国語実績201201-201712'!M1869</f>
        <v>0</v>
      </c>
      <c r="BD45" s="88">
        <f t="shared" si="47"/>
        <v>-1</v>
      </c>
      <c r="BE45" s="82">
        <f>'外国語実績201201-201712'!M1885</f>
        <v>24</v>
      </c>
      <c r="BF45" s="104">
        <f>'外国語実績201201-201712'!M1897</f>
        <v>23</v>
      </c>
      <c r="BG45" s="104">
        <f>'外国語実績201201-201712'!M1909</f>
        <v>0</v>
      </c>
      <c r="BH45" s="88">
        <f t="shared" si="48"/>
        <v>-1</v>
      </c>
      <c r="BI45" s="82">
        <f>'外国語実績201201-201712'!M1925</f>
        <v>0</v>
      </c>
      <c r="BJ45" s="104">
        <f>'外国語実績201201-201712'!M1937</f>
        <v>0</v>
      </c>
      <c r="BK45" s="104">
        <f>'外国語実績201201-201712'!M1949</f>
        <v>0</v>
      </c>
      <c r="BL45" s="88" t="e">
        <f t="shared" si="49"/>
        <v>#DIV/0!</v>
      </c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25"/>
      <c r="CC45" s="25"/>
      <c r="CD45" s="25"/>
      <c r="CE45" s="25"/>
      <c r="CF45" s="25"/>
      <c r="CG45" s="25"/>
      <c r="CH45" s="25"/>
      <c r="CI45" s="25"/>
    </row>
    <row r="46" spans="1:109" ht="74.25" customHeight="1">
      <c r="A46" s="199" t="s">
        <v>21</v>
      </c>
      <c r="B46" s="89">
        <f>'外国語実績201201-201712'!M1323</f>
        <v>17</v>
      </c>
      <c r="C46" s="82">
        <f>'外国語実績201201-201712'!M1335</f>
        <v>20</v>
      </c>
      <c r="D46" s="104">
        <f>'外国語実績201201-201712'!M1347</f>
        <v>18</v>
      </c>
      <c r="E46" s="104"/>
      <c r="F46" s="88">
        <f t="shared" si="37"/>
        <v>-1</v>
      </c>
      <c r="G46" s="89">
        <f>'外国語実績201201-201712'!M1375</f>
        <v>0</v>
      </c>
      <c r="H46" s="82">
        <f>'外国語実績201201-201712'!M1387</f>
        <v>2</v>
      </c>
      <c r="I46" s="104">
        <f>'外国語実績201201-201712'!M1399</f>
        <v>0</v>
      </c>
      <c r="J46" s="104"/>
      <c r="K46" s="88" t="e">
        <f t="shared" si="38"/>
        <v>#DIV/0!</v>
      </c>
      <c r="L46" s="89">
        <f>'外国語実績201201-201712'!M1427</f>
        <v>0</v>
      </c>
      <c r="M46" s="82">
        <f>'外国語実績201201-201712'!M1439</f>
        <v>0</v>
      </c>
      <c r="N46" s="104">
        <f>'外国語実績201201-201712'!M1451</f>
        <v>0</v>
      </c>
      <c r="O46" s="104"/>
      <c r="P46" s="88" t="e">
        <f t="shared" si="39"/>
        <v>#DIV/0!</v>
      </c>
      <c r="Q46" s="89">
        <f>'外国語実績201201-201712'!M1479</f>
        <v>0</v>
      </c>
      <c r="R46" s="82">
        <f>'外国語実績201201-201712'!M1491</f>
        <v>0</v>
      </c>
      <c r="S46" s="104">
        <f>'外国語実績201201-201712'!M1503</f>
        <v>0</v>
      </c>
      <c r="T46" s="104"/>
      <c r="U46" s="88" t="e">
        <f t="shared" si="40"/>
        <v>#DIV/0!</v>
      </c>
      <c r="V46" s="89">
        <f>'外国語実績201201-201712'!M1531</f>
        <v>6</v>
      </c>
      <c r="W46" s="82">
        <f>'外国語実績201201-201712'!M1543</f>
        <v>8</v>
      </c>
      <c r="X46" s="104">
        <f>'外国語実績201201-201712'!M1555</f>
        <v>1</v>
      </c>
      <c r="Y46" s="104"/>
      <c r="Z46" s="88">
        <f t="shared" si="41"/>
        <v>-1</v>
      </c>
      <c r="AA46" s="89">
        <f>'外国語実績201201-201712'!M1598</f>
        <v>0</v>
      </c>
      <c r="AB46" s="82">
        <f>'外国語実績201201-201712'!M1610</f>
        <v>0</v>
      </c>
      <c r="AC46" s="104">
        <f>'外国語実績201201-201712'!M1622</f>
        <v>0</v>
      </c>
      <c r="AD46" s="104"/>
      <c r="AE46" s="88" t="e">
        <f t="shared" si="42"/>
        <v>#DIV/0!</v>
      </c>
      <c r="AF46" s="89">
        <f>'外国語実績201201-201712'!M1650</f>
        <v>1</v>
      </c>
      <c r="AG46" s="82">
        <f>'外国語実績201201-201712'!M1662</f>
        <v>2</v>
      </c>
      <c r="AH46" s="104">
        <f>'外国語実績201201-201712'!M1674</f>
        <v>0</v>
      </c>
      <c r="AI46" s="104"/>
      <c r="AJ46" s="88" t="e">
        <f t="shared" si="43"/>
        <v>#DIV/0!</v>
      </c>
      <c r="AK46" s="89">
        <f>'外国語実績201201-201712'!M1702</f>
        <v>16</v>
      </c>
      <c r="AL46" s="82">
        <f>'外国語実績201201-201712'!M1714</f>
        <v>25</v>
      </c>
      <c r="AM46" s="104">
        <f>'外国語実績201201-201712'!M1726</f>
        <v>0</v>
      </c>
      <c r="AN46" s="104"/>
      <c r="AO46" s="88" t="e">
        <f t="shared" si="44"/>
        <v>#DIV/0!</v>
      </c>
      <c r="AP46" s="89">
        <f>'外国語実績201201-201712'!M1754</f>
        <v>7</v>
      </c>
      <c r="AQ46" s="82">
        <f>'外国語実績201201-201712'!M1766</f>
        <v>8</v>
      </c>
      <c r="AR46" s="104">
        <f>'外国語実績201201-201712'!M1778</f>
        <v>8</v>
      </c>
      <c r="AS46" s="104"/>
      <c r="AT46" s="88">
        <f t="shared" si="45"/>
        <v>-1</v>
      </c>
      <c r="AU46" s="89">
        <f>'外国語実績201201-201712'!M1794</f>
        <v>2</v>
      </c>
      <c r="AV46" s="82">
        <f>'外国語実績201201-201712'!M1806</f>
        <v>7</v>
      </c>
      <c r="AW46" s="104">
        <f>'外国語実績201201-201712'!M1818</f>
        <v>7</v>
      </c>
      <c r="AX46" s="104"/>
      <c r="AY46" s="88">
        <f t="shared" si="46"/>
        <v>-1</v>
      </c>
      <c r="AZ46" s="89">
        <f>'外国語実績201201-201712'!M1834</f>
        <v>0</v>
      </c>
      <c r="BA46" s="82">
        <f>'外国語実績201201-201712'!M1846</f>
        <v>130</v>
      </c>
      <c r="BB46" s="104">
        <f>'外国語実績201201-201712'!M1858</f>
        <v>132</v>
      </c>
      <c r="BC46" s="104"/>
      <c r="BD46" s="88">
        <f t="shared" si="47"/>
        <v>-1</v>
      </c>
      <c r="BE46" s="82">
        <f>'外国語実績201201-201712'!M1886</f>
        <v>15</v>
      </c>
      <c r="BF46" s="104">
        <f>'外国語実績201201-201712'!M1898</f>
        <v>19</v>
      </c>
      <c r="BG46" s="104"/>
      <c r="BH46" s="88">
        <f t="shared" si="48"/>
        <v>-1</v>
      </c>
      <c r="BI46" s="82">
        <f>'外国語実績201201-201712'!M1926</f>
        <v>0</v>
      </c>
      <c r="BJ46" s="104">
        <f>'外国語実績201201-201712'!M1938</f>
        <v>0</v>
      </c>
      <c r="BK46" s="104"/>
      <c r="BL46" s="88" t="e">
        <f t="shared" si="49"/>
        <v>#DIV/0!</v>
      </c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25"/>
      <c r="CC46" s="25"/>
      <c r="CD46" s="25"/>
      <c r="CE46" s="25"/>
      <c r="CF46" s="25"/>
      <c r="CG46" s="25"/>
      <c r="CH46" s="25"/>
      <c r="CI46" s="25"/>
    </row>
    <row r="47" spans="1:109" ht="74.25" customHeight="1">
      <c r="A47" s="247" t="s">
        <v>22</v>
      </c>
      <c r="B47" s="89">
        <f>'外国語実績201201-201712'!M1324</f>
        <v>12</v>
      </c>
      <c r="C47" s="82">
        <f>'外国語実績201201-201712'!M1336</f>
        <v>10</v>
      </c>
      <c r="D47" s="104">
        <f>'外国語実績201201-201712'!M1348</f>
        <v>15</v>
      </c>
      <c r="E47" s="104"/>
      <c r="F47" s="88">
        <f t="shared" si="37"/>
        <v>-1</v>
      </c>
      <c r="G47" s="89">
        <f>'外国語実績201201-201712'!M1376</f>
        <v>0</v>
      </c>
      <c r="H47" s="82">
        <f>'外国語実績201201-201712'!M1388</f>
        <v>0</v>
      </c>
      <c r="I47" s="104">
        <f>'外国語実績201201-201712'!M1400</f>
        <v>0</v>
      </c>
      <c r="J47" s="104"/>
      <c r="K47" s="88" t="e">
        <f t="shared" si="38"/>
        <v>#DIV/0!</v>
      </c>
      <c r="L47" s="89">
        <f>'外国語実績201201-201712'!M1428</f>
        <v>0</v>
      </c>
      <c r="M47" s="82">
        <f>'外国語実績201201-201712'!M1440</f>
        <v>0</v>
      </c>
      <c r="N47" s="104">
        <f>'外国語実績201201-201712'!M1452</f>
        <v>0</v>
      </c>
      <c r="O47" s="104"/>
      <c r="P47" s="88" t="e">
        <f t="shared" si="39"/>
        <v>#DIV/0!</v>
      </c>
      <c r="Q47" s="89">
        <f>'外国語実績201201-201712'!M1480</f>
        <v>0</v>
      </c>
      <c r="R47" s="82">
        <f>'外国語実績201201-201712'!M1492</f>
        <v>0</v>
      </c>
      <c r="S47" s="104">
        <f>'外国語実績201201-201712'!M1504</f>
        <v>0</v>
      </c>
      <c r="T47" s="104"/>
      <c r="U47" s="88" t="e">
        <f t="shared" si="40"/>
        <v>#DIV/0!</v>
      </c>
      <c r="V47" s="89">
        <f>'外国語実績201201-201712'!M1532</f>
        <v>9</v>
      </c>
      <c r="W47" s="82">
        <f>'外国語実績201201-201712'!M1544</f>
        <v>2</v>
      </c>
      <c r="X47" s="104">
        <f>'外国語実績201201-201712'!M1556</f>
        <v>5</v>
      </c>
      <c r="Y47" s="104"/>
      <c r="Z47" s="88">
        <f t="shared" si="41"/>
        <v>-1</v>
      </c>
      <c r="AA47" s="89">
        <f>'外国語実績201201-201712'!M1599</f>
        <v>0</v>
      </c>
      <c r="AB47" s="82">
        <f>'外国語実績201201-201712'!M1611</f>
        <v>0</v>
      </c>
      <c r="AC47" s="104">
        <f>'外国語実績201201-201712'!M1623</f>
        <v>0</v>
      </c>
      <c r="AD47" s="104"/>
      <c r="AE47" s="88" t="e">
        <f t="shared" si="42"/>
        <v>#DIV/0!</v>
      </c>
      <c r="AF47" s="89">
        <f>'外国語実績201201-201712'!M1651</f>
        <v>1</v>
      </c>
      <c r="AG47" s="82">
        <f>'外国語実績201201-201712'!M1663</f>
        <v>2</v>
      </c>
      <c r="AH47" s="104">
        <f>'外国語実績201201-201712'!M1675</f>
        <v>1</v>
      </c>
      <c r="AI47" s="104"/>
      <c r="AJ47" s="88">
        <f t="shared" si="43"/>
        <v>-1</v>
      </c>
      <c r="AK47" s="89">
        <f>'外国語実績201201-201712'!M1703</f>
        <v>17</v>
      </c>
      <c r="AL47" s="82">
        <f>'外国語実績201201-201712'!M1715</f>
        <v>15</v>
      </c>
      <c r="AM47" s="104">
        <f>'外国語実績201201-201712'!M1727</f>
        <v>0</v>
      </c>
      <c r="AN47" s="104"/>
      <c r="AO47" s="88" t="e">
        <f t="shared" si="44"/>
        <v>#DIV/0!</v>
      </c>
      <c r="AP47" s="89">
        <f>'外国語実績201201-201712'!M1755</f>
        <v>11</v>
      </c>
      <c r="AQ47" s="82">
        <f>'外国語実績201201-201712'!M1767</f>
        <v>3</v>
      </c>
      <c r="AR47" s="104">
        <f>'外国語実績201201-201712'!M1779</f>
        <v>3</v>
      </c>
      <c r="AS47" s="104"/>
      <c r="AT47" s="88">
        <f t="shared" si="45"/>
        <v>-1</v>
      </c>
      <c r="AU47" s="89">
        <f>'外国語実績201201-201712'!M1795</f>
        <v>0</v>
      </c>
      <c r="AV47" s="82">
        <f>'外国語実績201201-201712'!M1807</f>
        <v>10</v>
      </c>
      <c r="AW47" s="104">
        <f>'外国語実績201201-201712'!M1819</f>
        <v>6</v>
      </c>
      <c r="AX47" s="104"/>
      <c r="AY47" s="88">
        <f t="shared" si="46"/>
        <v>-1</v>
      </c>
      <c r="AZ47" s="89">
        <f>'外国語実績201201-201712'!M1835</f>
        <v>1</v>
      </c>
      <c r="BA47" s="82">
        <f>'外国語実績201201-201712'!M1847</f>
        <v>73</v>
      </c>
      <c r="BB47" s="104">
        <f>'外国語実績201201-201712'!M1859</f>
        <v>48</v>
      </c>
      <c r="BC47" s="104"/>
      <c r="BD47" s="88">
        <f t="shared" si="47"/>
        <v>-1</v>
      </c>
      <c r="BE47" s="82">
        <f>'外国語実績201201-201712'!M1887</f>
        <v>12</v>
      </c>
      <c r="BF47" s="104">
        <f>'外国語実績201201-201712'!M1899</f>
        <v>7</v>
      </c>
      <c r="BG47" s="104"/>
      <c r="BH47" s="88">
        <f t="shared" si="48"/>
        <v>-1</v>
      </c>
      <c r="BI47" s="82">
        <f>'外国語実績201201-201712'!M1927</f>
        <v>0</v>
      </c>
      <c r="BJ47" s="104">
        <f>'外国語実績201201-201712'!M1939</f>
        <v>0</v>
      </c>
      <c r="BK47" s="104"/>
      <c r="BL47" s="88" t="e">
        <f t="shared" si="49"/>
        <v>#DIV/0!</v>
      </c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25"/>
      <c r="CC47" s="25"/>
      <c r="CD47" s="25"/>
      <c r="CE47" s="25"/>
      <c r="CF47" s="25"/>
      <c r="CG47" s="25"/>
      <c r="CH47" s="25"/>
      <c r="CI47" s="25"/>
    </row>
    <row r="48" spans="1:109" ht="74.25" customHeight="1" thickBot="1">
      <c r="A48" s="250" t="s">
        <v>23</v>
      </c>
      <c r="B48" s="451">
        <f>'外国語実績201201-201712'!M1325</f>
        <v>14</v>
      </c>
      <c r="C48" s="449">
        <f>'外国語実績201201-201712'!M1337</f>
        <v>15</v>
      </c>
      <c r="D48" s="437">
        <f>'外国語実績201201-201712'!M1349</f>
        <v>3</v>
      </c>
      <c r="E48" s="437"/>
      <c r="F48" s="447">
        <f t="shared" si="37"/>
        <v>-1</v>
      </c>
      <c r="G48" s="451">
        <f>'外国語実績201201-201712'!M1377</f>
        <v>4</v>
      </c>
      <c r="H48" s="449">
        <f>'外国語実績201201-201712'!M1389</f>
        <v>3</v>
      </c>
      <c r="I48" s="437">
        <f>'外国語実績201201-201712'!M1401</f>
        <v>0</v>
      </c>
      <c r="J48" s="437"/>
      <c r="K48" s="447" t="e">
        <f t="shared" si="38"/>
        <v>#DIV/0!</v>
      </c>
      <c r="L48" s="451">
        <f>'外国語実績201201-201712'!M1429</f>
        <v>0</v>
      </c>
      <c r="M48" s="449">
        <f>'外国語実績201201-201712'!M1441</f>
        <v>0</v>
      </c>
      <c r="N48" s="437">
        <f>'外国語実績201201-201712'!M1453</f>
        <v>0</v>
      </c>
      <c r="O48" s="437"/>
      <c r="P48" s="447" t="e">
        <f t="shared" si="39"/>
        <v>#DIV/0!</v>
      </c>
      <c r="Q48" s="451">
        <f>'外国語実績201201-201712'!M1481</f>
        <v>0</v>
      </c>
      <c r="R48" s="449">
        <f>'外国語実績201201-201712'!M1493</f>
        <v>0</v>
      </c>
      <c r="S48" s="437">
        <f>'外国語実績201201-201712'!M1505</f>
        <v>0</v>
      </c>
      <c r="T48" s="437"/>
      <c r="U48" s="447" t="e">
        <f t="shared" si="40"/>
        <v>#DIV/0!</v>
      </c>
      <c r="V48" s="451">
        <f>'外国語実績201201-201712'!M1533</f>
        <v>17</v>
      </c>
      <c r="W48" s="449">
        <f>'外国語実績201201-201712'!M1545</f>
        <v>12</v>
      </c>
      <c r="X48" s="437">
        <f>'外国語実績201201-201712'!M1557</f>
        <v>1</v>
      </c>
      <c r="Y48" s="437"/>
      <c r="Z48" s="447">
        <f t="shared" si="41"/>
        <v>-1</v>
      </c>
      <c r="AA48" s="451">
        <f>'外国語実績201201-201712'!M1600</f>
        <v>0</v>
      </c>
      <c r="AB48" s="449">
        <f>'外国語実績201201-201712'!M1612</f>
        <v>2</v>
      </c>
      <c r="AC48" s="437">
        <f>'外国語実績201201-201712'!M1624</f>
        <v>0</v>
      </c>
      <c r="AD48" s="437"/>
      <c r="AE48" s="447" t="e">
        <f t="shared" si="42"/>
        <v>#DIV/0!</v>
      </c>
      <c r="AF48" s="451">
        <f>'外国語実績201201-201712'!M1652</f>
        <v>0</v>
      </c>
      <c r="AG48" s="449">
        <f>'外国語実績201201-201712'!M1664</f>
        <v>2</v>
      </c>
      <c r="AH48" s="437">
        <f>'外国語実績201201-201712'!M1676</f>
        <v>1</v>
      </c>
      <c r="AI48" s="437"/>
      <c r="AJ48" s="447">
        <f t="shared" si="43"/>
        <v>-1</v>
      </c>
      <c r="AK48" s="451">
        <f>'外国語実績201201-201712'!M1704</f>
        <v>0</v>
      </c>
      <c r="AL48" s="449">
        <f>'外国語実績201201-201712'!M1716</f>
        <v>0</v>
      </c>
      <c r="AM48" s="437">
        <f>'外国語実績201201-201712'!M1728</f>
        <v>0</v>
      </c>
      <c r="AN48" s="437"/>
      <c r="AO48" s="447" t="e">
        <f t="shared" si="44"/>
        <v>#DIV/0!</v>
      </c>
      <c r="AP48" s="451">
        <f>'外国語実績201201-201712'!M1756</f>
        <v>3</v>
      </c>
      <c r="AQ48" s="449">
        <f>'外国語実績201201-201712'!M1768</f>
        <v>4</v>
      </c>
      <c r="AR48" s="437">
        <f>'外国語実績201201-201712'!M1780</f>
        <v>1</v>
      </c>
      <c r="AS48" s="437"/>
      <c r="AT48" s="447">
        <f t="shared" si="45"/>
        <v>-1</v>
      </c>
      <c r="AU48" s="451">
        <f>'外国語実績201201-201712'!M1796</f>
        <v>1</v>
      </c>
      <c r="AV48" s="449">
        <f>'外国語実績201201-201712'!M1808</f>
        <v>4</v>
      </c>
      <c r="AW48" s="437">
        <f>'外国語実績201201-201712'!M1820</f>
        <v>2</v>
      </c>
      <c r="AX48" s="437"/>
      <c r="AY48" s="447">
        <f t="shared" si="46"/>
        <v>-1</v>
      </c>
      <c r="AZ48" s="451">
        <f>'外国語実績201201-201712'!M1836</f>
        <v>5</v>
      </c>
      <c r="BA48" s="449">
        <f>'外国語実績201201-201712'!M1848</f>
        <v>95</v>
      </c>
      <c r="BB48" s="437">
        <f>'外国語実績201201-201712'!M1860</f>
        <v>6</v>
      </c>
      <c r="BC48" s="437"/>
      <c r="BD48" s="447">
        <f t="shared" si="47"/>
        <v>-1</v>
      </c>
      <c r="BE48" s="449">
        <f>'外国語実績201201-201712'!M1888</f>
        <v>15</v>
      </c>
      <c r="BF48" s="437">
        <f>'外国語実績201201-201712'!M1900</f>
        <v>9</v>
      </c>
      <c r="BG48" s="437"/>
      <c r="BH48" s="447">
        <f t="shared" si="48"/>
        <v>-1</v>
      </c>
      <c r="BI48" s="449">
        <f>'外国語実績201201-201712'!M1928</f>
        <v>1</v>
      </c>
      <c r="BJ48" s="437">
        <f>'外国語実績201201-201712'!M1940</f>
        <v>0</v>
      </c>
      <c r="BK48" s="437"/>
      <c r="BL48" s="447" t="e">
        <f t="shared" si="49"/>
        <v>#DIV/0!</v>
      </c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25"/>
      <c r="CC48" s="25"/>
      <c r="CD48" s="25"/>
      <c r="CE48" s="25"/>
      <c r="CF48" s="25"/>
      <c r="CG48" s="25"/>
      <c r="CH48" s="25"/>
      <c r="CI48" s="25"/>
    </row>
    <row r="49" spans="1:87" ht="74.25" customHeight="1" thickBot="1">
      <c r="A49" s="76" t="s">
        <v>5</v>
      </c>
      <c r="B49" s="90">
        <f>SUM(B37:B48)</f>
        <v>70</v>
      </c>
      <c r="C49" s="87">
        <f>SUM(C37:C48)</f>
        <v>162</v>
      </c>
      <c r="D49" s="96">
        <f t="shared" ref="D49:E49" si="50">SUM(D37:D48)</f>
        <v>202</v>
      </c>
      <c r="E49" s="96">
        <f t="shared" si="50"/>
        <v>6</v>
      </c>
      <c r="F49" s="450">
        <f t="shared" si="37"/>
        <v>-0.97029702970297027</v>
      </c>
      <c r="G49" s="90">
        <f>SUM(G37:G48)</f>
        <v>20</v>
      </c>
      <c r="H49" s="87">
        <f>SUM(H37:H48)</f>
        <v>35</v>
      </c>
      <c r="I49" s="96">
        <f t="shared" ref="I49:J49" si="51">SUM(I37:I48)</f>
        <v>13</v>
      </c>
      <c r="J49" s="96">
        <f t="shared" si="51"/>
        <v>0</v>
      </c>
      <c r="K49" s="450">
        <f t="shared" si="38"/>
        <v>-1</v>
      </c>
      <c r="L49" s="90">
        <f>SUM(L37:L48)</f>
        <v>15</v>
      </c>
      <c r="M49" s="87">
        <f>SUM(M37:M48)</f>
        <v>57</v>
      </c>
      <c r="N49" s="96">
        <f t="shared" ref="N49:O49" si="52">SUM(N37:N48)</f>
        <v>45</v>
      </c>
      <c r="O49" s="96">
        <f t="shared" si="52"/>
        <v>0</v>
      </c>
      <c r="P49" s="450">
        <f t="shared" si="39"/>
        <v>-1</v>
      </c>
      <c r="Q49" s="90">
        <f t="shared" ref="Q49:BA49" si="53">SUM(Q37:Q48)</f>
        <v>1</v>
      </c>
      <c r="R49" s="87">
        <f t="shared" si="53"/>
        <v>0</v>
      </c>
      <c r="S49" s="96">
        <f t="shared" ref="S49:T49" si="54">SUM(S37:S48)</f>
        <v>0</v>
      </c>
      <c r="T49" s="96">
        <f t="shared" si="54"/>
        <v>0</v>
      </c>
      <c r="U49" s="450" t="e">
        <f t="shared" si="40"/>
        <v>#DIV/0!</v>
      </c>
      <c r="V49" s="90">
        <f t="shared" si="53"/>
        <v>54</v>
      </c>
      <c r="W49" s="87">
        <f t="shared" si="53"/>
        <v>82</v>
      </c>
      <c r="X49" s="96">
        <f t="shared" ref="X49:Y49" si="55">SUM(X37:X48)</f>
        <v>83</v>
      </c>
      <c r="Y49" s="96">
        <f t="shared" si="55"/>
        <v>1</v>
      </c>
      <c r="Z49" s="450">
        <f t="shared" si="41"/>
        <v>-0.98795180722891562</v>
      </c>
      <c r="AA49" s="90">
        <f t="shared" si="53"/>
        <v>1</v>
      </c>
      <c r="AB49" s="87">
        <f t="shared" si="53"/>
        <v>70</v>
      </c>
      <c r="AC49" s="96">
        <f t="shared" ref="AC49:AD49" si="56">SUM(AC37:AC48)</f>
        <v>85</v>
      </c>
      <c r="AD49" s="96">
        <f t="shared" si="56"/>
        <v>0</v>
      </c>
      <c r="AE49" s="450">
        <f t="shared" si="42"/>
        <v>-1</v>
      </c>
      <c r="AF49" s="90">
        <f t="shared" si="53"/>
        <v>5</v>
      </c>
      <c r="AG49" s="87">
        <f t="shared" si="53"/>
        <v>17</v>
      </c>
      <c r="AH49" s="96">
        <f t="shared" ref="AH49:AI49" si="57">SUM(AH37:AH48)</f>
        <v>11</v>
      </c>
      <c r="AI49" s="96">
        <f t="shared" si="57"/>
        <v>0</v>
      </c>
      <c r="AJ49" s="450">
        <f t="shared" si="43"/>
        <v>-1</v>
      </c>
      <c r="AK49" s="90">
        <f t="shared" si="53"/>
        <v>45</v>
      </c>
      <c r="AL49" s="87">
        <f t="shared" si="53"/>
        <v>45</v>
      </c>
      <c r="AM49" s="96">
        <f t="shared" ref="AM49:AN49" si="58">SUM(AM37:AM48)</f>
        <v>75</v>
      </c>
      <c r="AN49" s="96">
        <f t="shared" si="58"/>
        <v>0</v>
      </c>
      <c r="AO49" s="450">
        <f t="shared" si="44"/>
        <v>-1</v>
      </c>
      <c r="AP49" s="90">
        <f t="shared" si="53"/>
        <v>26</v>
      </c>
      <c r="AQ49" s="87">
        <f t="shared" si="53"/>
        <v>17</v>
      </c>
      <c r="AR49" s="96">
        <f t="shared" ref="AR49:AS49" si="59">SUM(AR37:AR48)</f>
        <v>17</v>
      </c>
      <c r="AS49" s="96">
        <f t="shared" si="59"/>
        <v>0</v>
      </c>
      <c r="AT49" s="450">
        <f t="shared" si="45"/>
        <v>-1</v>
      </c>
      <c r="AU49" s="90">
        <f t="shared" si="53"/>
        <v>3</v>
      </c>
      <c r="AV49" s="87">
        <f t="shared" si="53"/>
        <v>60</v>
      </c>
      <c r="AW49" s="96">
        <f t="shared" ref="AW49:AX49" si="60">SUM(AW37:AW48)</f>
        <v>87</v>
      </c>
      <c r="AX49" s="96">
        <f t="shared" si="60"/>
        <v>0</v>
      </c>
      <c r="AY49" s="450">
        <f t="shared" si="46"/>
        <v>-1</v>
      </c>
      <c r="AZ49" s="90">
        <f t="shared" si="53"/>
        <v>6</v>
      </c>
      <c r="BA49" s="87">
        <f t="shared" si="53"/>
        <v>779</v>
      </c>
      <c r="BB49" s="96">
        <f t="shared" ref="BB49:BC49" si="61">SUM(BB37:BB48)</f>
        <v>942</v>
      </c>
      <c r="BC49" s="96">
        <f t="shared" si="61"/>
        <v>0</v>
      </c>
      <c r="BD49" s="450">
        <f t="shared" si="47"/>
        <v>-1</v>
      </c>
      <c r="BE49" s="87">
        <f>SUM(BE37:BE48)</f>
        <v>148</v>
      </c>
      <c r="BF49" s="96">
        <f t="shared" ref="BF49:BG49" si="62">SUM(BF37:BF48)</f>
        <v>233</v>
      </c>
      <c r="BG49" s="96">
        <f t="shared" si="62"/>
        <v>2</v>
      </c>
      <c r="BH49" s="450">
        <f t="shared" si="48"/>
        <v>-0.99141630901287559</v>
      </c>
      <c r="BI49" s="87">
        <f>SUM(BI37:BI48)</f>
        <v>9</v>
      </c>
      <c r="BJ49" s="96">
        <f t="shared" ref="BJ49:BK49" si="63">SUM(BJ37:BJ48)</f>
        <v>3</v>
      </c>
      <c r="BK49" s="96">
        <f t="shared" si="63"/>
        <v>0</v>
      </c>
      <c r="BL49" s="450">
        <f>(BK49-BJ49)/BJ49</f>
        <v>-1</v>
      </c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25"/>
      <c r="CC49" s="25"/>
      <c r="CD49" s="25"/>
      <c r="CE49" s="25"/>
      <c r="CF49" s="25"/>
      <c r="CG49" s="25"/>
      <c r="CH49" s="25"/>
      <c r="CI49" s="25"/>
    </row>
    <row r="50" spans="1:87" ht="20.100000000000001" customHeight="1" thickBot="1">
      <c r="A50" s="48"/>
      <c r="B50" s="48"/>
      <c r="C50" s="48"/>
      <c r="D50" s="48"/>
      <c r="E50" s="48"/>
      <c r="F50" s="49"/>
      <c r="G50" s="49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48"/>
      <c r="S50" s="48"/>
      <c r="T50" s="49"/>
      <c r="U50" s="48"/>
      <c r="V50" s="48"/>
      <c r="W50" s="48"/>
      <c r="X50" s="48"/>
      <c r="Y50" s="48"/>
      <c r="Z50" s="48"/>
      <c r="AA50" s="49"/>
      <c r="AB50" s="48"/>
      <c r="AC50" s="48"/>
      <c r="AD50" s="48"/>
      <c r="AE50" s="48"/>
      <c r="AF50" s="48"/>
      <c r="AG50" s="49"/>
      <c r="AH50" s="48"/>
      <c r="AI50" s="48"/>
      <c r="AJ50" s="48"/>
      <c r="AK50" s="49"/>
      <c r="AL50" s="49"/>
      <c r="AM50" s="49"/>
      <c r="AN50" s="50"/>
      <c r="AO50" s="34"/>
      <c r="AP50" s="34"/>
      <c r="AQ50" s="48"/>
      <c r="AR50" s="48"/>
      <c r="AS50" s="48"/>
      <c r="AT50" s="48"/>
      <c r="AU50" s="49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25"/>
      <c r="BR50" s="25"/>
      <c r="BS50" s="25"/>
      <c r="BT50" s="25"/>
      <c r="BU50" s="25"/>
      <c r="BV50" s="25"/>
      <c r="BW50" s="25"/>
      <c r="BX50" s="25"/>
    </row>
    <row r="51" spans="1:87" ht="74.25" customHeight="1" thickBot="1">
      <c r="A51" s="36" t="s">
        <v>1</v>
      </c>
      <c r="B51" s="462" t="s">
        <v>148</v>
      </c>
      <c r="C51" s="463"/>
      <c r="D51" s="463"/>
      <c r="E51" s="464"/>
      <c r="F51" s="462" t="s">
        <v>149</v>
      </c>
      <c r="G51" s="463"/>
      <c r="H51" s="463"/>
      <c r="I51" s="464"/>
      <c r="J51" s="462" t="s">
        <v>162</v>
      </c>
      <c r="K51" s="463"/>
      <c r="L51" s="463"/>
      <c r="M51" s="464"/>
      <c r="N51" s="462" t="s">
        <v>175</v>
      </c>
      <c r="O51" s="463"/>
      <c r="P51" s="463"/>
      <c r="Q51" s="464"/>
      <c r="R51" s="462" t="s">
        <v>177</v>
      </c>
      <c r="S51" s="463"/>
      <c r="T51" s="463"/>
      <c r="U51" s="464"/>
      <c r="V51" s="462" t="s">
        <v>180</v>
      </c>
      <c r="W51" s="463"/>
      <c r="X51" s="463"/>
      <c r="Y51" s="464"/>
      <c r="Z51" s="462" t="s">
        <v>187</v>
      </c>
      <c r="AA51" s="463"/>
      <c r="AB51" s="463"/>
      <c r="AC51" s="464"/>
      <c r="AD51" s="462" t="s">
        <v>192</v>
      </c>
      <c r="AE51" s="463"/>
      <c r="AF51" s="463"/>
      <c r="AG51" s="464"/>
      <c r="AH51" s="462" t="s">
        <v>204</v>
      </c>
      <c r="AI51" s="463"/>
      <c r="AJ51" s="463"/>
      <c r="AK51" s="464"/>
      <c r="AL51" s="462" t="s">
        <v>205</v>
      </c>
      <c r="AM51" s="463"/>
      <c r="AN51" s="463"/>
      <c r="AO51" s="464"/>
      <c r="AP51" s="462" t="s">
        <v>207</v>
      </c>
      <c r="AQ51" s="463"/>
      <c r="AR51" s="463"/>
      <c r="AS51" s="464"/>
      <c r="AT51" s="462" t="s">
        <v>208</v>
      </c>
      <c r="AU51" s="463"/>
      <c r="AV51" s="463"/>
      <c r="AW51" s="464"/>
      <c r="AX51" s="462" t="s">
        <v>218</v>
      </c>
      <c r="AY51" s="463"/>
      <c r="AZ51" s="463"/>
      <c r="BA51" s="464"/>
      <c r="BB51" s="462" t="s">
        <v>211</v>
      </c>
      <c r="BC51" s="463"/>
      <c r="BD51" s="463"/>
      <c r="BE51" s="464"/>
      <c r="BF51" s="462" t="s">
        <v>219</v>
      </c>
      <c r="BG51" s="463"/>
      <c r="BH51" s="463"/>
      <c r="BI51" s="464"/>
      <c r="BJ51" s="462" t="s">
        <v>220</v>
      </c>
      <c r="BK51" s="463"/>
      <c r="BL51" s="463"/>
      <c r="BM51" s="464"/>
      <c r="BN51" s="34"/>
      <c r="BO51" s="34"/>
      <c r="BP51" s="34"/>
      <c r="BQ51" s="34"/>
      <c r="BR51" s="34"/>
      <c r="BS51" s="34"/>
      <c r="BZ51" s="34"/>
    </row>
    <row r="52" spans="1:87" ht="74.25" customHeight="1">
      <c r="A52" s="37" t="s">
        <v>6</v>
      </c>
      <c r="B52" s="51" t="s">
        <v>110</v>
      </c>
      <c r="C52" s="39" t="s">
        <v>223</v>
      </c>
      <c r="D52" s="39" t="s">
        <v>287</v>
      </c>
      <c r="E52" s="43" t="s">
        <v>11</v>
      </c>
      <c r="F52" s="51" t="s">
        <v>110</v>
      </c>
      <c r="G52" s="39" t="s">
        <v>223</v>
      </c>
      <c r="H52" s="39" t="s">
        <v>287</v>
      </c>
      <c r="I52" s="43" t="s">
        <v>11</v>
      </c>
      <c r="J52" s="51" t="s">
        <v>110</v>
      </c>
      <c r="K52" s="39" t="s">
        <v>223</v>
      </c>
      <c r="L52" s="39" t="s">
        <v>287</v>
      </c>
      <c r="M52" s="43" t="s">
        <v>11</v>
      </c>
      <c r="N52" s="51" t="s">
        <v>110</v>
      </c>
      <c r="O52" s="39" t="s">
        <v>223</v>
      </c>
      <c r="P52" s="39" t="s">
        <v>287</v>
      </c>
      <c r="Q52" s="43" t="s">
        <v>11</v>
      </c>
      <c r="R52" s="51" t="s">
        <v>110</v>
      </c>
      <c r="S52" s="39" t="s">
        <v>223</v>
      </c>
      <c r="T52" s="39" t="s">
        <v>287</v>
      </c>
      <c r="U52" s="43" t="s">
        <v>11</v>
      </c>
      <c r="V52" s="51" t="s">
        <v>110</v>
      </c>
      <c r="W52" s="39" t="s">
        <v>223</v>
      </c>
      <c r="X52" s="39" t="s">
        <v>287</v>
      </c>
      <c r="Y52" s="43" t="s">
        <v>11</v>
      </c>
      <c r="Z52" s="51" t="s">
        <v>110</v>
      </c>
      <c r="AA52" s="39" t="s">
        <v>223</v>
      </c>
      <c r="AB52" s="39" t="s">
        <v>287</v>
      </c>
      <c r="AC52" s="43" t="s">
        <v>11</v>
      </c>
      <c r="AD52" s="51" t="s">
        <v>110</v>
      </c>
      <c r="AE52" s="39" t="s">
        <v>223</v>
      </c>
      <c r="AF52" s="39" t="s">
        <v>287</v>
      </c>
      <c r="AG52" s="43" t="s">
        <v>11</v>
      </c>
      <c r="AH52" s="51" t="s">
        <v>110</v>
      </c>
      <c r="AI52" s="39" t="s">
        <v>223</v>
      </c>
      <c r="AJ52" s="39" t="s">
        <v>287</v>
      </c>
      <c r="AK52" s="43" t="s">
        <v>11</v>
      </c>
      <c r="AL52" s="51" t="s">
        <v>110</v>
      </c>
      <c r="AM52" s="39" t="s">
        <v>223</v>
      </c>
      <c r="AN52" s="39" t="s">
        <v>287</v>
      </c>
      <c r="AO52" s="43" t="s">
        <v>11</v>
      </c>
      <c r="AP52" s="51" t="s">
        <v>110</v>
      </c>
      <c r="AQ52" s="39" t="s">
        <v>223</v>
      </c>
      <c r="AR52" s="39" t="s">
        <v>287</v>
      </c>
      <c r="AS52" s="43" t="s">
        <v>11</v>
      </c>
      <c r="AT52" s="51" t="s">
        <v>110</v>
      </c>
      <c r="AU52" s="39" t="s">
        <v>223</v>
      </c>
      <c r="AV52" s="39" t="s">
        <v>287</v>
      </c>
      <c r="AW52" s="43" t="s">
        <v>11</v>
      </c>
      <c r="AX52" s="51" t="s">
        <v>110</v>
      </c>
      <c r="AY52" s="39" t="s">
        <v>223</v>
      </c>
      <c r="AZ52" s="39" t="s">
        <v>287</v>
      </c>
      <c r="BA52" s="43" t="s">
        <v>11</v>
      </c>
      <c r="BB52" s="51" t="s">
        <v>110</v>
      </c>
      <c r="BC52" s="39" t="s">
        <v>223</v>
      </c>
      <c r="BD52" s="39" t="s">
        <v>287</v>
      </c>
      <c r="BE52" s="43" t="s">
        <v>11</v>
      </c>
      <c r="BF52" s="51" t="s">
        <v>110</v>
      </c>
      <c r="BG52" s="39" t="s">
        <v>223</v>
      </c>
      <c r="BH52" s="39" t="s">
        <v>287</v>
      </c>
      <c r="BI52" s="43" t="s">
        <v>11</v>
      </c>
      <c r="BJ52" s="51" t="s">
        <v>110</v>
      </c>
      <c r="BK52" s="39" t="s">
        <v>223</v>
      </c>
      <c r="BL52" s="39" t="s">
        <v>287</v>
      </c>
      <c r="BM52" s="43" t="s">
        <v>11</v>
      </c>
      <c r="BN52" s="34"/>
      <c r="BO52" s="34"/>
      <c r="BP52" s="34"/>
      <c r="BQ52" s="34"/>
      <c r="BR52" s="34"/>
      <c r="BS52" s="34"/>
      <c r="BZ52" s="34"/>
    </row>
    <row r="53" spans="1:87" ht="74.25" customHeight="1">
      <c r="A53" s="199" t="s">
        <v>12</v>
      </c>
      <c r="B53" s="82">
        <f>'外国語実績201201-201712'!M1969</f>
        <v>2</v>
      </c>
      <c r="C53" s="104">
        <f>'外国語実績201201-201712'!M1981</f>
        <v>0</v>
      </c>
      <c r="D53" s="104">
        <f>'外国語実績201201-201712'!M1993</f>
        <v>0</v>
      </c>
      <c r="E53" s="88" t="e">
        <f>(D53-C53)/C53</f>
        <v>#DIV/0!</v>
      </c>
      <c r="F53" s="82">
        <f>'外国語実績201201-201712'!M2009</f>
        <v>1</v>
      </c>
      <c r="G53" s="104">
        <f>'外国語実績201201-201712'!M2021</f>
        <v>7</v>
      </c>
      <c r="H53" s="104">
        <f>'外国語実績201201-201712'!M2033</f>
        <v>0</v>
      </c>
      <c r="I53" s="88">
        <f>(H53-G53)/G53</f>
        <v>-1</v>
      </c>
      <c r="J53" s="82">
        <f>'外国語実績201201-201712'!M2049</f>
        <v>0</v>
      </c>
      <c r="K53" s="104">
        <f>'外国語実績201201-201712'!M2061</f>
        <v>0</v>
      </c>
      <c r="L53" s="104">
        <f>'外国語実績201201-201712'!M2073</f>
        <v>0</v>
      </c>
      <c r="M53" s="88" t="e">
        <f>(L53-K53)/K53</f>
        <v>#DIV/0!</v>
      </c>
      <c r="N53" s="82">
        <f>'外国語実績201201-201712'!M2089</f>
        <v>0</v>
      </c>
      <c r="O53" s="104">
        <f>'外国語実績201201-201712'!M2101</f>
        <v>0</v>
      </c>
      <c r="P53" s="104">
        <f>'外国語実績201201-201712'!M2113</f>
        <v>0</v>
      </c>
      <c r="Q53" s="88" t="e">
        <f>(P53-O53)/O53</f>
        <v>#DIV/0!</v>
      </c>
      <c r="R53" s="82">
        <f>'外国語実績201201-201712'!M2129</f>
        <v>0</v>
      </c>
      <c r="S53" s="104">
        <f>'外国語実績201201-201712'!M2141</f>
        <v>0</v>
      </c>
      <c r="T53" s="104">
        <f>'外国語実績201201-201712'!M2153</f>
        <v>0</v>
      </c>
      <c r="U53" s="88" t="e">
        <f>(T53-S53)/S53</f>
        <v>#DIV/0!</v>
      </c>
      <c r="V53" s="82">
        <v>0</v>
      </c>
      <c r="W53" s="104">
        <f>'外国語実績201201-201712'!M2194</f>
        <v>0</v>
      </c>
      <c r="X53" s="104">
        <f>'外国語実績201201-201712'!M2206</f>
        <v>2</v>
      </c>
      <c r="Y53" s="88" t="e">
        <f>(X53-W53)/W53</f>
        <v>#DIV/0!</v>
      </c>
      <c r="Z53" s="82">
        <f>'外国語実績201201-201712'!M2224</f>
        <v>0</v>
      </c>
      <c r="AA53" s="104">
        <f>'外国語実績201201-201712'!M2236</f>
        <v>0</v>
      </c>
      <c r="AB53" s="104">
        <f>'外国語実績201201-201712'!M2248</f>
        <v>0</v>
      </c>
      <c r="AC53" s="88" t="e">
        <f>(AB53-AA53)/AA53</f>
        <v>#DIV/0!</v>
      </c>
      <c r="AD53" s="82"/>
      <c r="AE53" s="104">
        <f>'外国語実績201201-201712'!M2265</f>
        <v>1</v>
      </c>
      <c r="AF53" s="104">
        <f>'外国語実績201201-201712'!M2277</f>
        <v>0</v>
      </c>
      <c r="AG53" s="88">
        <f>(AF53-AE53)/AE53</f>
        <v>-1</v>
      </c>
      <c r="AH53" s="82"/>
      <c r="AI53" s="104">
        <f>'外国語実績201201-201712'!M2293</f>
        <v>0</v>
      </c>
      <c r="AJ53" s="104">
        <f>'外国語実績201201-201712'!M2305</f>
        <v>0</v>
      </c>
      <c r="AK53" s="88" t="e">
        <f>(AJ53-AI53)/AI53</f>
        <v>#DIV/0!</v>
      </c>
      <c r="AL53" s="82">
        <v>0</v>
      </c>
      <c r="AM53" s="104">
        <f>'外国語実績201201-201712'!M2328</f>
        <v>1</v>
      </c>
      <c r="AN53" s="104">
        <f>'外国語実績201201-201712'!M2340</f>
        <v>0</v>
      </c>
      <c r="AO53" s="88">
        <f>(AN53-AM53)/AM53</f>
        <v>-1</v>
      </c>
      <c r="AP53" s="82"/>
      <c r="AQ53" s="104">
        <f>'外国語実績201201-201712'!M2356</f>
        <v>1</v>
      </c>
      <c r="AR53" s="104">
        <f>'外国語実績201201-201712'!M2368</f>
        <v>0</v>
      </c>
      <c r="AS53" s="88">
        <f>(AR53-AQ53)/AQ53</f>
        <v>-1</v>
      </c>
      <c r="AT53" s="82"/>
      <c r="AU53" s="104">
        <f>'外国語実績201201-201712'!M2384</f>
        <v>0</v>
      </c>
      <c r="AV53" s="104">
        <f>'外国語実績201201-201712'!M2396</f>
        <v>0</v>
      </c>
      <c r="AW53" s="88" t="e">
        <f>(AV53-AU53)/AU53</f>
        <v>#DIV/0!</v>
      </c>
      <c r="AX53" s="82"/>
      <c r="AY53" s="104">
        <f>'外国語実績201201-201712'!M2412</f>
        <v>2</v>
      </c>
      <c r="AZ53" s="104">
        <f>'外国語実績201201-201712'!M2424</f>
        <v>0</v>
      </c>
      <c r="BA53" s="88">
        <f>(AZ53-AY53)/AY53</f>
        <v>-1</v>
      </c>
      <c r="BB53" s="82"/>
      <c r="BC53" s="104">
        <f>'外国語実績201201-201712'!M2440</f>
        <v>3</v>
      </c>
      <c r="BD53" s="104">
        <f>'外国語実績201201-201712'!M2452</f>
        <v>0</v>
      </c>
      <c r="BE53" s="88">
        <f>(BD53-BC53)/BC53</f>
        <v>-1</v>
      </c>
      <c r="BF53" s="82"/>
      <c r="BG53" s="104">
        <f>'外国語実績201201-201712'!M2468</f>
        <v>1</v>
      </c>
      <c r="BH53" s="104">
        <f>'外国語実績201201-201712'!M2480</f>
        <v>0</v>
      </c>
      <c r="BI53" s="88">
        <f>(BH53-BG53)/BG53</f>
        <v>-1</v>
      </c>
      <c r="BJ53" s="82"/>
      <c r="BK53" s="104">
        <f>'外国語実績201201-201712'!M2499</f>
        <v>0</v>
      </c>
      <c r="BL53" s="104">
        <f>'外国語実績201201-201712'!M2511</f>
        <v>0</v>
      </c>
      <c r="BM53" s="88" t="e">
        <f>(BL53-BK53)/BK53</f>
        <v>#DIV/0!</v>
      </c>
      <c r="BN53" s="34"/>
      <c r="BO53" s="34"/>
      <c r="BP53" s="34"/>
      <c r="BQ53" s="34"/>
      <c r="BR53" s="34"/>
      <c r="BS53" s="34"/>
      <c r="BZ53" s="34"/>
    </row>
    <row r="54" spans="1:87" ht="74.25" customHeight="1">
      <c r="A54" s="199" t="s">
        <v>13</v>
      </c>
      <c r="B54" s="82">
        <f>'外国語実績201201-201712'!M1970</f>
        <v>0</v>
      </c>
      <c r="C54" s="104">
        <f>'外国語実績201201-201712'!M1982</f>
        <v>1</v>
      </c>
      <c r="D54" s="104">
        <f>'外国語実績201201-201712'!M1994</f>
        <v>0</v>
      </c>
      <c r="E54" s="88">
        <f t="shared" ref="E54:E64" si="64">(D54-C54)/C54</f>
        <v>-1</v>
      </c>
      <c r="F54" s="82">
        <f>'外国語実績201201-201712'!M2010</f>
        <v>1</v>
      </c>
      <c r="G54" s="104">
        <f>'外国語実績201201-201712'!M2022</f>
        <v>9</v>
      </c>
      <c r="H54" s="104">
        <f>'外国語実績201201-201712'!M2034</f>
        <v>0</v>
      </c>
      <c r="I54" s="88">
        <f t="shared" ref="I54:I65" si="65">(H54-G54)/G54</f>
        <v>-1</v>
      </c>
      <c r="J54" s="82">
        <f>'外国語実績201201-201712'!M2050</f>
        <v>1</v>
      </c>
      <c r="K54" s="104">
        <f>'外国語実績201201-201712'!M2062</f>
        <v>1</v>
      </c>
      <c r="L54" s="104">
        <f>'外国語実績201201-201712'!M2074</f>
        <v>0</v>
      </c>
      <c r="M54" s="88">
        <f t="shared" ref="M54:M65" si="66">(L54-K54)/K54</f>
        <v>-1</v>
      </c>
      <c r="N54" s="82">
        <f>'外国語実績201201-201712'!M2090</f>
        <v>0</v>
      </c>
      <c r="O54" s="104">
        <f>'外国語実績201201-201712'!M2102</f>
        <v>0</v>
      </c>
      <c r="P54" s="104">
        <f>'外国語実績201201-201712'!M2114</f>
        <v>0</v>
      </c>
      <c r="Q54" s="88" t="e">
        <f t="shared" ref="Q54:Q64" si="67">(P54-O54)/O54</f>
        <v>#DIV/0!</v>
      </c>
      <c r="R54" s="82">
        <f>'外国語実績201201-201712'!M2130</f>
        <v>0</v>
      </c>
      <c r="S54" s="104">
        <f>'外国語実績201201-201712'!M2142</f>
        <v>0</v>
      </c>
      <c r="T54" s="104">
        <f>'外国語実績201201-201712'!M2154</f>
        <v>0</v>
      </c>
      <c r="U54" s="88" t="e">
        <f t="shared" ref="U54:U65" si="68">(T54-S54)/S54</f>
        <v>#DIV/0!</v>
      </c>
      <c r="V54" s="82">
        <v>0</v>
      </c>
      <c r="W54" s="104">
        <f>'外国語実績201201-201712'!M2195</f>
        <v>0</v>
      </c>
      <c r="X54" s="104">
        <f>'外国語実績201201-201712'!M2207</f>
        <v>0</v>
      </c>
      <c r="Y54" s="88" t="e">
        <f t="shared" ref="Y54:Y65" si="69">(X54-W54)/W54</f>
        <v>#DIV/0!</v>
      </c>
      <c r="Z54" s="82">
        <f>'外国語実績201201-201712'!M2225</f>
        <v>0</v>
      </c>
      <c r="AA54" s="104">
        <f>'外国語実績201201-201712'!M2237</f>
        <v>0</v>
      </c>
      <c r="AB54" s="104">
        <f>'外国語実績201201-201712'!M2249</f>
        <v>0</v>
      </c>
      <c r="AC54" s="88" t="e">
        <f t="shared" ref="AC54:AC65" si="70">(AB54-AA54)/AA54</f>
        <v>#DIV/0!</v>
      </c>
      <c r="AD54" s="82"/>
      <c r="AE54" s="104">
        <f>'外国語実績201201-201712'!M2266</f>
        <v>3</v>
      </c>
      <c r="AF54" s="104">
        <f>'外国語実績201201-201712'!M2278</f>
        <v>0</v>
      </c>
      <c r="AG54" s="88">
        <f t="shared" ref="AG54:AG65" si="71">(AF54-AE54)/AE54</f>
        <v>-1</v>
      </c>
      <c r="AH54" s="82"/>
      <c r="AI54" s="104">
        <f>'外国語実績201201-201712'!M2294</f>
        <v>1</v>
      </c>
      <c r="AJ54" s="104">
        <f>'外国語実績201201-201712'!M2306</f>
        <v>0</v>
      </c>
      <c r="AK54" s="88">
        <f t="shared" ref="AK54:AK65" si="72">(AJ54-AI54)/AI54</f>
        <v>-1</v>
      </c>
      <c r="AL54" s="82">
        <v>0</v>
      </c>
      <c r="AM54" s="104">
        <f>'外国語実績201201-201712'!M2329</f>
        <v>1</v>
      </c>
      <c r="AN54" s="104">
        <f>'外国語実績201201-201712'!M2341</f>
        <v>0</v>
      </c>
      <c r="AO54" s="88">
        <f t="shared" ref="AO54:AO65" si="73">(AN54-AM54)/AM54</f>
        <v>-1</v>
      </c>
      <c r="AP54" s="82"/>
      <c r="AQ54" s="104">
        <f>'外国語実績201201-201712'!M2357</f>
        <v>2</v>
      </c>
      <c r="AR54" s="104">
        <f>'外国語実績201201-201712'!M2369</f>
        <v>0</v>
      </c>
      <c r="AS54" s="88">
        <f t="shared" ref="AS54:AS65" si="74">(AR54-AQ54)/AQ54</f>
        <v>-1</v>
      </c>
      <c r="AT54" s="82"/>
      <c r="AU54" s="104">
        <f>'外国語実績201201-201712'!M2385</f>
        <v>3</v>
      </c>
      <c r="AV54" s="104">
        <f>'外国語実績201201-201712'!M2397</f>
        <v>0</v>
      </c>
      <c r="AW54" s="88">
        <f t="shared" ref="AW54:AW65" si="75">(AV54-AU54)/AU54</f>
        <v>-1</v>
      </c>
      <c r="AX54" s="82"/>
      <c r="AY54" s="104">
        <f>'外国語実績201201-201712'!M2413</f>
        <v>0</v>
      </c>
      <c r="AZ54" s="104">
        <f>'外国語実績201201-201712'!M2425</f>
        <v>0</v>
      </c>
      <c r="BA54" s="88" t="e">
        <f t="shared" ref="BA54:BA65" si="76">(AZ54-AY54)/AY54</f>
        <v>#DIV/0!</v>
      </c>
      <c r="BB54" s="82"/>
      <c r="BC54" s="104">
        <f>'外国語実績201201-201712'!M2441</f>
        <v>1</v>
      </c>
      <c r="BD54" s="104">
        <f>'外国語実績201201-201712'!M2453</f>
        <v>0</v>
      </c>
      <c r="BE54" s="88">
        <f t="shared" ref="BE54:BE65" si="77">(BD54-BC54)/BC54</f>
        <v>-1</v>
      </c>
      <c r="BF54" s="82"/>
      <c r="BG54" s="104">
        <f>'外国語実績201201-201712'!M2469</f>
        <v>2</v>
      </c>
      <c r="BH54" s="104">
        <f>'外国語実績201201-201712'!M2481</f>
        <v>0</v>
      </c>
      <c r="BI54" s="88">
        <f t="shared" ref="BI54:BI65" si="78">(BH54-BG54)/BG54</f>
        <v>-1</v>
      </c>
      <c r="BJ54" s="82"/>
      <c r="BK54" s="104">
        <f>'外国語実績201201-201712'!M2500</f>
        <v>0</v>
      </c>
      <c r="BL54" s="104">
        <f>'外国語実績201201-201712'!M2512</f>
        <v>0</v>
      </c>
      <c r="BM54" s="88" t="e">
        <f t="shared" ref="BM54:BM65" si="79">(BL54-BK54)/BK54</f>
        <v>#DIV/0!</v>
      </c>
      <c r="BN54" s="34"/>
      <c r="BO54" s="34"/>
      <c r="BP54" s="34"/>
      <c r="BQ54" s="34"/>
      <c r="BR54" s="34"/>
      <c r="BS54" s="34"/>
      <c r="BZ54" s="34"/>
    </row>
    <row r="55" spans="1:87" ht="74.25" customHeight="1">
      <c r="A55" s="217" t="s">
        <v>14</v>
      </c>
      <c r="B55" s="82">
        <f>'外国語実績201201-201712'!M1971</f>
        <v>0</v>
      </c>
      <c r="C55" s="104">
        <f>'外国語実績201201-201712'!M1983</f>
        <v>0</v>
      </c>
      <c r="D55" s="104">
        <f>'外国語実績201201-201712'!M1995</f>
        <v>2</v>
      </c>
      <c r="E55" s="88" t="e">
        <f t="shared" si="64"/>
        <v>#DIV/0!</v>
      </c>
      <c r="F55" s="82">
        <f>'外国語実績201201-201712'!M2011</f>
        <v>0</v>
      </c>
      <c r="G55" s="104">
        <f>'外国語実績201201-201712'!M2023</f>
        <v>6</v>
      </c>
      <c r="H55" s="104">
        <f>'外国語実績201201-201712'!M2035</f>
        <v>0</v>
      </c>
      <c r="I55" s="88">
        <f t="shared" si="65"/>
        <v>-1</v>
      </c>
      <c r="J55" s="82">
        <f>'外国語実績201201-201712'!M2051</f>
        <v>2</v>
      </c>
      <c r="K55" s="104">
        <f>'外国語実績201201-201712'!M2063</f>
        <v>2</v>
      </c>
      <c r="L55" s="104">
        <f>'外国語実績201201-201712'!M2075</f>
        <v>0</v>
      </c>
      <c r="M55" s="88">
        <f t="shared" si="66"/>
        <v>-1</v>
      </c>
      <c r="N55" s="82">
        <f>'外国語実績201201-201712'!M2091</f>
        <v>1</v>
      </c>
      <c r="O55" s="104">
        <f>'外国語実績201201-201712'!M2103</f>
        <v>0</v>
      </c>
      <c r="P55" s="104">
        <f>'外国語実績201201-201712'!M2115</f>
        <v>0</v>
      </c>
      <c r="Q55" s="88" t="e">
        <f t="shared" si="67"/>
        <v>#DIV/0!</v>
      </c>
      <c r="R55" s="82">
        <f>'外国語実績201201-201712'!M2131</f>
        <v>1</v>
      </c>
      <c r="S55" s="104">
        <f>'外国語実績201201-201712'!M2143</f>
        <v>0</v>
      </c>
      <c r="T55" s="104">
        <f>'外国語実績201201-201712'!M2155</f>
        <v>0</v>
      </c>
      <c r="U55" s="88" t="e">
        <f t="shared" si="68"/>
        <v>#DIV/0!</v>
      </c>
      <c r="V55" s="82">
        <v>0</v>
      </c>
      <c r="W55" s="104">
        <f>'外国語実績201201-201712'!M2196</f>
        <v>3</v>
      </c>
      <c r="X55" s="104">
        <f>'外国語実績201201-201712'!M2208</f>
        <v>0</v>
      </c>
      <c r="Y55" s="88">
        <f t="shared" si="69"/>
        <v>-1</v>
      </c>
      <c r="Z55" s="82">
        <f>'外国語実績201201-201712'!M2226</f>
        <v>0</v>
      </c>
      <c r="AA55" s="104">
        <f>'外国語実績201201-201712'!M2238</f>
        <v>0</v>
      </c>
      <c r="AB55" s="104">
        <f>'外国語実績201201-201712'!M2250</f>
        <v>0</v>
      </c>
      <c r="AC55" s="88" t="e">
        <f t="shared" si="70"/>
        <v>#DIV/0!</v>
      </c>
      <c r="AD55" s="82"/>
      <c r="AE55" s="104">
        <f>'外国語実績201201-201712'!M2267</f>
        <v>9</v>
      </c>
      <c r="AF55" s="104">
        <f>'外国語実績201201-201712'!M2279</f>
        <v>0</v>
      </c>
      <c r="AG55" s="88">
        <f t="shared" si="71"/>
        <v>-1</v>
      </c>
      <c r="AH55" s="82"/>
      <c r="AI55" s="104">
        <f>'外国語実績201201-201712'!M2295</f>
        <v>1</v>
      </c>
      <c r="AJ55" s="104">
        <f>'外国語実績201201-201712'!M2307</f>
        <v>1</v>
      </c>
      <c r="AK55" s="88">
        <f t="shared" si="72"/>
        <v>0</v>
      </c>
      <c r="AL55" s="82">
        <v>0</v>
      </c>
      <c r="AM55" s="104">
        <f>'外国語実績201201-201712'!M2330</f>
        <v>2</v>
      </c>
      <c r="AN55" s="104">
        <f>'外国語実績201201-201712'!M2342</f>
        <v>0</v>
      </c>
      <c r="AO55" s="88">
        <f t="shared" si="73"/>
        <v>-1</v>
      </c>
      <c r="AP55" s="82"/>
      <c r="AQ55" s="104">
        <f>'外国語実績201201-201712'!M2358</f>
        <v>2</v>
      </c>
      <c r="AR55" s="104">
        <f>'外国語実績201201-201712'!M2370</f>
        <v>0</v>
      </c>
      <c r="AS55" s="88">
        <f t="shared" si="74"/>
        <v>-1</v>
      </c>
      <c r="AT55" s="82"/>
      <c r="AU55" s="104">
        <f>'外国語実績201201-201712'!M2386</f>
        <v>2</v>
      </c>
      <c r="AV55" s="104">
        <f>'外国語実績201201-201712'!M2398</f>
        <v>0</v>
      </c>
      <c r="AW55" s="88">
        <f t="shared" si="75"/>
        <v>-1</v>
      </c>
      <c r="AX55" s="82"/>
      <c r="AY55" s="104">
        <f>'外国語実績201201-201712'!M2414</f>
        <v>0</v>
      </c>
      <c r="AZ55" s="104">
        <f>'外国語実績201201-201712'!M2426</f>
        <v>0</v>
      </c>
      <c r="BA55" s="88" t="e">
        <f t="shared" si="76"/>
        <v>#DIV/0!</v>
      </c>
      <c r="BB55" s="82"/>
      <c r="BC55" s="104">
        <f>'外国語実績201201-201712'!M2442</f>
        <v>1</v>
      </c>
      <c r="BD55" s="104">
        <f>'外国語実績201201-201712'!M2454</f>
        <v>0</v>
      </c>
      <c r="BE55" s="88">
        <f t="shared" si="77"/>
        <v>-1</v>
      </c>
      <c r="BF55" s="82"/>
      <c r="BG55" s="104">
        <f>'外国語実績201201-201712'!M2470</f>
        <v>1</v>
      </c>
      <c r="BH55" s="104">
        <f>'外国語実績201201-201712'!M2482</f>
        <v>0</v>
      </c>
      <c r="BI55" s="88">
        <f t="shared" si="78"/>
        <v>-1</v>
      </c>
      <c r="BJ55" s="82"/>
      <c r="BK55" s="104">
        <f>'外国語実績201201-201712'!M2501</f>
        <v>0</v>
      </c>
      <c r="BL55" s="104">
        <f>'外国語実績201201-201712'!M2513</f>
        <v>0</v>
      </c>
      <c r="BM55" s="88" t="e">
        <f t="shared" si="79"/>
        <v>#DIV/0!</v>
      </c>
      <c r="BN55" s="34"/>
      <c r="BO55" s="34"/>
      <c r="BP55" s="34"/>
      <c r="BQ55" s="34"/>
      <c r="BR55" s="34"/>
      <c r="BS55" s="34"/>
      <c r="BZ55" s="34"/>
    </row>
    <row r="56" spans="1:87" ht="74.25" customHeight="1">
      <c r="A56" s="225" t="s">
        <v>15</v>
      </c>
      <c r="B56" s="82">
        <f>'外国語実績201201-201712'!M1972</f>
        <v>4</v>
      </c>
      <c r="C56" s="104">
        <f>'外国語実績201201-201712'!M1984</f>
        <v>2</v>
      </c>
      <c r="D56" s="104">
        <f>'外国語実績201201-201712'!M1996</f>
        <v>0</v>
      </c>
      <c r="E56" s="88">
        <f t="shared" si="64"/>
        <v>-1</v>
      </c>
      <c r="F56" s="82">
        <f>'外国語実績201201-201712'!M2012</f>
        <v>2</v>
      </c>
      <c r="G56" s="104">
        <f>'外国語実績201201-201712'!M2024</f>
        <v>5</v>
      </c>
      <c r="H56" s="104">
        <f>'外国語実績201201-201712'!M2036</f>
        <v>0</v>
      </c>
      <c r="I56" s="88">
        <f t="shared" si="65"/>
        <v>-1</v>
      </c>
      <c r="J56" s="82">
        <f>'外国語実績201201-201712'!M2052</f>
        <v>5</v>
      </c>
      <c r="K56" s="104">
        <f>'外国語実績201201-201712'!M2064</f>
        <v>1</v>
      </c>
      <c r="L56" s="104">
        <f>'外国語実績201201-201712'!M2076</f>
        <v>0</v>
      </c>
      <c r="M56" s="88">
        <f t="shared" si="66"/>
        <v>-1</v>
      </c>
      <c r="N56" s="82">
        <f>'外国語実績201201-201712'!M2092</f>
        <v>0</v>
      </c>
      <c r="O56" s="104">
        <f>'外国語実績201201-201712'!M2104</f>
        <v>0</v>
      </c>
      <c r="P56" s="104">
        <f>'外国語実績201201-201712'!M2116</f>
        <v>0</v>
      </c>
      <c r="Q56" s="88" t="e">
        <f t="shared" si="67"/>
        <v>#DIV/0!</v>
      </c>
      <c r="R56" s="82">
        <f>'外国語実績201201-201712'!M2132</f>
        <v>1</v>
      </c>
      <c r="S56" s="104">
        <f>'外国語実績201201-201712'!M2144</f>
        <v>3</v>
      </c>
      <c r="T56" s="104">
        <f>'外国語実績201201-201712'!M2156</f>
        <v>0</v>
      </c>
      <c r="U56" s="88">
        <f t="shared" si="68"/>
        <v>-1</v>
      </c>
      <c r="V56" s="82">
        <f>'外国語実績201201-201712'!M2185</f>
        <v>1</v>
      </c>
      <c r="W56" s="104">
        <f>'外国語実績201201-201712'!M2197</f>
        <v>1</v>
      </c>
      <c r="X56" s="104">
        <f>'外国語実績201201-201712'!M2209</f>
        <v>0</v>
      </c>
      <c r="Y56" s="88">
        <f t="shared" si="69"/>
        <v>-1</v>
      </c>
      <c r="Z56" s="82">
        <f>'外国語実績201201-201712'!M2227</f>
        <v>0</v>
      </c>
      <c r="AA56" s="104">
        <f>'外国語実績201201-201712'!M2239</f>
        <v>0</v>
      </c>
      <c r="AB56" s="104">
        <f>'外国語実績201201-201712'!M2251</f>
        <v>0</v>
      </c>
      <c r="AC56" s="88" t="e">
        <f t="shared" si="70"/>
        <v>#DIV/0!</v>
      </c>
      <c r="AD56" s="82"/>
      <c r="AE56" s="104">
        <f>'外国語実績201201-201712'!M2268</f>
        <v>3</v>
      </c>
      <c r="AF56" s="104">
        <f>'外国語実績201201-201712'!M2280</f>
        <v>0</v>
      </c>
      <c r="AG56" s="88">
        <f t="shared" si="71"/>
        <v>-1</v>
      </c>
      <c r="AH56" s="82"/>
      <c r="AI56" s="104">
        <f>'外国語実績201201-201712'!M2296</f>
        <v>3</v>
      </c>
      <c r="AJ56" s="104">
        <f>'外国語実績201201-201712'!M2308</f>
        <v>0</v>
      </c>
      <c r="AK56" s="88">
        <f t="shared" si="72"/>
        <v>-1</v>
      </c>
      <c r="AL56" s="82">
        <v>0</v>
      </c>
      <c r="AM56" s="104">
        <f>'外国語実績201201-201712'!M2331</f>
        <v>2</v>
      </c>
      <c r="AN56" s="104">
        <f>'外国語実績201201-201712'!M2343</f>
        <v>0</v>
      </c>
      <c r="AO56" s="88">
        <f t="shared" si="73"/>
        <v>-1</v>
      </c>
      <c r="AP56" s="82"/>
      <c r="AQ56" s="104">
        <f>'外国語実績201201-201712'!M2359</f>
        <v>5</v>
      </c>
      <c r="AR56" s="104">
        <f>'外国語実績201201-201712'!M2371</f>
        <v>0</v>
      </c>
      <c r="AS56" s="88">
        <f t="shared" si="74"/>
        <v>-1</v>
      </c>
      <c r="AT56" s="82"/>
      <c r="AU56" s="104">
        <f>'外国語実績201201-201712'!M2387</f>
        <v>2</v>
      </c>
      <c r="AV56" s="104">
        <f>'外国語実績201201-201712'!M2399</f>
        <v>0</v>
      </c>
      <c r="AW56" s="88">
        <f t="shared" si="75"/>
        <v>-1</v>
      </c>
      <c r="AX56" s="82"/>
      <c r="AY56" s="104">
        <f>'外国語実績201201-201712'!M2415</f>
        <v>1</v>
      </c>
      <c r="AZ56" s="104">
        <f>'外国語実績201201-201712'!M2427</f>
        <v>0</v>
      </c>
      <c r="BA56" s="88">
        <f t="shared" si="76"/>
        <v>-1</v>
      </c>
      <c r="BB56" s="82"/>
      <c r="BC56" s="104">
        <f>'外国語実績201201-201712'!M2443</f>
        <v>3</v>
      </c>
      <c r="BD56" s="104">
        <f>'外国語実績201201-201712'!M2455</f>
        <v>0</v>
      </c>
      <c r="BE56" s="88">
        <f t="shared" si="77"/>
        <v>-1</v>
      </c>
      <c r="BF56" s="82"/>
      <c r="BG56" s="104">
        <f>'外国語実績201201-201712'!M2471</f>
        <v>2</v>
      </c>
      <c r="BH56" s="104">
        <f>'外国語実績201201-201712'!M2483</f>
        <v>0</v>
      </c>
      <c r="BI56" s="88">
        <f t="shared" si="78"/>
        <v>-1</v>
      </c>
      <c r="BJ56" s="82"/>
      <c r="BK56" s="104">
        <f>'外国語実績201201-201712'!M2502</f>
        <v>0</v>
      </c>
      <c r="BL56" s="104">
        <f>'外国語実績201201-201712'!M2514</f>
        <v>0</v>
      </c>
      <c r="BM56" s="88" t="e">
        <f t="shared" si="79"/>
        <v>#DIV/0!</v>
      </c>
      <c r="BN56" s="34"/>
      <c r="BO56" s="34"/>
      <c r="BP56" s="34"/>
      <c r="BQ56" s="34"/>
      <c r="BR56" s="34"/>
      <c r="BS56" s="34"/>
      <c r="BZ56" s="34"/>
    </row>
    <row r="57" spans="1:87" ht="74.25" customHeight="1">
      <c r="A57" s="199" t="s">
        <v>16</v>
      </c>
      <c r="B57" s="82">
        <f>'外国語実績201201-201712'!M1973</f>
        <v>0</v>
      </c>
      <c r="C57" s="104">
        <f>'外国語実績201201-201712'!M1985</f>
        <v>2</v>
      </c>
      <c r="D57" s="104">
        <f>'外国語実績201201-201712'!M1997</f>
        <v>0</v>
      </c>
      <c r="E57" s="88">
        <f t="shared" si="64"/>
        <v>-1</v>
      </c>
      <c r="F57" s="82">
        <f>'外国語実績201201-201712'!M2013</f>
        <v>3</v>
      </c>
      <c r="G57" s="104">
        <f>'外国語実績201201-201712'!M2025</f>
        <v>5</v>
      </c>
      <c r="H57" s="104">
        <f>'外国語実績201201-201712'!M2037</f>
        <v>0</v>
      </c>
      <c r="I57" s="88">
        <f t="shared" si="65"/>
        <v>-1</v>
      </c>
      <c r="J57" s="82">
        <f>'外国語実績201201-201712'!M2053</f>
        <v>7</v>
      </c>
      <c r="K57" s="104">
        <f>'外国語実績201201-201712'!M2065</f>
        <v>0</v>
      </c>
      <c r="L57" s="104">
        <f>'外国語実績201201-201712'!M2077</f>
        <v>0</v>
      </c>
      <c r="M57" s="88" t="e">
        <f t="shared" si="66"/>
        <v>#DIV/0!</v>
      </c>
      <c r="N57" s="82">
        <f>'外国語実績201201-201712'!M2093</f>
        <v>0</v>
      </c>
      <c r="O57" s="104">
        <f>'外国語実績201201-201712'!M2105</f>
        <v>0</v>
      </c>
      <c r="P57" s="104">
        <f>'外国語実績201201-201712'!M2117</f>
        <v>0</v>
      </c>
      <c r="Q57" s="88" t="e">
        <f t="shared" si="67"/>
        <v>#DIV/0!</v>
      </c>
      <c r="R57" s="82">
        <f>'外国語実績201201-201712'!M2133</f>
        <v>0</v>
      </c>
      <c r="S57" s="104">
        <f>'外国語実績201201-201712'!M2145</f>
        <v>1</v>
      </c>
      <c r="T57" s="104">
        <f>'外国語実績201201-201712'!M2157</f>
        <v>0</v>
      </c>
      <c r="U57" s="88">
        <f t="shared" si="68"/>
        <v>-1</v>
      </c>
      <c r="V57" s="82">
        <f>'外国語実績201201-201712'!M2186</f>
        <v>0</v>
      </c>
      <c r="W57" s="104">
        <f>'外国語実績201201-201712'!M2198</f>
        <v>0</v>
      </c>
      <c r="X57" s="104">
        <f>'外国語実績201201-201712'!M2210</f>
        <v>0</v>
      </c>
      <c r="Y57" s="88" t="e">
        <f t="shared" si="69"/>
        <v>#DIV/0!</v>
      </c>
      <c r="Z57" s="82">
        <f>'外国語実績201201-201712'!M2228</f>
        <v>0</v>
      </c>
      <c r="AA57" s="104">
        <f>'外国語実績201201-201712'!M2240</f>
        <v>0</v>
      </c>
      <c r="AB57" s="104">
        <f>'外国語実績201201-201712'!M2252</f>
        <v>0</v>
      </c>
      <c r="AC57" s="88" t="e">
        <f t="shared" si="70"/>
        <v>#DIV/0!</v>
      </c>
      <c r="AD57" s="82"/>
      <c r="AE57" s="104">
        <f>'外国語実績201201-201712'!M2269</f>
        <v>5</v>
      </c>
      <c r="AF57" s="104">
        <f>'外国語実績201201-201712'!M2281</f>
        <v>0</v>
      </c>
      <c r="AG57" s="88">
        <f t="shared" si="71"/>
        <v>-1</v>
      </c>
      <c r="AH57" s="82"/>
      <c r="AI57" s="104">
        <f>'外国語実績201201-201712'!M2297</f>
        <v>1</v>
      </c>
      <c r="AJ57" s="104">
        <f>'外国語実績201201-201712'!M2309</f>
        <v>0</v>
      </c>
      <c r="AK57" s="88">
        <f t="shared" si="72"/>
        <v>-1</v>
      </c>
      <c r="AL57" s="82">
        <v>0</v>
      </c>
      <c r="AM57" s="104">
        <f>'外国語実績201201-201712'!M2332</f>
        <v>2</v>
      </c>
      <c r="AN57" s="104">
        <f>'外国語実績201201-201712'!M2344</f>
        <v>0</v>
      </c>
      <c r="AO57" s="88">
        <f t="shared" si="73"/>
        <v>-1</v>
      </c>
      <c r="AP57" s="82"/>
      <c r="AQ57" s="104">
        <f>'外国語実績201201-201712'!M2360</f>
        <v>3</v>
      </c>
      <c r="AR57" s="104">
        <f>'外国語実績201201-201712'!M2372</f>
        <v>0</v>
      </c>
      <c r="AS57" s="88">
        <f t="shared" si="74"/>
        <v>-1</v>
      </c>
      <c r="AT57" s="82"/>
      <c r="AU57" s="104">
        <f>'外国語実績201201-201712'!M2388</f>
        <v>2</v>
      </c>
      <c r="AV57" s="104">
        <f>'外国語実績201201-201712'!M2400</f>
        <v>0</v>
      </c>
      <c r="AW57" s="88">
        <f t="shared" si="75"/>
        <v>-1</v>
      </c>
      <c r="AX57" s="82"/>
      <c r="AY57" s="104">
        <f>'外国語実績201201-201712'!M2416</f>
        <v>3</v>
      </c>
      <c r="AZ57" s="104">
        <f>'外国語実績201201-201712'!M2428</f>
        <v>0</v>
      </c>
      <c r="BA57" s="88">
        <f t="shared" si="76"/>
        <v>-1</v>
      </c>
      <c r="BB57" s="82"/>
      <c r="BC57" s="104">
        <f>'外国語実績201201-201712'!M2444</f>
        <v>1</v>
      </c>
      <c r="BD57" s="104">
        <f>'外国語実績201201-201712'!M2456</f>
        <v>0</v>
      </c>
      <c r="BE57" s="88">
        <f t="shared" si="77"/>
        <v>-1</v>
      </c>
      <c r="BF57" s="82"/>
      <c r="BG57" s="104">
        <f>'外国語実績201201-201712'!M2472</f>
        <v>0</v>
      </c>
      <c r="BH57" s="104">
        <f>'外国語実績201201-201712'!M2484</f>
        <v>0</v>
      </c>
      <c r="BI57" s="88" t="e">
        <f t="shared" si="78"/>
        <v>#DIV/0!</v>
      </c>
      <c r="BJ57" s="82"/>
      <c r="BK57" s="104">
        <f>'外国語実績201201-201712'!M2503</f>
        <v>0</v>
      </c>
      <c r="BL57" s="104">
        <f>'外国語実績201201-201712'!M2515</f>
        <v>0</v>
      </c>
      <c r="BM57" s="88" t="e">
        <f t="shared" si="79"/>
        <v>#DIV/0!</v>
      </c>
      <c r="BN57" s="34"/>
      <c r="BO57" s="34"/>
      <c r="BP57" s="34"/>
      <c r="BQ57" s="34"/>
      <c r="BR57" s="34"/>
      <c r="BS57" s="34"/>
      <c r="BZ57" s="34"/>
    </row>
    <row r="58" spans="1:87" ht="74.25" customHeight="1">
      <c r="A58" s="199" t="s">
        <v>17</v>
      </c>
      <c r="B58" s="82">
        <f>'外国語実績201201-201712'!M1974</f>
        <v>0</v>
      </c>
      <c r="C58" s="104">
        <f>'外国語実績201201-201712'!M1986</f>
        <v>1</v>
      </c>
      <c r="D58" s="104">
        <f>'外国語実績201201-201712'!M1998</f>
        <v>0</v>
      </c>
      <c r="E58" s="88">
        <f t="shared" si="64"/>
        <v>-1</v>
      </c>
      <c r="F58" s="82">
        <f>'外国語実績201201-201712'!M2014</f>
        <v>3</v>
      </c>
      <c r="G58" s="104">
        <f>'外国語実績201201-201712'!M2026</f>
        <v>3</v>
      </c>
      <c r="H58" s="104">
        <f>'外国語実績201201-201712'!M2038</f>
        <v>0</v>
      </c>
      <c r="I58" s="88">
        <f t="shared" si="65"/>
        <v>-1</v>
      </c>
      <c r="J58" s="82">
        <f>'外国語実績201201-201712'!M2054</f>
        <v>0</v>
      </c>
      <c r="K58" s="104">
        <f>'外国語実績201201-201712'!M2066</f>
        <v>1</v>
      </c>
      <c r="L58" s="104">
        <f>'外国語実績201201-201712'!M2078</f>
        <v>0</v>
      </c>
      <c r="M58" s="88">
        <f t="shared" si="66"/>
        <v>-1</v>
      </c>
      <c r="N58" s="82">
        <f>'外国語実績201201-201712'!M2094</f>
        <v>0</v>
      </c>
      <c r="O58" s="104">
        <f>'外国語実績201201-201712'!M2106</f>
        <v>0</v>
      </c>
      <c r="P58" s="104">
        <f>'外国語実績201201-201712'!M2118</f>
        <v>0</v>
      </c>
      <c r="Q58" s="88" t="e">
        <f t="shared" si="67"/>
        <v>#DIV/0!</v>
      </c>
      <c r="R58" s="82">
        <f>'外国語実績201201-201712'!M2134</f>
        <v>2</v>
      </c>
      <c r="S58" s="104">
        <f>'外国語実績201201-201712'!M2146</f>
        <v>1</v>
      </c>
      <c r="T58" s="104">
        <f>'外国語実績201201-201712'!M2158</f>
        <v>0</v>
      </c>
      <c r="U58" s="88">
        <f t="shared" si="68"/>
        <v>-1</v>
      </c>
      <c r="V58" s="82">
        <f>'外国語実績201201-201712'!M2187</f>
        <v>0</v>
      </c>
      <c r="W58" s="104">
        <f>'外国語実績201201-201712'!M2199</f>
        <v>0</v>
      </c>
      <c r="X58" s="104">
        <f>'外国語実績201201-201712'!M2211</f>
        <v>0</v>
      </c>
      <c r="Y58" s="88" t="e">
        <f t="shared" si="69"/>
        <v>#DIV/0!</v>
      </c>
      <c r="Z58" s="82">
        <f>'外国語実績201201-201712'!M2229</f>
        <v>0</v>
      </c>
      <c r="AA58" s="104">
        <f>'外国語実績201201-201712'!M2241</f>
        <v>2</v>
      </c>
      <c r="AB58" s="104">
        <f>'外国語実績201201-201712'!M2253</f>
        <v>0</v>
      </c>
      <c r="AC58" s="88">
        <f t="shared" si="70"/>
        <v>-1</v>
      </c>
      <c r="AD58" s="82"/>
      <c r="AE58" s="104">
        <f>'外国語実績201201-201712'!M2270</f>
        <v>2</v>
      </c>
      <c r="AF58" s="104">
        <f>'外国語実績201201-201712'!M2282</f>
        <v>0</v>
      </c>
      <c r="AG58" s="88">
        <f t="shared" si="71"/>
        <v>-1</v>
      </c>
      <c r="AH58" s="82"/>
      <c r="AI58" s="104">
        <f>'外国語実績201201-201712'!M2298</f>
        <v>1</v>
      </c>
      <c r="AJ58" s="104">
        <f>'外国語実績201201-201712'!M2310</f>
        <v>0</v>
      </c>
      <c r="AK58" s="88">
        <f t="shared" si="72"/>
        <v>-1</v>
      </c>
      <c r="AL58" s="82">
        <v>0</v>
      </c>
      <c r="AM58" s="104">
        <f>'外国語実績201201-201712'!M2333</f>
        <v>1</v>
      </c>
      <c r="AN58" s="104">
        <f>'外国語実績201201-201712'!M2345</f>
        <v>0</v>
      </c>
      <c r="AO58" s="88">
        <f t="shared" si="73"/>
        <v>-1</v>
      </c>
      <c r="AP58" s="82"/>
      <c r="AQ58" s="104">
        <f>'外国語実績201201-201712'!M2361</f>
        <v>1</v>
      </c>
      <c r="AR58" s="104">
        <f>'外国語実績201201-201712'!M2373</f>
        <v>0</v>
      </c>
      <c r="AS58" s="88">
        <f t="shared" si="74"/>
        <v>-1</v>
      </c>
      <c r="AT58" s="82"/>
      <c r="AU58" s="104">
        <f>'外国語実績201201-201712'!M2389</f>
        <v>6</v>
      </c>
      <c r="AV58" s="104">
        <f>'外国語実績201201-201712'!M2401</f>
        <v>0</v>
      </c>
      <c r="AW58" s="88">
        <f t="shared" si="75"/>
        <v>-1</v>
      </c>
      <c r="AX58" s="82"/>
      <c r="AY58" s="104">
        <f>'外国語実績201201-201712'!M2417</f>
        <v>3</v>
      </c>
      <c r="AZ58" s="104">
        <f>'外国語実績201201-201712'!M2429</f>
        <v>0</v>
      </c>
      <c r="BA58" s="88">
        <f t="shared" si="76"/>
        <v>-1</v>
      </c>
      <c r="BB58" s="82"/>
      <c r="BC58" s="104">
        <f>'外国語実績201201-201712'!M2445</f>
        <v>2</v>
      </c>
      <c r="BD58" s="104">
        <f>'外国語実績201201-201712'!M2457</f>
        <v>0</v>
      </c>
      <c r="BE58" s="88">
        <f t="shared" si="77"/>
        <v>-1</v>
      </c>
      <c r="BF58" s="82"/>
      <c r="BG58" s="104">
        <f>'外国語実績201201-201712'!M2473</f>
        <v>0</v>
      </c>
      <c r="BH58" s="104">
        <f>'外国語実績201201-201712'!M2485</f>
        <v>0</v>
      </c>
      <c r="BI58" s="88" t="e">
        <f t="shared" si="78"/>
        <v>#DIV/0!</v>
      </c>
      <c r="BJ58" s="82"/>
      <c r="BK58" s="104">
        <f>'外国語実績201201-201712'!M2504</f>
        <v>0</v>
      </c>
      <c r="BL58" s="104">
        <f>'外国語実績201201-201712'!M2516</f>
        <v>0</v>
      </c>
      <c r="BM58" s="88" t="e">
        <f t="shared" si="79"/>
        <v>#DIV/0!</v>
      </c>
      <c r="BN58" s="34"/>
      <c r="BO58" s="34"/>
      <c r="BP58" s="34"/>
      <c r="BQ58" s="34"/>
      <c r="BR58" s="34"/>
      <c r="BS58" s="34"/>
      <c r="BZ58" s="34"/>
    </row>
    <row r="59" spans="1:87" ht="74.25" customHeight="1">
      <c r="A59" s="199" t="s">
        <v>18</v>
      </c>
      <c r="B59" s="82">
        <f>'外国語実績201201-201712'!M1975</f>
        <v>2</v>
      </c>
      <c r="C59" s="104">
        <f>'外国語実績201201-201712'!M1987</f>
        <v>3</v>
      </c>
      <c r="D59" s="104">
        <f>'外国語実績201201-201712'!M1999</f>
        <v>0</v>
      </c>
      <c r="E59" s="88">
        <f t="shared" si="64"/>
        <v>-1</v>
      </c>
      <c r="F59" s="82">
        <f>'外国語実績201201-201712'!M2015</f>
        <v>1</v>
      </c>
      <c r="G59" s="104">
        <f>'外国語実績201201-201712'!M2027</f>
        <v>2</v>
      </c>
      <c r="H59" s="104">
        <f>'外国語実績201201-201712'!M2039</f>
        <v>0</v>
      </c>
      <c r="I59" s="88">
        <f t="shared" si="65"/>
        <v>-1</v>
      </c>
      <c r="J59" s="82">
        <f>'外国語実績201201-201712'!M2055</f>
        <v>1</v>
      </c>
      <c r="K59" s="104">
        <f>'外国語実績201201-201712'!M2067</f>
        <v>8</v>
      </c>
      <c r="L59" s="104">
        <f>'外国語実績201201-201712'!M2079</f>
        <v>0</v>
      </c>
      <c r="M59" s="88">
        <f t="shared" si="66"/>
        <v>-1</v>
      </c>
      <c r="N59" s="82">
        <f>'外国語実績201201-201712'!M2095</f>
        <v>0</v>
      </c>
      <c r="O59" s="104">
        <f>'外国語実績201201-201712'!M2107</f>
        <v>0</v>
      </c>
      <c r="P59" s="104">
        <f>'外国語実績201201-201712'!M2119</f>
        <v>0</v>
      </c>
      <c r="Q59" s="88" t="e">
        <f t="shared" si="67"/>
        <v>#DIV/0!</v>
      </c>
      <c r="R59" s="82">
        <f>'外国語実績201201-201712'!M2135</f>
        <v>1</v>
      </c>
      <c r="S59" s="104">
        <f>'外国語実績201201-201712'!M2147</f>
        <v>0</v>
      </c>
      <c r="T59" s="104">
        <f>'外国語実績201201-201712'!M2159</f>
        <v>0</v>
      </c>
      <c r="U59" s="88" t="e">
        <f t="shared" si="68"/>
        <v>#DIV/0!</v>
      </c>
      <c r="V59" s="82">
        <f>'外国語実績201201-201712'!M2188</f>
        <v>2</v>
      </c>
      <c r="W59" s="104">
        <f>'外国語実績201201-201712'!M2200</f>
        <v>4</v>
      </c>
      <c r="X59" s="104">
        <f>'外国語実績201201-201712'!M2212</f>
        <v>0</v>
      </c>
      <c r="Y59" s="88">
        <f t="shared" si="69"/>
        <v>-1</v>
      </c>
      <c r="Z59" s="82">
        <f>'外国語実績201201-201712'!M2230</f>
        <v>1</v>
      </c>
      <c r="AA59" s="104">
        <f>'外国語実績201201-201712'!M2242</f>
        <v>0</v>
      </c>
      <c r="AB59" s="104">
        <f>'外国語実績201201-201712'!M2254</f>
        <v>0</v>
      </c>
      <c r="AC59" s="88" t="e">
        <f t="shared" si="70"/>
        <v>#DIV/0!</v>
      </c>
      <c r="AD59" s="82"/>
      <c r="AE59" s="104">
        <f>'外国語実績201201-201712'!M2271</f>
        <v>2</v>
      </c>
      <c r="AF59" s="104">
        <f>'外国語実績201201-201712'!M2283</f>
        <v>0</v>
      </c>
      <c r="AG59" s="88">
        <f t="shared" si="71"/>
        <v>-1</v>
      </c>
      <c r="AH59" s="82"/>
      <c r="AI59" s="104">
        <f>'外国語実績201201-201712'!M2299</f>
        <v>1</v>
      </c>
      <c r="AJ59" s="104">
        <f>'外国語実績201201-201712'!M2311</f>
        <v>0</v>
      </c>
      <c r="AK59" s="88">
        <f t="shared" si="72"/>
        <v>-1</v>
      </c>
      <c r="AL59" s="82">
        <v>0</v>
      </c>
      <c r="AM59" s="104">
        <f>'外国語実績201201-201712'!M2334</f>
        <v>2</v>
      </c>
      <c r="AN59" s="104">
        <f>'外国語実績201201-201712'!M2346</f>
        <v>0</v>
      </c>
      <c r="AO59" s="88">
        <f t="shared" si="73"/>
        <v>-1</v>
      </c>
      <c r="AP59" s="82"/>
      <c r="AQ59" s="104">
        <f>'外国語実績201201-201712'!M2362</f>
        <v>0</v>
      </c>
      <c r="AR59" s="104">
        <f>'外国語実績201201-201712'!M2374</f>
        <v>0</v>
      </c>
      <c r="AS59" s="88" t="e">
        <f t="shared" si="74"/>
        <v>#DIV/0!</v>
      </c>
      <c r="AT59" s="82"/>
      <c r="AU59" s="104">
        <f>'外国語実績201201-201712'!M2390</f>
        <v>3</v>
      </c>
      <c r="AV59" s="104">
        <f>'外国語実績201201-201712'!M2402</f>
        <v>0</v>
      </c>
      <c r="AW59" s="88">
        <f t="shared" si="75"/>
        <v>-1</v>
      </c>
      <c r="AX59" s="82"/>
      <c r="AY59" s="104">
        <f>'外国語実績201201-201712'!M2418</f>
        <v>2</v>
      </c>
      <c r="AZ59" s="104">
        <f>'外国語実績201201-201712'!M2430</f>
        <v>0</v>
      </c>
      <c r="BA59" s="88">
        <f t="shared" si="76"/>
        <v>-1</v>
      </c>
      <c r="BB59" s="82"/>
      <c r="BC59" s="104">
        <f>'外国語実績201201-201712'!M2446</f>
        <v>3</v>
      </c>
      <c r="BD59" s="104">
        <f>'外国語実績201201-201712'!M2458</f>
        <v>0</v>
      </c>
      <c r="BE59" s="88">
        <f t="shared" si="77"/>
        <v>-1</v>
      </c>
      <c r="BF59" s="82"/>
      <c r="BG59" s="104">
        <f>'外国語実績201201-201712'!M2474</f>
        <v>2</v>
      </c>
      <c r="BH59" s="104">
        <f>'外国語実績201201-201712'!M2486</f>
        <v>0</v>
      </c>
      <c r="BI59" s="88">
        <f t="shared" si="78"/>
        <v>-1</v>
      </c>
      <c r="BJ59" s="82"/>
      <c r="BK59" s="104">
        <f>'外国語実績201201-201712'!M2505</f>
        <v>0</v>
      </c>
      <c r="BL59" s="104">
        <f>'外国語実績201201-201712'!M2517</f>
        <v>0</v>
      </c>
      <c r="BM59" s="88" t="e">
        <f t="shared" si="79"/>
        <v>#DIV/0!</v>
      </c>
      <c r="BN59" s="34"/>
      <c r="BO59" s="34"/>
      <c r="BP59" s="34"/>
      <c r="BQ59" s="34"/>
      <c r="BR59" s="34"/>
      <c r="BS59" s="34"/>
      <c r="BZ59" s="34"/>
    </row>
    <row r="60" spans="1:87" ht="74.25" customHeight="1">
      <c r="A60" s="199" t="s">
        <v>19</v>
      </c>
      <c r="B60" s="82">
        <f>'外国語実績201201-201712'!M1976</f>
        <v>2</v>
      </c>
      <c r="C60" s="104">
        <f>'外国語実績201201-201712'!M1988</f>
        <v>1</v>
      </c>
      <c r="D60" s="104">
        <f>'外国語実績201201-201712'!M2000</f>
        <v>0</v>
      </c>
      <c r="E60" s="88">
        <f t="shared" si="64"/>
        <v>-1</v>
      </c>
      <c r="F60" s="82">
        <f>'外国語実績201201-201712'!M2016</f>
        <v>0</v>
      </c>
      <c r="G60" s="104">
        <f>'外国語実績201201-201712'!M2028</f>
        <v>0</v>
      </c>
      <c r="H60" s="104">
        <f>'外国語実績201201-201712'!M2040</f>
        <v>0</v>
      </c>
      <c r="I60" s="88" t="e">
        <f t="shared" si="65"/>
        <v>#DIV/0!</v>
      </c>
      <c r="J60" s="82">
        <f>'外国語実績201201-201712'!M2056</f>
        <v>4</v>
      </c>
      <c r="K60" s="104">
        <f>'外国語実績201201-201712'!M2068</f>
        <v>3</v>
      </c>
      <c r="L60" s="104">
        <f>'外国語実績201201-201712'!M2080</f>
        <v>0</v>
      </c>
      <c r="M60" s="88">
        <f t="shared" si="66"/>
        <v>-1</v>
      </c>
      <c r="N60" s="82">
        <f>'外国語実績201201-201712'!M2096</f>
        <v>0</v>
      </c>
      <c r="O60" s="104">
        <f>'外国語実績201201-201712'!M2108</f>
        <v>0</v>
      </c>
      <c r="P60" s="104">
        <f>'外国語実績201201-201712'!M2120</f>
        <v>0</v>
      </c>
      <c r="Q60" s="88" t="e">
        <f t="shared" si="67"/>
        <v>#DIV/0!</v>
      </c>
      <c r="R60" s="82">
        <f>'外国語実績201201-201712'!M2136</f>
        <v>0</v>
      </c>
      <c r="S60" s="104">
        <f>'外国語実績201201-201712'!M2148</f>
        <v>0</v>
      </c>
      <c r="T60" s="104">
        <f>'外国語実績201201-201712'!M2160</f>
        <v>0</v>
      </c>
      <c r="U60" s="88" t="e">
        <f t="shared" si="68"/>
        <v>#DIV/0!</v>
      </c>
      <c r="V60" s="82">
        <f>'外国語実績201201-201712'!M2189</f>
        <v>2</v>
      </c>
      <c r="W60" s="104">
        <f>'外国語実績201201-201712'!M2201</f>
        <v>0</v>
      </c>
      <c r="X60" s="104">
        <f>'外国語実績201201-201712'!M2213</f>
        <v>0</v>
      </c>
      <c r="Y60" s="88" t="e">
        <f t="shared" si="69"/>
        <v>#DIV/0!</v>
      </c>
      <c r="Z60" s="82">
        <f>'外国語実績201201-201712'!M2231</f>
        <v>1</v>
      </c>
      <c r="AA60" s="104">
        <f>'外国語実績201201-201712'!M2243</f>
        <v>0</v>
      </c>
      <c r="AB60" s="104">
        <f>'外国語実績201201-201712'!M2255</f>
        <v>0</v>
      </c>
      <c r="AC60" s="88" t="e">
        <f t="shared" si="70"/>
        <v>#DIV/0!</v>
      </c>
      <c r="AD60" s="82"/>
      <c r="AE60" s="104">
        <f>'外国語実績201201-201712'!M2272</f>
        <v>8</v>
      </c>
      <c r="AF60" s="104">
        <f>'外国語実績201201-201712'!M2284</f>
        <v>0</v>
      </c>
      <c r="AG60" s="88">
        <f t="shared" si="71"/>
        <v>-1</v>
      </c>
      <c r="AH60" s="82"/>
      <c r="AI60" s="104">
        <f>'外国語実績201201-201712'!M2300</f>
        <v>1</v>
      </c>
      <c r="AJ60" s="104">
        <f>'外国語実績201201-201712'!M2312</f>
        <v>0</v>
      </c>
      <c r="AK60" s="88">
        <f t="shared" si="72"/>
        <v>-1</v>
      </c>
      <c r="AL60" s="82">
        <v>0</v>
      </c>
      <c r="AM60" s="104">
        <f>'外国語実績201201-201712'!M2335</f>
        <v>1</v>
      </c>
      <c r="AN60" s="104">
        <f>'外国語実績201201-201712'!M2347</f>
        <v>0</v>
      </c>
      <c r="AO60" s="88">
        <f t="shared" si="73"/>
        <v>-1</v>
      </c>
      <c r="AP60" s="82"/>
      <c r="AQ60" s="104">
        <f>'外国語実績201201-201712'!M2363</f>
        <v>1</v>
      </c>
      <c r="AR60" s="104">
        <f>'外国語実績201201-201712'!M2375</f>
        <v>0</v>
      </c>
      <c r="AS60" s="88">
        <f t="shared" si="74"/>
        <v>-1</v>
      </c>
      <c r="AT60" s="82"/>
      <c r="AU60" s="104">
        <f>'外国語実績201201-201712'!M2391</f>
        <v>2</v>
      </c>
      <c r="AV60" s="104">
        <f>'外国語実績201201-201712'!M2403</f>
        <v>0</v>
      </c>
      <c r="AW60" s="88">
        <f t="shared" si="75"/>
        <v>-1</v>
      </c>
      <c r="AX60" s="82"/>
      <c r="AY60" s="104">
        <f>'外国語実績201201-201712'!M2419</f>
        <v>5</v>
      </c>
      <c r="AZ60" s="104">
        <f>'外国語実績201201-201712'!M2431</f>
        <v>0</v>
      </c>
      <c r="BA60" s="88">
        <f t="shared" si="76"/>
        <v>-1</v>
      </c>
      <c r="BB60" s="82"/>
      <c r="BC60" s="104">
        <f>'外国語実績201201-201712'!M2447</f>
        <v>1</v>
      </c>
      <c r="BD60" s="104">
        <f>'外国語実績201201-201712'!M2459</f>
        <v>0</v>
      </c>
      <c r="BE60" s="88">
        <f t="shared" si="77"/>
        <v>-1</v>
      </c>
      <c r="BF60" s="82"/>
      <c r="BG60" s="104">
        <f>'外国語実績201201-201712'!M2475</f>
        <v>0</v>
      </c>
      <c r="BH60" s="104">
        <f>'外国語実績201201-201712'!M2487</f>
        <v>0</v>
      </c>
      <c r="BI60" s="88" t="e">
        <f t="shared" si="78"/>
        <v>#DIV/0!</v>
      </c>
      <c r="BJ60" s="82"/>
      <c r="BK60" s="104">
        <f>'外国語実績201201-201712'!M2506</f>
        <v>0</v>
      </c>
      <c r="BL60" s="104">
        <f>'外国語実績201201-201712'!M2518</f>
        <v>0</v>
      </c>
      <c r="BM60" s="88" t="e">
        <f t="shared" si="79"/>
        <v>#DIV/0!</v>
      </c>
      <c r="BN60" s="34"/>
      <c r="BO60" s="34"/>
      <c r="BP60" s="34"/>
      <c r="BQ60" s="34"/>
      <c r="BR60" s="34"/>
      <c r="BS60" s="34"/>
      <c r="BZ60" s="34"/>
    </row>
    <row r="61" spans="1:87" ht="74.25" customHeight="1">
      <c r="A61" s="199" t="s">
        <v>20</v>
      </c>
      <c r="B61" s="82">
        <f>'外国語実績201201-201712'!M1977</f>
        <v>1</v>
      </c>
      <c r="C61" s="104">
        <f>'外国語実績201201-201712'!M1989</f>
        <v>1</v>
      </c>
      <c r="D61" s="104">
        <f>'外国語実績201201-201712'!M2001</f>
        <v>0</v>
      </c>
      <c r="E61" s="88">
        <f t="shared" si="64"/>
        <v>-1</v>
      </c>
      <c r="F61" s="82">
        <f>'外国語実績201201-201712'!M2017</f>
        <v>0</v>
      </c>
      <c r="G61" s="104">
        <f>'外国語実績201201-201712'!M2029</f>
        <v>0</v>
      </c>
      <c r="H61" s="104">
        <f>'外国語実績201201-201712'!M2041</f>
        <v>0</v>
      </c>
      <c r="I61" s="88" t="e">
        <f t="shared" si="65"/>
        <v>#DIV/0!</v>
      </c>
      <c r="J61" s="82">
        <f>'外国語実績201201-201712'!M2057</f>
        <v>9</v>
      </c>
      <c r="K61" s="104">
        <f>'外国語実績201201-201712'!M2069</f>
        <v>6</v>
      </c>
      <c r="L61" s="104">
        <f>'外国語実績201201-201712'!M2081</f>
        <v>0</v>
      </c>
      <c r="M61" s="88">
        <f t="shared" si="66"/>
        <v>-1</v>
      </c>
      <c r="N61" s="82">
        <f>'外国語実績201201-201712'!M2097</f>
        <v>0</v>
      </c>
      <c r="O61" s="104">
        <f>'外国語実績201201-201712'!M2109</f>
        <v>0</v>
      </c>
      <c r="P61" s="104">
        <f>'外国語実績201201-201712'!M2121</f>
        <v>0</v>
      </c>
      <c r="Q61" s="88" t="e">
        <f t="shared" si="67"/>
        <v>#DIV/0!</v>
      </c>
      <c r="R61" s="82">
        <f>'外国語実績201201-201712'!M2137</f>
        <v>0</v>
      </c>
      <c r="S61" s="104">
        <f>'外国語実績201201-201712'!M2149</f>
        <v>0</v>
      </c>
      <c r="T61" s="104">
        <f>'外国語実績201201-201712'!M2161</f>
        <v>0</v>
      </c>
      <c r="U61" s="88" t="e">
        <f t="shared" si="68"/>
        <v>#DIV/0!</v>
      </c>
      <c r="V61" s="82">
        <f>'外国語実績201201-201712'!M2190</f>
        <v>0</v>
      </c>
      <c r="W61" s="104">
        <f>'外国語実績201201-201712'!M2202</f>
        <v>6</v>
      </c>
      <c r="X61" s="104">
        <f>'外国語実績201201-201712'!M2214</f>
        <v>0</v>
      </c>
      <c r="Y61" s="88">
        <f t="shared" si="69"/>
        <v>-1</v>
      </c>
      <c r="Z61" s="82">
        <f>'外国語実績201201-201712'!M2232</f>
        <v>1</v>
      </c>
      <c r="AA61" s="104">
        <f>'外国語実績201201-201712'!M2244</f>
        <v>0</v>
      </c>
      <c r="AB61" s="104">
        <f>'外国語実績201201-201712'!M2256</f>
        <v>0</v>
      </c>
      <c r="AC61" s="88" t="e">
        <f t="shared" si="70"/>
        <v>#DIV/0!</v>
      </c>
      <c r="AD61" s="82"/>
      <c r="AE61" s="104">
        <f>'外国語実績201201-201712'!M2273</f>
        <v>10</v>
      </c>
      <c r="AF61" s="104">
        <f>'外国語実績201201-201712'!M2285</f>
        <v>0</v>
      </c>
      <c r="AG61" s="88">
        <f t="shared" si="71"/>
        <v>-1</v>
      </c>
      <c r="AH61" s="82"/>
      <c r="AI61" s="104">
        <f>'外国語実績201201-201712'!M2301</f>
        <v>0</v>
      </c>
      <c r="AJ61" s="104">
        <f>'外国語実績201201-201712'!M2313</f>
        <v>0</v>
      </c>
      <c r="AK61" s="88" t="e">
        <f t="shared" si="72"/>
        <v>#DIV/0!</v>
      </c>
      <c r="AL61" s="82">
        <v>0</v>
      </c>
      <c r="AM61" s="104">
        <f>'外国語実績201201-201712'!M2336</f>
        <v>2</v>
      </c>
      <c r="AN61" s="104">
        <f>'外国語実績201201-201712'!M2348</f>
        <v>0</v>
      </c>
      <c r="AO61" s="88">
        <f t="shared" si="73"/>
        <v>-1</v>
      </c>
      <c r="AP61" s="82"/>
      <c r="AQ61" s="104">
        <f>'外国語実績201201-201712'!M2364</f>
        <v>0</v>
      </c>
      <c r="AR61" s="104">
        <f>'外国語実績201201-201712'!M2376</f>
        <v>0</v>
      </c>
      <c r="AS61" s="88" t="e">
        <f t="shared" si="74"/>
        <v>#DIV/0!</v>
      </c>
      <c r="AT61" s="82"/>
      <c r="AU61" s="104">
        <f>'外国語実績201201-201712'!M2392</f>
        <v>6</v>
      </c>
      <c r="AV61" s="104">
        <f>'外国語実績201201-201712'!M2404</f>
        <v>0</v>
      </c>
      <c r="AW61" s="88">
        <f t="shared" si="75"/>
        <v>-1</v>
      </c>
      <c r="AX61" s="82"/>
      <c r="AY61" s="104">
        <f>'外国語実績201201-201712'!M2420</f>
        <v>2</v>
      </c>
      <c r="AZ61" s="104">
        <f>'外国語実績201201-201712'!M2432</f>
        <v>0</v>
      </c>
      <c r="BA61" s="88">
        <f t="shared" si="76"/>
        <v>-1</v>
      </c>
      <c r="BB61" s="82"/>
      <c r="BC61" s="104">
        <f>'外国語実績201201-201712'!M2448</f>
        <v>4</v>
      </c>
      <c r="BD61" s="104">
        <f>'外国語実績201201-201712'!M2460</f>
        <v>0</v>
      </c>
      <c r="BE61" s="88">
        <f t="shared" si="77"/>
        <v>-1</v>
      </c>
      <c r="BF61" s="82"/>
      <c r="BG61" s="104">
        <f>'外国語実績201201-201712'!M2476</f>
        <v>0</v>
      </c>
      <c r="BH61" s="104">
        <f>'外国語実績201201-201712'!M2488</f>
        <v>0</v>
      </c>
      <c r="BI61" s="88" t="e">
        <f t="shared" si="78"/>
        <v>#DIV/0!</v>
      </c>
      <c r="BJ61" s="82"/>
      <c r="BK61" s="104">
        <f>'外国語実績201201-201712'!M2507</f>
        <v>1</v>
      </c>
      <c r="BL61" s="104">
        <f>'外国語実績201201-201712'!M2519</f>
        <v>0</v>
      </c>
      <c r="BM61" s="88">
        <f t="shared" si="79"/>
        <v>-1</v>
      </c>
      <c r="BN61" s="34"/>
      <c r="BO61" s="34"/>
      <c r="BP61" s="34"/>
      <c r="BQ61" s="34"/>
      <c r="BR61" s="34"/>
      <c r="BS61" s="34"/>
      <c r="BZ61" s="34"/>
    </row>
    <row r="62" spans="1:87" ht="74.25" customHeight="1">
      <c r="A62" s="199" t="s">
        <v>21</v>
      </c>
      <c r="B62" s="82">
        <f>'外国語実績201201-201712'!M1978</f>
        <v>1</v>
      </c>
      <c r="C62" s="104">
        <f>'外国語実績201201-201712'!M1990</f>
        <v>1</v>
      </c>
      <c r="D62" s="104"/>
      <c r="E62" s="88">
        <f t="shared" si="64"/>
        <v>-1</v>
      </c>
      <c r="F62" s="82">
        <f>'外国語実績201201-201712'!M2018</f>
        <v>0</v>
      </c>
      <c r="G62" s="104">
        <f>'外国語実績201201-201712'!M2030</f>
        <v>0</v>
      </c>
      <c r="H62" s="104"/>
      <c r="I62" s="88" t="e">
        <f t="shared" si="65"/>
        <v>#DIV/0!</v>
      </c>
      <c r="J62" s="82">
        <f>'外国語実績201201-201712'!M2058</f>
        <v>8</v>
      </c>
      <c r="K62" s="104">
        <f>'外国語実績201201-201712'!M2070</f>
        <v>12</v>
      </c>
      <c r="L62" s="104"/>
      <c r="M62" s="88">
        <f t="shared" si="66"/>
        <v>-1</v>
      </c>
      <c r="N62" s="82">
        <f>'外国語実績201201-201712'!M2098</f>
        <v>0</v>
      </c>
      <c r="O62" s="104">
        <f>'外国語実績201201-201712'!M2110</f>
        <v>0</v>
      </c>
      <c r="P62" s="104"/>
      <c r="Q62" s="88" t="e">
        <f t="shared" si="67"/>
        <v>#DIV/0!</v>
      </c>
      <c r="R62" s="82">
        <f>'外国語実績201201-201712'!M2138</f>
        <v>0</v>
      </c>
      <c r="S62" s="104">
        <f>'外国語実績201201-201712'!M2150</f>
        <v>0</v>
      </c>
      <c r="T62" s="104"/>
      <c r="U62" s="88" t="e">
        <f t="shared" si="68"/>
        <v>#DIV/0!</v>
      </c>
      <c r="V62" s="82">
        <f>'外国語実績201201-201712'!M2191</f>
        <v>1</v>
      </c>
      <c r="W62" s="104">
        <f>'外国語実績201201-201712'!M2203</f>
        <v>12</v>
      </c>
      <c r="X62" s="104"/>
      <c r="Y62" s="88">
        <f t="shared" si="69"/>
        <v>-1</v>
      </c>
      <c r="Z62" s="82">
        <f>'外国語実績201201-201712'!M2233</f>
        <v>0</v>
      </c>
      <c r="AA62" s="104">
        <f>'外国語実績201201-201712'!M2245</f>
        <v>0</v>
      </c>
      <c r="AB62" s="104"/>
      <c r="AC62" s="88" t="e">
        <f t="shared" si="70"/>
        <v>#DIV/0!</v>
      </c>
      <c r="AD62" s="82">
        <f>'外国語実績201201-201712'!M2262</f>
        <v>1</v>
      </c>
      <c r="AE62" s="104">
        <f>'外国語実績201201-201712'!M2274</f>
        <v>2</v>
      </c>
      <c r="AF62" s="104"/>
      <c r="AG62" s="88">
        <f t="shared" si="71"/>
        <v>-1</v>
      </c>
      <c r="AH62" s="82">
        <f>'外国語実績201201-201712'!M2290</f>
        <v>0</v>
      </c>
      <c r="AI62" s="104">
        <f>'外国語実績201201-201712'!M2302</f>
        <v>2</v>
      </c>
      <c r="AJ62" s="104"/>
      <c r="AK62" s="88">
        <f t="shared" si="72"/>
        <v>-1</v>
      </c>
      <c r="AL62" s="82">
        <f>'外国語実績201201-201712'!M2325</f>
        <v>0</v>
      </c>
      <c r="AM62" s="104">
        <f>'外国語実績201201-201712'!M2337</f>
        <v>3</v>
      </c>
      <c r="AN62" s="104"/>
      <c r="AO62" s="88">
        <f t="shared" si="73"/>
        <v>-1</v>
      </c>
      <c r="AP62" s="82">
        <f>'外国語実績201201-201712'!M2353</f>
        <v>0</v>
      </c>
      <c r="AQ62" s="104">
        <f>'外国語実績201201-201712'!M2365</f>
        <v>1</v>
      </c>
      <c r="AR62" s="104"/>
      <c r="AS62" s="88">
        <f t="shared" si="74"/>
        <v>-1</v>
      </c>
      <c r="AT62" s="82">
        <f>'外国語実績201201-201712'!M2381</f>
        <v>0</v>
      </c>
      <c r="AU62" s="104">
        <f>'外国語実績201201-201712'!M2393</f>
        <v>5</v>
      </c>
      <c r="AV62" s="104"/>
      <c r="AW62" s="88">
        <f t="shared" si="75"/>
        <v>-1</v>
      </c>
      <c r="AX62" s="82">
        <f>'外国語実績201201-201712'!M2409</f>
        <v>0</v>
      </c>
      <c r="AY62" s="104">
        <f>'外国語実績201201-201712'!M2421</f>
        <v>6</v>
      </c>
      <c r="AZ62" s="104"/>
      <c r="BA62" s="88">
        <f t="shared" si="76"/>
        <v>-1</v>
      </c>
      <c r="BB62" s="82">
        <f>'外国語実績201201-201712'!M2437</f>
        <v>0</v>
      </c>
      <c r="BC62" s="104">
        <f>'外国語実績201201-201712'!M2449</f>
        <v>7</v>
      </c>
      <c r="BD62" s="104"/>
      <c r="BE62" s="88">
        <f t="shared" si="77"/>
        <v>-1</v>
      </c>
      <c r="BF62" s="82">
        <f>'外国語実績201201-201712'!M2465</f>
        <v>0</v>
      </c>
      <c r="BG62" s="104">
        <f>'外国語実績201201-201712'!M2477</f>
        <v>0</v>
      </c>
      <c r="BH62" s="104"/>
      <c r="BI62" s="88" t="e">
        <f t="shared" si="78"/>
        <v>#DIV/0!</v>
      </c>
      <c r="BJ62" s="82">
        <f>'外国語実績201201-201712'!M2496</f>
        <v>0</v>
      </c>
      <c r="BK62" s="104">
        <f>'外国語実績201201-201712'!M2508</f>
        <v>0</v>
      </c>
      <c r="BL62" s="104"/>
      <c r="BM62" s="88" t="e">
        <f t="shared" si="79"/>
        <v>#DIV/0!</v>
      </c>
      <c r="BN62" s="34"/>
      <c r="BO62" s="34"/>
      <c r="BP62" s="34"/>
      <c r="BQ62" s="34"/>
      <c r="BR62" s="34"/>
      <c r="BS62" s="34"/>
      <c r="BZ62" s="34"/>
    </row>
    <row r="63" spans="1:87" ht="74.25" customHeight="1">
      <c r="A63" s="247" t="s">
        <v>22</v>
      </c>
      <c r="B63" s="82">
        <f>'外国語実績201201-201712'!M1979</f>
        <v>1</v>
      </c>
      <c r="C63" s="104">
        <f>'外国語実績201201-201712'!M1991</f>
        <v>0</v>
      </c>
      <c r="D63" s="104"/>
      <c r="E63" s="88" t="e">
        <f t="shared" si="64"/>
        <v>#DIV/0!</v>
      </c>
      <c r="F63" s="82">
        <f>'外国語実績201201-201712'!M2019</f>
        <v>0</v>
      </c>
      <c r="G63" s="104">
        <f>'外国語実績201201-201712'!M2031</f>
        <v>0</v>
      </c>
      <c r="H63" s="104"/>
      <c r="I63" s="88" t="e">
        <f t="shared" si="65"/>
        <v>#DIV/0!</v>
      </c>
      <c r="J63" s="82">
        <f>'外国語実績201201-201712'!M2059</f>
        <v>0</v>
      </c>
      <c r="K63" s="104">
        <f>'外国語実績201201-201712'!M2071</f>
        <v>4</v>
      </c>
      <c r="L63" s="104"/>
      <c r="M63" s="88">
        <f t="shared" si="66"/>
        <v>-1</v>
      </c>
      <c r="N63" s="82">
        <f>'外国語実績201201-201712'!M2099</f>
        <v>0</v>
      </c>
      <c r="O63" s="104">
        <f>'外国語実績201201-201712'!M2111</f>
        <v>0</v>
      </c>
      <c r="P63" s="104"/>
      <c r="Q63" s="88" t="e">
        <f t="shared" si="67"/>
        <v>#DIV/0!</v>
      </c>
      <c r="R63" s="82">
        <f>'外国語実績201201-201712'!M2139</f>
        <v>0</v>
      </c>
      <c r="S63" s="104">
        <f>'外国語実績201201-201712'!M2151</f>
        <v>0</v>
      </c>
      <c r="T63" s="104"/>
      <c r="U63" s="88" t="e">
        <f t="shared" si="68"/>
        <v>#DIV/0!</v>
      </c>
      <c r="V63" s="82">
        <f>'外国語実績201201-201712'!M2192</f>
        <v>0</v>
      </c>
      <c r="W63" s="104">
        <f>'外国語実績201201-201712'!M2204</f>
        <v>4</v>
      </c>
      <c r="X63" s="104"/>
      <c r="Y63" s="88">
        <f t="shared" si="69"/>
        <v>-1</v>
      </c>
      <c r="Z63" s="82">
        <f>'外国語実績201201-201712'!M2234</f>
        <v>0</v>
      </c>
      <c r="AA63" s="104">
        <f>'外国語実績201201-201712'!M2246</f>
        <v>0</v>
      </c>
      <c r="AB63" s="104"/>
      <c r="AC63" s="88" t="e">
        <f t="shared" si="70"/>
        <v>#DIV/0!</v>
      </c>
      <c r="AD63" s="82">
        <f>'外国語実績201201-201712'!M2263</f>
        <v>0</v>
      </c>
      <c r="AE63" s="104">
        <f>'外国語実績201201-201712'!M2275</f>
        <v>0</v>
      </c>
      <c r="AF63" s="104"/>
      <c r="AG63" s="88" t="e">
        <f t="shared" si="71"/>
        <v>#DIV/0!</v>
      </c>
      <c r="AH63" s="82">
        <f>'外国語実績201201-201712'!M2291</f>
        <v>1</v>
      </c>
      <c r="AI63" s="104">
        <f>'外国語実績201201-201712'!M2303</f>
        <v>1</v>
      </c>
      <c r="AJ63" s="104"/>
      <c r="AK63" s="88">
        <f t="shared" si="72"/>
        <v>-1</v>
      </c>
      <c r="AL63" s="82">
        <f>'外国語実績201201-201712'!M2326</f>
        <v>2</v>
      </c>
      <c r="AM63" s="104">
        <f>'外国語実績201201-201712'!M2338</f>
        <v>3</v>
      </c>
      <c r="AN63" s="104"/>
      <c r="AO63" s="88">
        <f t="shared" si="73"/>
        <v>-1</v>
      </c>
      <c r="AP63" s="82">
        <f>'外国語実績201201-201712'!M2354</f>
        <v>1</v>
      </c>
      <c r="AQ63" s="104">
        <f>'外国語実績201201-201712'!M2366</f>
        <v>0</v>
      </c>
      <c r="AR63" s="104"/>
      <c r="AS63" s="88" t="e">
        <f t="shared" si="74"/>
        <v>#DIV/0!</v>
      </c>
      <c r="AT63" s="82">
        <f>'外国語実績201201-201712'!M2382</f>
        <v>1</v>
      </c>
      <c r="AU63" s="104">
        <f>'外国語実績201201-201712'!M2394</f>
        <v>3</v>
      </c>
      <c r="AV63" s="104"/>
      <c r="AW63" s="88">
        <f t="shared" si="75"/>
        <v>-1</v>
      </c>
      <c r="AX63" s="82">
        <f>'外国語実績201201-201712'!M2410</f>
        <v>0</v>
      </c>
      <c r="AY63" s="104">
        <f>'外国語実績201201-201712'!M2422</f>
        <v>5</v>
      </c>
      <c r="AZ63" s="104"/>
      <c r="BA63" s="88">
        <f t="shared" si="76"/>
        <v>-1</v>
      </c>
      <c r="BB63" s="82">
        <f>'外国語実績201201-201712'!M2438</f>
        <v>0</v>
      </c>
      <c r="BC63" s="104">
        <f>'外国語実績201201-201712'!M2450</f>
        <v>1</v>
      </c>
      <c r="BD63" s="104"/>
      <c r="BE63" s="88">
        <f t="shared" si="77"/>
        <v>-1</v>
      </c>
      <c r="BF63" s="82">
        <f>'外国語実績201201-201712'!M2466</f>
        <v>0</v>
      </c>
      <c r="BG63" s="104">
        <f>'外国語実績201201-201712'!M2478</f>
        <v>1</v>
      </c>
      <c r="BH63" s="104"/>
      <c r="BI63" s="88">
        <f t="shared" si="78"/>
        <v>-1</v>
      </c>
      <c r="BJ63" s="82">
        <f>'外国語実績201201-201712'!M2497</f>
        <v>0</v>
      </c>
      <c r="BK63" s="104">
        <f>'外国語実績201201-201712'!M2509</f>
        <v>0</v>
      </c>
      <c r="BL63" s="104"/>
      <c r="BM63" s="88" t="e">
        <f t="shared" si="79"/>
        <v>#DIV/0!</v>
      </c>
      <c r="BN63" s="34"/>
      <c r="BO63" s="34"/>
      <c r="BP63" s="34"/>
      <c r="BQ63" s="34"/>
      <c r="BR63" s="34"/>
      <c r="BS63" s="34"/>
      <c r="BZ63" s="34"/>
    </row>
    <row r="64" spans="1:87" ht="74.25" customHeight="1" thickBot="1">
      <c r="A64" s="250" t="s">
        <v>23</v>
      </c>
      <c r="B64" s="449">
        <f>'外国語実績201201-201712'!M1980</f>
        <v>1</v>
      </c>
      <c r="C64" s="437">
        <f>'外国語実績201201-201712'!M1992</f>
        <v>0</v>
      </c>
      <c r="D64" s="437"/>
      <c r="E64" s="447" t="e">
        <f t="shared" si="64"/>
        <v>#DIV/0!</v>
      </c>
      <c r="F64" s="449">
        <f>'外国語実績201201-201712'!M2020</f>
        <v>12</v>
      </c>
      <c r="G64" s="437">
        <f>'外国語実績201201-201712'!M2032</f>
        <v>1</v>
      </c>
      <c r="H64" s="437"/>
      <c r="I64" s="447">
        <f t="shared" si="65"/>
        <v>-1</v>
      </c>
      <c r="J64" s="449">
        <f>'外国語実績201201-201712'!M2060</f>
        <v>1</v>
      </c>
      <c r="K64" s="437">
        <f>'外国語実績201201-201712'!M2072</f>
        <v>0</v>
      </c>
      <c r="L64" s="437"/>
      <c r="M64" s="447" t="e">
        <f t="shared" si="66"/>
        <v>#DIV/0!</v>
      </c>
      <c r="N64" s="449">
        <f>'外国語実績201201-201712'!M2100</f>
        <v>0</v>
      </c>
      <c r="O64" s="437">
        <f>'外国語実績201201-201712'!M2112</f>
        <v>0</v>
      </c>
      <c r="P64" s="437"/>
      <c r="Q64" s="447" t="e">
        <f t="shared" si="67"/>
        <v>#DIV/0!</v>
      </c>
      <c r="R64" s="449">
        <f>'外国語実績201201-201712'!M2140</f>
        <v>0</v>
      </c>
      <c r="S64" s="437">
        <f>'外国語実績201201-201712'!M2152</f>
        <v>0</v>
      </c>
      <c r="T64" s="437"/>
      <c r="U64" s="447" t="e">
        <f t="shared" si="68"/>
        <v>#DIV/0!</v>
      </c>
      <c r="V64" s="449">
        <f>'外国語実績201201-201712'!M2193</f>
        <v>0</v>
      </c>
      <c r="W64" s="437">
        <f>'外国語実績201201-201712'!M2205</f>
        <v>0</v>
      </c>
      <c r="X64" s="437"/>
      <c r="Y64" s="447" t="e">
        <f t="shared" si="69"/>
        <v>#DIV/0!</v>
      </c>
      <c r="Z64" s="449">
        <f>'外国語実績201201-201712'!M2235</f>
        <v>0</v>
      </c>
      <c r="AA64" s="437">
        <f>'外国語実績201201-201712'!M2247</f>
        <v>0</v>
      </c>
      <c r="AB64" s="437"/>
      <c r="AC64" s="447" t="e">
        <f t="shared" si="70"/>
        <v>#DIV/0!</v>
      </c>
      <c r="AD64" s="449">
        <f>'外国語実績201201-201712'!M2264</f>
        <v>2</v>
      </c>
      <c r="AE64" s="437">
        <f>'外国語実績201201-201712'!M2276</f>
        <v>0</v>
      </c>
      <c r="AF64" s="437"/>
      <c r="AG64" s="447" t="e">
        <f t="shared" si="71"/>
        <v>#DIV/0!</v>
      </c>
      <c r="AH64" s="449">
        <f>'外国語実績201201-201712'!M2292</f>
        <v>0</v>
      </c>
      <c r="AI64" s="437">
        <f>'外国語実績201201-201712'!M2304</f>
        <v>0</v>
      </c>
      <c r="AJ64" s="437"/>
      <c r="AK64" s="447" t="e">
        <f t="shared" si="72"/>
        <v>#DIV/0!</v>
      </c>
      <c r="AL64" s="449">
        <f>'外国語実績201201-201712'!M2327</f>
        <v>3</v>
      </c>
      <c r="AM64" s="437">
        <f>'外国語実績201201-201712'!M2339</f>
        <v>0</v>
      </c>
      <c r="AN64" s="437"/>
      <c r="AO64" s="447" t="e">
        <f t="shared" si="73"/>
        <v>#DIV/0!</v>
      </c>
      <c r="AP64" s="449">
        <f>'外国語実績201201-201712'!M2355</f>
        <v>1</v>
      </c>
      <c r="AQ64" s="437">
        <f>'外国語実績201201-201712'!M2367</f>
        <v>0</v>
      </c>
      <c r="AR64" s="437"/>
      <c r="AS64" s="447" t="e">
        <f t="shared" si="74"/>
        <v>#DIV/0!</v>
      </c>
      <c r="AT64" s="449">
        <f>'外国語実績201201-201712'!M2383</f>
        <v>2</v>
      </c>
      <c r="AU64" s="437">
        <f>'外国語実績201201-201712'!M2395</f>
        <v>2</v>
      </c>
      <c r="AV64" s="437"/>
      <c r="AW64" s="447">
        <f t="shared" si="75"/>
        <v>-1</v>
      </c>
      <c r="AX64" s="449">
        <f>'外国語実績201201-201712'!M2411</f>
        <v>2</v>
      </c>
      <c r="AY64" s="437">
        <f>'外国語実績201201-201712'!M2423</f>
        <v>2</v>
      </c>
      <c r="AZ64" s="437"/>
      <c r="BA64" s="447">
        <f t="shared" si="76"/>
        <v>-1</v>
      </c>
      <c r="BB64" s="449">
        <f>'外国語実績201201-201712'!M2439</f>
        <v>1</v>
      </c>
      <c r="BC64" s="437">
        <f>'外国語実績201201-201712'!M2451</f>
        <v>0</v>
      </c>
      <c r="BD64" s="437"/>
      <c r="BE64" s="447" t="e">
        <f t="shared" si="77"/>
        <v>#DIV/0!</v>
      </c>
      <c r="BF64" s="449">
        <f>'外国語実績201201-201712'!M2467</f>
        <v>4</v>
      </c>
      <c r="BG64" s="437">
        <f>'外国語実績201201-201712'!M2479</f>
        <v>0</v>
      </c>
      <c r="BH64" s="437"/>
      <c r="BI64" s="447" t="e">
        <f t="shared" si="78"/>
        <v>#DIV/0!</v>
      </c>
      <c r="BJ64" s="449">
        <f>'外国語実績201201-201712'!M2498</f>
        <v>1</v>
      </c>
      <c r="BK64" s="437">
        <f>'外国語実績201201-201712'!M2510</f>
        <v>0</v>
      </c>
      <c r="BL64" s="437"/>
      <c r="BM64" s="447" t="e">
        <f t="shared" si="79"/>
        <v>#DIV/0!</v>
      </c>
      <c r="BN64" s="34"/>
      <c r="BO64" s="34"/>
      <c r="BP64" s="34"/>
      <c r="BQ64" s="34"/>
      <c r="BR64" s="34"/>
      <c r="BS64" s="34"/>
      <c r="BZ64" s="34"/>
    </row>
    <row r="65" spans="1:78" ht="74.25" customHeight="1" thickBot="1">
      <c r="A65" s="76" t="s">
        <v>5</v>
      </c>
      <c r="B65" s="87">
        <f>SUM(B53:B64)</f>
        <v>14</v>
      </c>
      <c r="C65" s="96">
        <f t="shared" ref="C65:D65" si="80">SUM(C53:C64)</f>
        <v>12</v>
      </c>
      <c r="D65" s="96">
        <f t="shared" si="80"/>
        <v>2</v>
      </c>
      <c r="E65" s="450">
        <f>(D65-C65)/C65</f>
        <v>-0.83333333333333337</v>
      </c>
      <c r="F65" s="87">
        <f>SUM(F53:F64)</f>
        <v>23</v>
      </c>
      <c r="G65" s="96">
        <f t="shared" ref="G65:H65" si="81">SUM(G53:G64)</f>
        <v>38</v>
      </c>
      <c r="H65" s="96">
        <f t="shared" si="81"/>
        <v>0</v>
      </c>
      <c r="I65" s="450">
        <f t="shared" si="65"/>
        <v>-1</v>
      </c>
      <c r="J65" s="87">
        <f>SUM(J53:J64)</f>
        <v>38</v>
      </c>
      <c r="K65" s="96">
        <f t="shared" ref="K65:L65" si="82">SUM(K53:K64)</f>
        <v>38</v>
      </c>
      <c r="L65" s="96">
        <f t="shared" si="82"/>
        <v>0</v>
      </c>
      <c r="M65" s="450">
        <f t="shared" si="66"/>
        <v>-1</v>
      </c>
      <c r="N65" s="90">
        <f>SUM(N53:N64)</f>
        <v>1</v>
      </c>
      <c r="O65" s="96">
        <f t="shared" ref="O65:P65" si="83">SUM(O53:O64)</f>
        <v>0</v>
      </c>
      <c r="P65" s="96">
        <f t="shared" si="83"/>
        <v>0</v>
      </c>
      <c r="Q65" s="450" t="e">
        <f>(P65-O65)/O65</f>
        <v>#DIV/0!</v>
      </c>
      <c r="R65" s="87">
        <f>SUM(R53:R64)</f>
        <v>5</v>
      </c>
      <c r="S65" s="96">
        <f t="shared" ref="S65:T65" si="84">SUM(S53:S64)</f>
        <v>5</v>
      </c>
      <c r="T65" s="96">
        <f t="shared" si="84"/>
        <v>0</v>
      </c>
      <c r="U65" s="450">
        <f t="shared" si="68"/>
        <v>-1</v>
      </c>
      <c r="V65" s="87">
        <f>SUM(V53:V64)</f>
        <v>6</v>
      </c>
      <c r="W65" s="96">
        <f t="shared" ref="W65:X65" si="85">SUM(W53:W64)</f>
        <v>30</v>
      </c>
      <c r="X65" s="96">
        <f t="shared" si="85"/>
        <v>2</v>
      </c>
      <c r="Y65" s="450">
        <f t="shared" si="69"/>
        <v>-0.93333333333333335</v>
      </c>
      <c r="Z65" s="87">
        <f>SUM(Z53:Z64)</f>
        <v>3</v>
      </c>
      <c r="AA65" s="96">
        <f t="shared" ref="AA65:AB65" si="86">SUM(AA53:AA64)</f>
        <v>2</v>
      </c>
      <c r="AB65" s="96">
        <f t="shared" si="86"/>
        <v>0</v>
      </c>
      <c r="AC65" s="450">
        <f t="shared" si="70"/>
        <v>-1</v>
      </c>
      <c r="AD65" s="87">
        <f>SUM(AD53:AD64)</f>
        <v>3</v>
      </c>
      <c r="AE65" s="96">
        <f t="shared" ref="AE65:AF65" si="87">SUM(AE53:AE64)</f>
        <v>45</v>
      </c>
      <c r="AF65" s="96">
        <f t="shared" si="87"/>
        <v>0</v>
      </c>
      <c r="AG65" s="450">
        <f t="shared" si="71"/>
        <v>-1</v>
      </c>
      <c r="AH65" s="87">
        <f>SUM(AH53:AH64)</f>
        <v>1</v>
      </c>
      <c r="AI65" s="96">
        <f t="shared" ref="AI65:AJ65" si="88">SUM(AI53:AI64)</f>
        <v>12</v>
      </c>
      <c r="AJ65" s="96">
        <f t="shared" si="88"/>
        <v>1</v>
      </c>
      <c r="AK65" s="450">
        <f t="shared" si="72"/>
        <v>-0.91666666666666663</v>
      </c>
      <c r="AL65" s="87">
        <f>SUM(AL53:AL64)</f>
        <v>5</v>
      </c>
      <c r="AM65" s="96">
        <f t="shared" ref="AM65:AN65" si="89">SUM(AM53:AM64)</f>
        <v>20</v>
      </c>
      <c r="AN65" s="96">
        <f t="shared" si="89"/>
        <v>0</v>
      </c>
      <c r="AO65" s="450">
        <f t="shared" si="73"/>
        <v>-1</v>
      </c>
      <c r="AP65" s="87">
        <f>SUM(AP53:AP64)</f>
        <v>2</v>
      </c>
      <c r="AQ65" s="96">
        <f t="shared" ref="AQ65:AR65" si="90">SUM(AQ53:AQ64)</f>
        <v>16</v>
      </c>
      <c r="AR65" s="96">
        <f t="shared" si="90"/>
        <v>0</v>
      </c>
      <c r="AS65" s="450">
        <f t="shared" si="74"/>
        <v>-1</v>
      </c>
      <c r="AT65" s="87">
        <f>SUM(AT53:AT64)</f>
        <v>3</v>
      </c>
      <c r="AU65" s="96">
        <f t="shared" ref="AU65:AV65" si="91">SUM(AU53:AU64)</f>
        <v>36</v>
      </c>
      <c r="AV65" s="96">
        <f t="shared" si="91"/>
        <v>0</v>
      </c>
      <c r="AW65" s="450">
        <f t="shared" si="75"/>
        <v>-1</v>
      </c>
      <c r="AX65" s="87">
        <f>SUM(AX53:AX64)</f>
        <v>2</v>
      </c>
      <c r="AY65" s="96">
        <f t="shared" ref="AY65:AZ65" si="92">SUM(AY53:AY64)</f>
        <v>31</v>
      </c>
      <c r="AZ65" s="96">
        <f t="shared" si="92"/>
        <v>0</v>
      </c>
      <c r="BA65" s="450">
        <f t="shared" si="76"/>
        <v>-1</v>
      </c>
      <c r="BB65" s="87">
        <f>SUM(BB53:BB64)</f>
        <v>1</v>
      </c>
      <c r="BC65" s="96">
        <f t="shared" ref="BC65:BD65" si="93">SUM(BC53:BC64)</f>
        <v>27</v>
      </c>
      <c r="BD65" s="96">
        <f t="shared" si="93"/>
        <v>0</v>
      </c>
      <c r="BE65" s="450">
        <f t="shared" si="77"/>
        <v>-1</v>
      </c>
      <c r="BF65" s="87">
        <f>SUM(BF53:BF64)</f>
        <v>4</v>
      </c>
      <c r="BG65" s="96">
        <f t="shared" ref="BG65:BH65" si="94">SUM(BG53:BG64)</f>
        <v>9</v>
      </c>
      <c r="BH65" s="96">
        <f t="shared" si="94"/>
        <v>0</v>
      </c>
      <c r="BI65" s="450">
        <f t="shared" si="78"/>
        <v>-1</v>
      </c>
      <c r="BJ65" s="87">
        <f>SUM(BJ53:BJ64)</f>
        <v>1</v>
      </c>
      <c r="BK65" s="96">
        <f t="shared" ref="BK65:BL65" si="95">SUM(BK53:BK64)</f>
        <v>1</v>
      </c>
      <c r="BL65" s="96">
        <f t="shared" si="95"/>
        <v>0</v>
      </c>
      <c r="BM65" s="450">
        <f t="shared" si="79"/>
        <v>-1</v>
      </c>
      <c r="BN65" s="34"/>
      <c r="BO65" s="34"/>
      <c r="BP65" s="34"/>
      <c r="BQ65" s="34"/>
      <c r="BR65" s="34"/>
      <c r="BS65" s="34"/>
      <c r="BZ65" s="34"/>
    </row>
    <row r="66" spans="1:78" s="27" customFormat="1" ht="20.100000000000001" customHeight="1" thickBot="1">
      <c r="A66" s="47"/>
      <c r="B66" s="54"/>
      <c r="C66" s="55"/>
      <c r="D66" s="55"/>
      <c r="E66" s="56"/>
      <c r="F66" s="55"/>
      <c r="G66" s="55"/>
      <c r="H66" s="56"/>
      <c r="I66" s="55"/>
      <c r="J66" s="55"/>
      <c r="K66" s="56"/>
      <c r="L66" s="55"/>
      <c r="M66" s="55"/>
      <c r="N66" s="56"/>
      <c r="O66" s="55"/>
      <c r="P66" s="55"/>
      <c r="Q66" s="56"/>
      <c r="R66" s="55"/>
      <c r="S66" s="55"/>
      <c r="T66" s="56"/>
      <c r="U66" s="55"/>
      <c r="V66" s="55"/>
      <c r="W66" s="56"/>
      <c r="X66" s="55"/>
      <c r="Y66" s="55"/>
      <c r="Z66" s="56"/>
      <c r="AA66" s="55"/>
      <c r="AB66" s="55"/>
      <c r="AC66" s="56"/>
      <c r="AD66" s="55"/>
      <c r="AE66" s="55"/>
      <c r="AF66" s="56"/>
      <c r="AG66" s="55"/>
      <c r="AH66" s="55"/>
      <c r="AI66" s="56"/>
      <c r="AJ66" s="55"/>
      <c r="AK66" s="55"/>
      <c r="AL66" s="56"/>
      <c r="AM66" s="55"/>
      <c r="AN66" s="55"/>
      <c r="AO66" s="56"/>
      <c r="AP66" s="55"/>
      <c r="AQ66" s="55"/>
      <c r="AR66" s="56"/>
      <c r="AS66" s="55"/>
      <c r="AT66" s="55"/>
      <c r="AU66" s="56"/>
      <c r="AV66" s="55"/>
      <c r="AW66" s="55"/>
      <c r="AX66" s="56"/>
      <c r="AY66" s="55"/>
      <c r="AZ66" s="55"/>
      <c r="BA66" s="56"/>
      <c r="BB66" s="55"/>
      <c r="BC66" s="55"/>
      <c r="BD66" s="34"/>
      <c r="BE66" s="34"/>
      <c r="BF66" s="34"/>
      <c r="BG66" s="34"/>
      <c r="BH66" s="34"/>
      <c r="BI66" s="34"/>
      <c r="BJ66" s="57"/>
      <c r="BK66" s="57"/>
      <c r="BL66" s="57"/>
      <c r="BM66" s="57"/>
      <c r="BN66" s="58"/>
      <c r="BO66" s="56"/>
      <c r="BP66" s="47"/>
    </row>
    <row r="67" spans="1:78" s="27" customFormat="1" ht="74.25" customHeight="1" thickBot="1">
      <c r="A67" s="36" t="s">
        <v>1</v>
      </c>
      <c r="B67" s="462" t="s">
        <v>228</v>
      </c>
      <c r="C67" s="463"/>
      <c r="D67" s="464"/>
      <c r="E67" s="462" t="s">
        <v>234</v>
      </c>
      <c r="F67" s="463"/>
      <c r="G67" s="464"/>
      <c r="H67" s="462" t="s">
        <v>239</v>
      </c>
      <c r="I67" s="463"/>
      <c r="J67" s="464"/>
      <c r="K67" s="462" t="s">
        <v>247</v>
      </c>
      <c r="L67" s="463"/>
      <c r="M67" s="464"/>
      <c r="N67" s="438"/>
      <c r="O67" s="439"/>
      <c r="P67" s="440"/>
      <c r="Q67" s="438"/>
      <c r="R67" s="439"/>
      <c r="S67" s="440"/>
      <c r="T67" s="438"/>
      <c r="U67" s="439"/>
      <c r="V67" s="440"/>
      <c r="W67" s="438"/>
      <c r="X67" s="439"/>
      <c r="Y67" s="440"/>
      <c r="Z67" s="438"/>
      <c r="AA67" s="439"/>
      <c r="AB67" s="440"/>
      <c r="AC67" s="438" t="s">
        <v>225</v>
      </c>
      <c r="AD67" s="439"/>
      <c r="AE67" s="439"/>
      <c r="AF67" s="439"/>
      <c r="AG67" s="439"/>
      <c r="AH67" s="439"/>
      <c r="AI67" s="439"/>
      <c r="AJ67" s="439"/>
      <c r="AK67" s="439"/>
      <c r="AL67" s="440"/>
      <c r="AM67" s="55"/>
      <c r="AN67" s="56"/>
      <c r="AO67" s="55"/>
      <c r="AP67" s="55"/>
      <c r="AQ67" s="56"/>
      <c r="AR67" s="55"/>
      <c r="AS67" s="55"/>
      <c r="AT67" s="56"/>
      <c r="AU67" s="55"/>
      <c r="AV67" s="55"/>
      <c r="AW67" s="56"/>
      <c r="AX67" s="55"/>
      <c r="AY67" s="55"/>
      <c r="AZ67" s="56"/>
      <c r="BA67" s="55"/>
      <c r="BB67" s="55"/>
      <c r="BC67" s="56"/>
      <c r="BD67" s="55"/>
      <c r="BE67" s="55"/>
      <c r="BF67" s="56"/>
      <c r="BG67" s="55"/>
      <c r="BH67" s="55"/>
      <c r="BI67" s="56"/>
      <c r="BJ67" s="55"/>
      <c r="BK67" s="55"/>
      <c r="BL67" s="56"/>
      <c r="BM67" s="57"/>
      <c r="BN67" s="57"/>
      <c r="BO67" s="57"/>
      <c r="BP67" s="57"/>
      <c r="BQ67" s="57"/>
      <c r="BR67" s="57"/>
      <c r="BS67" s="58"/>
      <c r="BT67" s="56"/>
      <c r="BU67" s="47"/>
    </row>
    <row r="68" spans="1:78" s="27" customFormat="1" ht="74.25" customHeight="1">
      <c r="A68" s="37" t="s">
        <v>6</v>
      </c>
      <c r="B68" s="39" t="s">
        <v>224</v>
      </c>
      <c r="C68" s="39" t="s">
        <v>287</v>
      </c>
      <c r="D68" s="43" t="s">
        <v>11</v>
      </c>
      <c r="E68" s="39" t="s">
        <v>224</v>
      </c>
      <c r="F68" s="39" t="s">
        <v>287</v>
      </c>
      <c r="G68" s="43" t="s">
        <v>11</v>
      </c>
      <c r="H68" s="39" t="s">
        <v>224</v>
      </c>
      <c r="I68" s="39" t="s">
        <v>287</v>
      </c>
      <c r="J68" s="43" t="s">
        <v>11</v>
      </c>
      <c r="K68" s="39" t="s">
        <v>224</v>
      </c>
      <c r="L68" s="39" t="s">
        <v>287</v>
      </c>
      <c r="M68" s="43" t="s">
        <v>11</v>
      </c>
      <c r="N68" s="39" t="s">
        <v>224</v>
      </c>
      <c r="O68" s="39" t="s">
        <v>287</v>
      </c>
      <c r="P68" s="43" t="s">
        <v>11</v>
      </c>
      <c r="Q68" s="39" t="s">
        <v>224</v>
      </c>
      <c r="R68" s="39" t="s">
        <v>287</v>
      </c>
      <c r="S68" s="43" t="s">
        <v>11</v>
      </c>
      <c r="T68" s="39" t="s">
        <v>224</v>
      </c>
      <c r="U68" s="39" t="s">
        <v>287</v>
      </c>
      <c r="V68" s="43" t="s">
        <v>11</v>
      </c>
      <c r="W68" s="39" t="s">
        <v>224</v>
      </c>
      <c r="X68" s="39" t="s">
        <v>287</v>
      </c>
      <c r="Y68" s="43" t="s">
        <v>11</v>
      </c>
      <c r="Z68" s="39" t="s">
        <v>224</v>
      </c>
      <c r="AA68" s="39" t="s">
        <v>287</v>
      </c>
      <c r="AB68" s="43" t="s">
        <v>11</v>
      </c>
      <c r="AC68" s="52" t="s">
        <v>7</v>
      </c>
      <c r="AD68" s="53" t="s">
        <v>8</v>
      </c>
      <c r="AE68" s="53" t="s">
        <v>9</v>
      </c>
      <c r="AF68" s="53" t="s">
        <v>10</v>
      </c>
      <c r="AG68" s="53" t="s">
        <v>48</v>
      </c>
      <c r="AH68" s="53" t="s">
        <v>56</v>
      </c>
      <c r="AI68" s="53" t="s">
        <v>110</v>
      </c>
      <c r="AJ68" s="53" t="s">
        <v>221</v>
      </c>
      <c r="AK68" s="53" t="s">
        <v>286</v>
      </c>
      <c r="AL68" s="43" t="s">
        <v>11</v>
      </c>
      <c r="AM68" s="55"/>
      <c r="AN68" s="56"/>
      <c r="AO68" s="55"/>
      <c r="AP68" s="55"/>
      <c r="AQ68" s="56"/>
      <c r="AR68" s="55"/>
      <c r="AS68" s="55"/>
      <c r="AT68" s="56"/>
      <c r="AU68" s="55"/>
      <c r="AV68" s="55"/>
      <c r="AW68" s="56"/>
      <c r="AX68" s="55"/>
      <c r="AY68" s="55"/>
      <c r="AZ68" s="56"/>
      <c r="BA68" s="55"/>
      <c r="BB68" s="55"/>
      <c r="BC68" s="56"/>
      <c r="BD68" s="55"/>
      <c r="BE68" s="55"/>
      <c r="BF68" s="56"/>
      <c r="BG68" s="55"/>
      <c r="BH68" s="55"/>
      <c r="BI68" s="56"/>
      <c r="BJ68" s="55"/>
      <c r="BK68" s="55"/>
      <c r="BL68" s="56"/>
      <c r="BM68" s="57"/>
      <c r="BN68" s="57"/>
      <c r="BO68" s="57"/>
      <c r="BP68" s="57"/>
      <c r="BQ68" s="57"/>
      <c r="BR68" s="57"/>
      <c r="BS68" s="58"/>
      <c r="BT68" s="56"/>
      <c r="BU68" s="47"/>
    </row>
    <row r="69" spans="1:78" s="27" customFormat="1" ht="74.25" customHeight="1">
      <c r="A69" s="199" t="s">
        <v>12</v>
      </c>
      <c r="B69" s="82">
        <f>'外国語実績201201-201712'!M2527</f>
        <v>0</v>
      </c>
      <c r="C69" s="82">
        <f>'外国語実績201201-201712'!M2539</f>
        <v>0</v>
      </c>
      <c r="D69" s="88" t="e">
        <f t="shared" ref="D69:D81" si="96">(C69-B69)/B69</f>
        <v>#DIV/0!</v>
      </c>
      <c r="E69" s="82">
        <f>'外国語実績201201-201712'!M2555</f>
        <v>0</v>
      </c>
      <c r="F69" s="82">
        <f>'外国語実績201201-201712'!M2567</f>
        <v>0</v>
      </c>
      <c r="G69" s="88" t="e">
        <f t="shared" ref="G69:G81" si="97">(F69-E69)/E69</f>
        <v>#DIV/0!</v>
      </c>
      <c r="H69" s="82">
        <f>'外国語実績201201-201712'!M2584</f>
        <v>0</v>
      </c>
      <c r="I69" s="82">
        <f>'外国語実績201201-201712'!M2596</f>
        <v>0</v>
      </c>
      <c r="J69" s="88" t="e">
        <f t="shared" ref="J69:J81" si="98">(I69-H69)/H69</f>
        <v>#DIV/0!</v>
      </c>
      <c r="K69" s="82">
        <f>'外国語実績201201-201712'!M2613</f>
        <v>0</v>
      </c>
      <c r="L69" s="82">
        <f>'外国語実績201201-201712'!M2625</f>
        <v>0</v>
      </c>
      <c r="M69" s="88" t="e">
        <f t="shared" ref="M69:M81" si="99">(L69-K69)/K69</f>
        <v>#DIV/0!</v>
      </c>
      <c r="N69" s="82"/>
      <c r="O69" s="452"/>
      <c r="P69" s="88" t="e">
        <f t="shared" ref="P69:P81" si="100">(O69-N69)/N69</f>
        <v>#DIV/0!</v>
      </c>
      <c r="Q69" s="82"/>
      <c r="R69" s="452"/>
      <c r="S69" s="88" t="e">
        <f t="shared" ref="S69:S81" si="101">(R69-Q69)/Q69</f>
        <v>#DIV/0!</v>
      </c>
      <c r="T69" s="82"/>
      <c r="U69" s="452"/>
      <c r="V69" s="88" t="e">
        <f t="shared" ref="V69:V81" si="102">(U69-T69)/T69</f>
        <v>#DIV/0!</v>
      </c>
      <c r="W69" s="82"/>
      <c r="X69" s="452"/>
      <c r="Y69" s="88" t="e">
        <f t="shared" ref="Y69:Y81" si="103">(X69-W69)/W69</f>
        <v>#DIV/0!</v>
      </c>
      <c r="Z69" s="82"/>
      <c r="AA69" s="452"/>
      <c r="AB69" s="88" t="e">
        <f t="shared" ref="AB69:AB81" si="104">(AA69-Z69)/Z69</f>
        <v>#DIV/0!</v>
      </c>
      <c r="AC69" s="260">
        <f t="shared" ref="AC69:AC80" si="105">B5+L5+V5+AF5</f>
        <v>223</v>
      </c>
      <c r="AD69" s="261">
        <f t="shared" ref="AD69:AD80" si="106">AY5+C5+M5+W5+AG5+AP5</f>
        <v>489</v>
      </c>
      <c r="AE69" s="261">
        <f t="shared" ref="AE69:AE80" si="107">AZ5+D5+N5+X5+AH5+AQ5</f>
        <v>1950</v>
      </c>
      <c r="AF69" s="261">
        <f t="shared" ref="AF69:AF80" si="108">BH5+E5+O5+Y5+AI5+AR5+BA5</f>
        <v>4852</v>
      </c>
      <c r="AG69" s="261">
        <f t="shared" ref="AG69:AG80" si="109">BI5+F5+P5+Z5+AJ5+AS5+BB5</f>
        <v>5681</v>
      </c>
      <c r="AH69" s="262">
        <f t="shared" ref="AH69:AH80" si="110">BJ5+G5+Q5+AA5+AK5+AT5+BC5+B21+G21+L21+Q21+V21+AA21+AF21+AK21+AP21+AU21+AZ21+B37+G37+L37+Q37+V37+AA37+AF37+AK37+AP37+AU37+AZ37</f>
        <v>12400</v>
      </c>
      <c r="AI69" s="262">
        <f t="shared" ref="AI69:AI80" si="111">BK5+H5+R5+AB5+AL5+AU5+BD5+C21+H21+M21+R21+W21+AB21+AG21+AL21+AQ21+AV21+BA21+C37+H37+M37+R37+W37+AB37+AG37+AL37+AQ37+AV37+BA37+BE37+BI37+B53+F53+J53+N53+R53+V53+Z53+AD53+AH53+AL53+AP53+AT53+AX53+BB53+BF53+BJ53+BO53</f>
        <v>12037</v>
      </c>
      <c r="AJ69" s="262">
        <f>BL5+I5+S5+AC5+AM5+AV5+BE5+D21+I21+N21+S21+X21+AC21+AH21+AM21+AR21+AW21+BB21+D37+I37+N37+S37+X37+AC37+AH37+AM37+AR37+AW37+BB37+BF37+BJ37+C53+G53+K53+O53+S53+W53+AA53+AE53+AI53+AM53+AQ53+AU53+AY53+BC53+BG53+BK53+B69+E69+H69+K69+N69+Q69+T69+W69+Z69</f>
        <v>10628</v>
      </c>
      <c r="AK69" s="262">
        <f>BM5+J5+T5+AD5+AN5+AW5+BF5+E21+J21+O21+T21+Y21+AD21+AI21+AN21+AS21+AX21+BC21+E37+J37+O37+T37+Y37+AD37+AI37+AN37+AS37+AX37+BC37+BG37+BK37+D53+H53+L53+P53+T53+X53+AB53+AF53+AJ53+AN53+AR53+AV53+AZ53+BD53+BH53+BL53+C69+F69+I69+L69+O69+R69+U69+X69+AA69</f>
        <v>84</v>
      </c>
      <c r="AL69" s="88">
        <f>(AK69-AJ69)/AJ69</f>
        <v>-0.99209634926608958</v>
      </c>
      <c r="AM69" s="55"/>
      <c r="AN69" s="56"/>
      <c r="AO69" s="55"/>
      <c r="AP69" s="55"/>
      <c r="AQ69" s="56"/>
      <c r="AR69" s="55"/>
      <c r="AS69" s="55"/>
      <c r="AT69" s="56"/>
      <c r="AU69" s="55"/>
      <c r="AV69" s="55"/>
      <c r="AW69" s="56"/>
      <c r="AX69" s="55"/>
      <c r="AY69" s="55"/>
      <c r="AZ69" s="56"/>
      <c r="BA69" s="55"/>
      <c r="BB69" s="55"/>
      <c r="BC69" s="56"/>
      <c r="BD69" s="55"/>
      <c r="BE69" s="55"/>
      <c r="BF69" s="56"/>
      <c r="BG69" s="55"/>
      <c r="BH69" s="55"/>
      <c r="BI69" s="56"/>
      <c r="BJ69" s="55"/>
      <c r="BK69" s="55"/>
      <c r="BL69" s="56"/>
      <c r="BM69" s="57"/>
      <c r="BN69" s="57"/>
      <c r="BO69" s="57"/>
      <c r="BP69" s="57"/>
      <c r="BQ69" s="57"/>
      <c r="BR69" s="57"/>
      <c r="BS69" s="58"/>
      <c r="BT69" s="56"/>
      <c r="BU69" s="47"/>
    </row>
    <row r="70" spans="1:78" s="27" customFormat="1" ht="74.25" customHeight="1">
      <c r="A70" s="199" t="s">
        <v>13</v>
      </c>
      <c r="B70" s="82">
        <f>'外国語実績201201-201712'!M2528</f>
        <v>1</v>
      </c>
      <c r="C70" s="82">
        <f>'外国語実績201201-201712'!M2540</f>
        <v>0</v>
      </c>
      <c r="D70" s="88">
        <f t="shared" si="96"/>
        <v>-1</v>
      </c>
      <c r="E70" s="82">
        <f>'外国語実績201201-201712'!M2556</f>
        <v>0</v>
      </c>
      <c r="F70" s="82">
        <f>'外国語実績201201-201712'!M2568</f>
        <v>0</v>
      </c>
      <c r="G70" s="88" t="e">
        <f t="shared" si="97"/>
        <v>#DIV/0!</v>
      </c>
      <c r="H70" s="82">
        <f>'外国語実績201201-201712'!M2585</f>
        <v>0</v>
      </c>
      <c r="I70" s="82">
        <f>'外国語実績201201-201712'!M2597</f>
        <v>0</v>
      </c>
      <c r="J70" s="88" t="e">
        <f t="shared" si="98"/>
        <v>#DIV/0!</v>
      </c>
      <c r="K70" s="82">
        <f>'外国語実績201201-201712'!M2614</f>
        <v>0</v>
      </c>
      <c r="L70" s="82">
        <f>'外国語実績201201-201712'!M2626</f>
        <v>0</v>
      </c>
      <c r="M70" s="88" t="e">
        <f t="shared" si="99"/>
        <v>#DIV/0!</v>
      </c>
      <c r="N70" s="82"/>
      <c r="O70" s="452"/>
      <c r="P70" s="88" t="e">
        <f t="shared" si="100"/>
        <v>#DIV/0!</v>
      </c>
      <c r="Q70" s="82"/>
      <c r="R70" s="452"/>
      <c r="S70" s="88" t="e">
        <f t="shared" si="101"/>
        <v>#DIV/0!</v>
      </c>
      <c r="T70" s="82"/>
      <c r="U70" s="452"/>
      <c r="V70" s="88" t="e">
        <f t="shared" si="102"/>
        <v>#DIV/0!</v>
      </c>
      <c r="W70" s="82"/>
      <c r="X70" s="452"/>
      <c r="Y70" s="88" t="e">
        <f t="shared" si="103"/>
        <v>#DIV/0!</v>
      </c>
      <c r="Z70" s="82"/>
      <c r="AA70" s="452"/>
      <c r="AB70" s="88" t="e">
        <f t="shared" si="104"/>
        <v>#DIV/0!</v>
      </c>
      <c r="AC70" s="260">
        <f t="shared" si="105"/>
        <v>233</v>
      </c>
      <c r="AD70" s="261">
        <f t="shared" si="106"/>
        <v>530</v>
      </c>
      <c r="AE70" s="263">
        <f t="shared" si="107"/>
        <v>1962</v>
      </c>
      <c r="AF70" s="261">
        <f t="shared" si="108"/>
        <v>4702</v>
      </c>
      <c r="AG70" s="261">
        <f t="shared" si="109"/>
        <v>4897</v>
      </c>
      <c r="AH70" s="262">
        <f t="shared" si="110"/>
        <v>9584</v>
      </c>
      <c r="AI70" s="262">
        <f t="shared" si="111"/>
        <v>9502</v>
      </c>
      <c r="AJ70" s="262">
        <f t="shared" ref="AJ70:AJ80" si="112">BL6+I6+S6+AC6+AM6+AV6+BE6+D22+I22+N22+S22+X22+AC22+AH22+AM22+AR22+AW22+BB22+D38+I38+N38+S38+X38+AC38+AH38+AM38+AR38+AW38+BB38+BF38+BJ38+C54+G54+K54+O54+S54+W54+AA54+AE54+AI54+AM54+AQ54+AU54+AY54+BC54+BG54+BK54+B70+E70+H70+K70+N70+Q70+T70+W70+Z70</f>
        <v>8726</v>
      </c>
      <c r="AK70" s="262">
        <f t="shared" ref="AK70:AK77" si="113">BM6+J6+T6+AD6+AN6+AW6+BF6+E22+J22+O22+T22+Y22+AD22+AI22+AN22+AS22+AX22+BC22+E38+J38+O38+T38+Y38+AD38+AI38+AN38+AS38+AX38+BC38+BG38+BK38+D54+H54+L54+P54+T54+X54+AB54+AF54+AJ54+AN54+AR54+AV54+AZ54+BD54+BH54+BL54+C70+F70+I70+L70+O70+R70+U70+X70+AA70</f>
        <v>75</v>
      </c>
      <c r="AL70" s="88">
        <f t="shared" ref="AL70:AL81" si="114">(AK70-AJ70)/AJ70</f>
        <v>-0.99140499656199865</v>
      </c>
      <c r="AM70" s="55"/>
      <c r="AN70" s="56"/>
      <c r="AO70" s="55"/>
      <c r="AP70" s="55"/>
      <c r="AQ70" s="56"/>
      <c r="AR70" s="55"/>
      <c r="AS70" s="55"/>
      <c r="AT70" s="56"/>
      <c r="AU70" s="55"/>
      <c r="AV70" s="55"/>
      <c r="AW70" s="56"/>
      <c r="AX70" s="55"/>
      <c r="AY70" s="55"/>
      <c r="AZ70" s="56"/>
      <c r="BA70" s="55"/>
      <c r="BB70" s="55"/>
      <c r="BC70" s="56"/>
      <c r="BD70" s="55"/>
      <c r="BE70" s="55"/>
      <c r="BF70" s="56"/>
      <c r="BG70" s="55"/>
      <c r="BH70" s="55"/>
      <c r="BI70" s="56"/>
      <c r="BJ70" s="55"/>
      <c r="BK70" s="55"/>
      <c r="BL70" s="56"/>
      <c r="BM70" s="57"/>
      <c r="BN70" s="57"/>
      <c r="BO70" s="57"/>
      <c r="BP70" s="57"/>
      <c r="BQ70" s="57"/>
      <c r="BR70" s="57"/>
      <c r="BS70" s="58"/>
      <c r="BT70" s="56"/>
      <c r="BU70" s="47"/>
    </row>
    <row r="71" spans="1:78" s="27" customFormat="1" ht="74.25" customHeight="1">
      <c r="A71" s="217" t="s">
        <v>14</v>
      </c>
      <c r="B71" s="82">
        <f>'外国語実績201201-201712'!M2529</f>
        <v>0</v>
      </c>
      <c r="C71" s="82">
        <f>'外国語実績201201-201712'!M2541</f>
        <v>0</v>
      </c>
      <c r="D71" s="88" t="e">
        <f t="shared" si="96"/>
        <v>#DIV/0!</v>
      </c>
      <c r="E71" s="82">
        <f>'外国語実績201201-201712'!M2557</f>
        <v>0</v>
      </c>
      <c r="F71" s="82">
        <f>'外国語実績201201-201712'!M2569</f>
        <v>0</v>
      </c>
      <c r="G71" s="88" t="e">
        <f t="shared" si="97"/>
        <v>#DIV/0!</v>
      </c>
      <c r="H71" s="82">
        <f>'外国語実績201201-201712'!M2586</f>
        <v>0</v>
      </c>
      <c r="I71" s="82">
        <f>'外国語実績201201-201712'!M2598</f>
        <v>0</v>
      </c>
      <c r="J71" s="88" t="e">
        <f t="shared" si="98"/>
        <v>#DIV/0!</v>
      </c>
      <c r="K71" s="82">
        <f>'外国語実績201201-201712'!M2615</f>
        <v>0</v>
      </c>
      <c r="L71" s="82">
        <f>'外国語実績201201-201712'!M2627</f>
        <v>0</v>
      </c>
      <c r="M71" s="88" t="e">
        <f t="shared" si="99"/>
        <v>#DIV/0!</v>
      </c>
      <c r="N71" s="82"/>
      <c r="O71" s="452"/>
      <c r="P71" s="88" t="e">
        <f t="shared" si="100"/>
        <v>#DIV/0!</v>
      </c>
      <c r="Q71" s="82"/>
      <c r="R71" s="452"/>
      <c r="S71" s="88" t="e">
        <f t="shared" si="101"/>
        <v>#DIV/0!</v>
      </c>
      <c r="T71" s="82"/>
      <c r="U71" s="452"/>
      <c r="V71" s="88" t="e">
        <f t="shared" si="102"/>
        <v>#DIV/0!</v>
      </c>
      <c r="W71" s="82"/>
      <c r="X71" s="452"/>
      <c r="Y71" s="88" t="e">
        <f t="shared" si="103"/>
        <v>#DIV/0!</v>
      </c>
      <c r="Z71" s="82"/>
      <c r="AA71" s="452"/>
      <c r="AB71" s="88" t="e">
        <f t="shared" si="104"/>
        <v>#DIV/0!</v>
      </c>
      <c r="AC71" s="264">
        <f t="shared" si="105"/>
        <v>425</v>
      </c>
      <c r="AD71" s="265">
        <f t="shared" si="106"/>
        <v>782</v>
      </c>
      <c r="AE71" s="266">
        <f t="shared" si="107"/>
        <v>2622</v>
      </c>
      <c r="AF71" s="261">
        <f t="shared" si="108"/>
        <v>4935</v>
      </c>
      <c r="AG71" s="261">
        <f t="shared" si="109"/>
        <v>5138</v>
      </c>
      <c r="AH71" s="262">
        <f t="shared" si="110"/>
        <v>7240</v>
      </c>
      <c r="AI71" s="262">
        <f t="shared" si="111"/>
        <v>8175</v>
      </c>
      <c r="AJ71" s="262">
        <f t="shared" si="112"/>
        <v>7031</v>
      </c>
      <c r="AK71" s="262">
        <f t="shared" si="113"/>
        <v>160</v>
      </c>
      <c r="AL71" s="88">
        <f t="shared" si="114"/>
        <v>-0.97724363532925618</v>
      </c>
      <c r="AM71" s="55"/>
      <c r="AN71" s="56"/>
      <c r="AO71" s="55"/>
      <c r="AP71" s="55"/>
      <c r="AQ71" s="56"/>
      <c r="AR71" s="55"/>
      <c r="AS71" s="55"/>
      <c r="AT71" s="56"/>
      <c r="AU71" s="55"/>
      <c r="AV71" s="55"/>
      <c r="AW71" s="56"/>
      <c r="AX71" s="55"/>
      <c r="AY71" s="55"/>
      <c r="AZ71" s="56"/>
      <c r="BA71" s="55"/>
      <c r="BB71" s="55"/>
      <c r="BC71" s="56"/>
      <c r="BD71" s="55"/>
      <c r="BE71" s="55"/>
      <c r="BF71" s="56"/>
      <c r="BG71" s="55"/>
      <c r="BH71" s="55"/>
      <c r="BI71" s="56"/>
      <c r="BJ71" s="55"/>
      <c r="BK71" s="55"/>
      <c r="BL71" s="56"/>
      <c r="BM71" s="57"/>
      <c r="BN71" s="57"/>
      <c r="BO71" s="57"/>
      <c r="BP71" s="57"/>
      <c r="BQ71" s="57"/>
      <c r="BR71" s="57"/>
      <c r="BS71" s="58"/>
      <c r="BT71" s="56"/>
      <c r="BU71" s="47"/>
    </row>
    <row r="72" spans="1:78" s="27" customFormat="1" ht="74.25" customHeight="1">
      <c r="A72" s="225" t="s">
        <v>15</v>
      </c>
      <c r="B72" s="82">
        <f>'外国語実績201201-201712'!M2530</f>
        <v>0</v>
      </c>
      <c r="C72" s="82">
        <f>'外国語実績201201-201712'!M2542</f>
        <v>0</v>
      </c>
      <c r="D72" s="88" t="e">
        <f t="shared" si="96"/>
        <v>#DIV/0!</v>
      </c>
      <c r="E72" s="82">
        <f>'外国語実績201201-201712'!M2558</f>
        <v>1</v>
      </c>
      <c r="F72" s="82">
        <f>'外国語実績201201-201712'!M2570</f>
        <v>0</v>
      </c>
      <c r="G72" s="88">
        <f t="shared" si="97"/>
        <v>-1</v>
      </c>
      <c r="H72" s="82">
        <f>'外国語実績201201-201712'!M2587</f>
        <v>0</v>
      </c>
      <c r="I72" s="82">
        <f>'外国語実績201201-201712'!M2599</f>
        <v>0</v>
      </c>
      <c r="J72" s="88" t="e">
        <f t="shared" si="98"/>
        <v>#DIV/0!</v>
      </c>
      <c r="K72" s="82">
        <f>'外国語実績201201-201712'!M2616</f>
        <v>0</v>
      </c>
      <c r="L72" s="82">
        <f>'外国語実績201201-201712'!M2628</f>
        <v>0</v>
      </c>
      <c r="M72" s="88" t="e">
        <f t="shared" si="99"/>
        <v>#DIV/0!</v>
      </c>
      <c r="N72" s="82"/>
      <c r="O72" s="452"/>
      <c r="P72" s="88" t="e">
        <f t="shared" si="100"/>
        <v>#DIV/0!</v>
      </c>
      <c r="Q72" s="82"/>
      <c r="R72" s="452"/>
      <c r="S72" s="88" t="e">
        <f t="shared" si="101"/>
        <v>#DIV/0!</v>
      </c>
      <c r="T72" s="82"/>
      <c r="U72" s="452"/>
      <c r="V72" s="88" t="e">
        <f t="shared" si="102"/>
        <v>#DIV/0!</v>
      </c>
      <c r="W72" s="82"/>
      <c r="X72" s="452"/>
      <c r="Y72" s="88" t="e">
        <f t="shared" si="103"/>
        <v>#DIV/0!</v>
      </c>
      <c r="Z72" s="82"/>
      <c r="AA72" s="452"/>
      <c r="AB72" s="88" t="e">
        <f t="shared" si="104"/>
        <v>#DIV/0!</v>
      </c>
      <c r="AC72" s="260">
        <f t="shared" si="105"/>
        <v>1300</v>
      </c>
      <c r="AD72" s="261">
        <f t="shared" si="106"/>
        <v>1855</v>
      </c>
      <c r="AE72" s="266">
        <f t="shared" si="107"/>
        <v>4533</v>
      </c>
      <c r="AF72" s="261">
        <f t="shared" si="108"/>
        <v>7159</v>
      </c>
      <c r="AG72" s="261">
        <f t="shared" si="109"/>
        <v>7884</v>
      </c>
      <c r="AH72" s="262">
        <f t="shared" si="110"/>
        <v>10122</v>
      </c>
      <c r="AI72" s="262">
        <f t="shared" si="111"/>
        <v>10267</v>
      </c>
      <c r="AJ72" s="262">
        <f t="shared" si="112"/>
        <v>9539</v>
      </c>
      <c r="AK72" s="262">
        <f t="shared" si="113"/>
        <v>0</v>
      </c>
      <c r="AL72" s="88">
        <f t="shared" si="114"/>
        <v>-1</v>
      </c>
      <c r="AM72" s="55"/>
      <c r="AN72" s="56"/>
      <c r="AO72" s="55"/>
      <c r="AP72" s="55"/>
      <c r="AQ72" s="56"/>
      <c r="AR72" s="55"/>
      <c r="AS72" s="55"/>
      <c r="AT72" s="56"/>
      <c r="AU72" s="55"/>
      <c r="AV72" s="55"/>
      <c r="AW72" s="56"/>
      <c r="AX72" s="55"/>
      <c r="AY72" s="55"/>
      <c r="AZ72" s="56"/>
      <c r="BA72" s="55"/>
      <c r="BB72" s="55"/>
      <c r="BC72" s="56"/>
      <c r="BD72" s="55"/>
      <c r="BE72" s="55"/>
      <c r="BF72" s="56"/>
      <c r="BG72" s="55"/>
      <c r="BH72" s="55"/>
      <c r="BI72" s="56"/>
      <c r="BJ72" s="55"/>
      <c r="BK72" s="55"/>
      <c r="BL72" s="56"/>
      <c r="BM72" s="57"/>
      <c r="BN72" s="57"/>
      <c r="BO72" s="57"/>
      <c r="BP72" s="57"/>
      <c r="BQ72" s="57"/>
      <c r="BR72" s="57"/>
      <c r="BS72" s="58"/>
      <c r="BT72" s="56"/>
      <c r="BU72" s="47"/>
    </row>
    <row r="73" spans="1:78" s="27" customFormat="1" ht="74.25" customHeight="1">
      <c r="A73" s="199" t="s">
        <v>16</v>
      </c>
      <c r="B73" s="82">
        <f>'外国語実績201201-201712'!M2531</f>
        <v>1</v>
      </c>
      <c r="C73" s="82">
        <f>'外国語実績201201-201712'!M2543</f>
        <v>0</v>
      </c>
      <c r="D73" s="88">
        <f t="shared" si="96"/>
        <v>-1</v>
      </c>
      <c r="E73" s="82">
        <f>'外国語実績201201-201712'!M2559</f>
        <v>0</v>
      </c>
      <c r="F73" s="82">
        <f>'外国語実績201201-201712'!M2571</f>
        <v>0</v>
      </c>
      <c r="G73" s="88" t="e">
        <f t="shared" si="97"/>
        <v>#DIV/0!</v>
      </c>
      <c r="H73" s="82">
        <f>'外国語実績201201-201712'!M2588</f>
        <v>0</v>
      </c>
      <c r="I73" s="82">
        <f>'外国語実績201201-201712'!M2600</f>
        <v>0</v>
      </c>
      <c r="J73" s="88" t="e">
        <f t="shared" si="98"/>
        <v>#DIV/0!</v>
      </c>
      <c r="K73" s="82">
        <f>'外国語実績201201-201712'!M2617</f>
        <v>0</v>
      </c>
      <c r="L73" s="82">
        <f>'外国語実績201201-201712'!M2629</f>
        <v>0</v>
      </c>
      <c r="M73" s="88" t="e">
        <f t="shared" si="99"/>
        <v>#DIV/0!</v>
      </c>
      <c r="N73" s="82"/>
      <c r="O73" s="452"/>
      <c r="P73" s="88" t="e">
        <f t="shared" si="100"/>
        <v>#DIV/0!</v>
      </c>
      <c r="Q73" s="82"/>
      <c r="R73" s="452"/>
      <c r="S73" s="88" t="e">
        <f t="shared" si="101"/>
        <v>#DIV/0!</v>
      </c>
      <c r="T73" s="82"/>
      <c r="U73" s="452"/>
      <c r="V73" s="88" t="e">
        <f t="shared" si="102"/>
        <v>#DIV/0!</v>
      </c>
      <c r="W73" s="82"/>
      <c r="X73" s="452"/>
      <c r="Y73" s="88" t="e">
        <f t="shared" si="103"/>
        <v>#DIV/0!</v>
      </c>
      <c r="Z73" s="82"/>
      <c r="AA73" s="452"/>
      <c r="AB73" s="88" t="e">
        <f t="shared" si="104"/>
        <v>#DIV/0!</v>
      </c>
      <c r="AC73" s="260">
        <f t="shared" si="105"/>
        <v>1126</v>
      </c>
      <c r="AD73" s="261">
        <f t="shared" si="106"/>
        <v>1662</v>
      </c>
      <c r="AE73" s="266">
        <f t="shared" si="107"/>
        <v>3943</v>
      </c>
      <c r="AF73" s="261">
        <f t="shared" si="108"/>
        <v>6496</v>
      </c>
      <c r="AG73" s="261">
        <f t="shared" si="109"/>
        <v>7761</v>
      </c>
      <c r="AH73" s="262">
        <f t="shared" si="110"/>
        <v>7839</v>
      </c>
      <c r="AI73" s="262">
        <f t="shared" si="111"/>
        <v>8527</v>
      </c>
      <c r="AJ73" s="262">
        <f t="shared" si="112"/>
        <v>8413</v>
      </c>
      <c r="AK73" s="262">
        <f t="shared" si="113"/>
        <v>0</v>
      </c>
      <c r="AL73" s="88">
        <f t="shared" si="114"/>
        <v>-1</v>
      </c>
      <c r="AM73" s="55"/>
      <c r="AN73" s="56"/>
      <c r="AO73" s="55"/>
      <c r="AP73" s="55"/>
      <c r="AQ73" s="56"/>
      <c r="AR73" s="55"/>
      <c r="AS73" s="55"/>
      <c r="AT73" s="56"/>
      <c r="AU73" s="55"/>
      <c r="AV73" s="55"/>
      <c r="AW73" s="56"/>
      <c r="AX73" s="55"/>
      <c r="AY73" s="55"/>
      <c r="AZ73" s="56"/>
      <c r="BA73" s="55"/>
      <c r="BB73" s="55"/>
      <c r="BC73" s="56"/>
      <c r="BD73" s="55"/>
      <c r="BE73" s="55"/>
      <c r="BF73" s="56"/>
      <c r="BG73" s="55"/>
      <c r="BH73" s="55"/>
      <c r="BI73" s="56"/>
      <c r="BJ73" s="55"/>
      <c r="BK73" s="55"/>
      <c r="BL73" s="56"/>
      <c r="BM73" s="57"/>
      <c r="BN73" s="57"/>
      <c r="BO73" s="57"/>
      <c r="BP73" s="57"/>
      <c r="BQ73" s="57"/>
      <c r="BR73" s="57"/>
      <c r="BS73" s="58"/>
      <c r="BT73" s="56"/>
      <c r="BU73" s="47"/>
    </row>
    <row r="74" spans="1:78" s="27" customFormat="1" ht="74.25" customHeight="1">
      <c r="A74" s="199" t="s">
        <v>17</v>
      </c>
      <c r="B74" s="82">
        <f>'外国語実績201201-201712'!M2532</f>
        <v>0</v>
      </c>
      <c r="C74" s="82">
        <f>'外国語実績201201-201712'!M2544</f>
        <v>0</v>
      </c>
      <c r="D74" s="88" t="e">
        <f t="shared" si="96"/>
        <v>#DIV/0!</v>
      </c>
      <c r="E74" s="82">
        <f>'外国語実績201201-201712'!M2560</f>
        <v>0</v>
      </c>
      <c r="F74" s="82">
        <f>'外国語実績201201-201712'!M2572</f>
        <v>0</v>
      </c>
      <c r="G74" s="88" t="e">
        <f t="shared" si="97"/>
        <v>#DIV/0!</v>
      </c>
      <c r="H74" s="82">
        <f>'外国語実績201201-201712'!M2589</f>
        <v>1</v>
      </c>
      <c r="I74" s="82">
        <f>'外国語実績201201-201712'!M2601</f>
        <v>0</v>
      </c>
      <c r="J74" s="88">
        <f t="shared" si="98"/>
        <v>-1</v>
      </c>
      <c r="K74" s="82">
        <f>'外国語実績201201-201712'!M2618</f>
        <v>0</v>
      </c>
      <c r="L74" s="82">
        <f>'外国語実績201201-201712'!M2630</f>
        <v>0</v>
      </c>
      <c r="M74" s="88" t="e">
        <f t="shared" si="99"/>
        <v>#DIV/0!</v>
      </c>
      <c r="N74" s="82"/>
      <c r="O74" s="452"/>
      <c r="P74" s="88" t="e">
        <f t="shared" si="100"/>
        <v>#DIV/0!</v>
      </c>
      <c r="Q74" s="82"/>
      <c r="R74" s="452"/>
      <c r="S74" s="88" t="e">
        <f t="shared" si="101"/>
        <v>#DIV/0!</v>
      </c>
      <c r="T74" s="82"/>
      <c r="U74" s="452"/>
      <c r="V74" s="88" t="e">
        <f t="shared" si="102"/>
        <v>#DIV/0!</v>
      </c>
      <c r="W74" s="82"/>
      <c r="X74" s="452"/>
      <c r="Y74" s="88" t="e">
        <f t="shared" si="103"/>
        <v>#DIV/0!</v>
      </c>
      <c r="Z74" s="82"/>
      <c r="AA74" s="452"/>
      <c r="AB74" s="88" t="e">
        <f t="shared" si="104"/>
        <v>#DIV/0!</v>
      </c>
      <c r="AC74" s="260">
        <f t="shared" si="105"/>
        <v>318</v>
      </c>
      <c r="AD74" s="261">
        <f t="shared" si="106"/>
        <v>936</v>
      </c>
      <c r="AE74" s="266">
        <f t="shared" si="107"/>
        <v>2351</v>
      </c>
      <c r="AF74" s="261">
        <f t="shared" si="108"/>
        <v>4981</v>
      </c>
      <c r="AG74" s="261">
        <f t="shared" si="109"/>
        <v>6358</v>
      </c>
      <c r="AH74" s="262">
        <f t="shared" si="110"/>
        <v>7304</v>
      </c>
      <c r="AI74" s="262">
        <f t="shared" si="111"/>
        <v>7032</v>
      </c>
      <c r="AJ74" s="262">
        <f t="shared" si="112"/>
        <v>7258</v>
      </c>
      <c r="AK74" s="262">
        <f t="shared" si="113"/>
        <v>0</v>
      </c>
      <c r="AL74" s="88">
        <f t="shared" si="114"/>
        <v>-1</v>
      </c>
      <c r="AM74" s="55"/>
      <c r="AN74" s="56"/>
      <c r="AO74" s="55"/>
      <c r="AP74" s="55"/>
      <c r="AQ74" s="56"/>
      <c r="AR74" s="55"/>
      <c r="AS74" s="55"/>
      <c r="AT74" s="56"/>
      <c r="AU74" s="55"/>
      <c r="AV74" s="55"/>
      <c r="AW74" s="56"/>
      <c r="AX74" s="55"/>
      <c r="AY74" s="55"/>
      <c r="AZ74" s="56"/>
      <c r="BA74" s="55"/>
      <c r="BB74" s="55"/>
      <c r="BC74" s="56"/>
      <c r="BD74" s="55"/>
      <c r="BE74" s="55"/>
      <c r="BF74" s="56"/>
      <c r="BG74" s="55"/>
      <c r="BH74" s="55"/>
      <c r="BI74" s="56"/>
      <c r="BJ74" s="55"/>
      <c r="BK74" s="55"/>
      <c r="BL74" s="56"/>
      <c r="BM74" s="57"/>
      <c r="BN74" s="57"/>
      <c r="BO74" s="57"/>
      <c r="BP74" s="57"/>
      <c r="BQ74" s="57"/>
      <c r="BR74" s="57"/>
      <c r="BS74" s="58"/>
      <c r="BT74" s="56"/>
      <c r="BU74" s="47"/>
    </row>
    <row r="75" spans="1:78" s="27" customFormat="1" ht="74.25" customHeight="1">
      <c r="A75" s="199" t="s">
        <v>18</v>
      </c>
      <c r="B75" s="82">
        <f>'外国語実績201201-201712'!M2533</f>
        <v>0</v>
      </c>
      <c r="C75" s="82">
        <f>'外国語実績201201-201712'!M2545</f>
        <v>0</v>
      </c>
      <c r="D75" s="88" t="e">
        <f t="shared" si="96"/>
        <v>#DIV/0!</v>
      </c>
      <c r="E75" s="82">
        <f>'外国語実績201201-201712'!M2561</f>
        <v>0</v>
      </c>
      <c r="F75" s="82">
        <f>'外国語実績201201-201712'!M2573</f>
        <v>0</v>
      </c>
      <c r="G75" s="88" t="e">
        <f t="shared" si="97"/>
        <v>#DIV/0!</v>
      </c>
      <c r="H75" s="82">
        <f>'外国語実績201201-201712'!M2590</f>
        <v>0</v>
      </c>
      <c r="I75" s="82">
        <f>'外国語実績201201-201712'!M2602</f>
        <v>0</v>
      </c>
      <c r="J75" s="88" t="e">
        <f t="shared" si="98"/>
        <v>#DIV/0!</v>
      </c>
      <c r="K75" s="82">
        <f>'外国語実績201201-201712'!M2619</f>
        <v>0</v>
      </c>
      <c r="L75" s="82">
        <f>'外国語実績201201-201712'!M2631</f>
        <v>0</v>
      </c>
      <c r="M75" s="88" t="e">
        <f t="shared" si="99"/>
        <v>#DIV/0!</v>
      </c>
      <c r="N75" s="82"/>
      <c r="O75" s="452"/>
      <c r="P75" s="88" t="e">
        <f t="shared" si="100"/>
        <v>#DIV/0!</v>
      </c>
      <c r="Q75" s="82"/>
      <c r="R75" s="452"/>
      <c r="S75" s="88" t="e">
        <f t="shared" si="101"/>
        <v>#DIV/0!</v>
      </c>
      <c r="T75" s="82"/>
      <c r="U75" s="452"/>
      <c r="V75" s="88" t="e">
        <f t="shared" si="102"/>
        <v>#DIV/0!</v>
      </c>
      <c r="W75" s="82"/>
      <c r="X75" s="452"/>
      <c r="Y75" s="88" t="e">
        <f t="shared" si="103"/>
        <v>#DIV/0!</v>
      </c>
      <c r="Z75" s="82"/>
      <c r="AA75" s="452"/>
      <c r="AB75" s="88" t="e">
        <f t="shared" si="104"/>
        <v>#DIV/0!</v>
      </c>
      <c r="AC75" s="267">
        <f t="shared" si="105"/>
        <v>262</v>
      </c>
      <c r="AD75" s="268">
        <f t="shared" si="106"/>
        <v>546</v>
      </c>
      <c r="AE75" s="266">
        <f t="shared" si="107"/>
        <v>2654</v>
      </c>
      <c r="AF75" s="265">
        <f t="shared" si="108"/>
        <v>6996</v>
      </c>
      <c r="AG75" s="265">
        <f t="shared" si="109"/>
        <v>9498</v>
      </c>
      <c r="AH75" s="262">
        <f t="shared" si="110"/>
        <v>8108</v>
      </c>
      <c r="AI75" s="262">
        <f t="shared" si="111"/>
        <v>9752</v>
      </c>
      <c r="AJ75" s="262">
        <f t="shared" si="112"/>
        <v>9490</v>
      </c>
      <c r="AK75" s="262">
        <f t="shared" si="113"/>
        <v>0</v>
      </c>
      <c r="AL75" s="88">
        <f t="shared" si="114"/>
        <v>-1</v>
      </c>
      <c r="AM75" s="55"/>
      <c r="AN75" s="56"/>
      <c r="AO75" s="55"/>
      <c r="AP75" s="55"/>
      <c r="AQ75" s="56"/>
      <c r="AR75" s="55"/>
      <c r="AS75" s="55"/>
      <c r="AT75" s="56"/>
      <c r="AU75" s="55"/>
      <c r="AV75" s="55"/>
      <c r="AW75" s="56"/>
      <c r="AX75" s="55"/>
      <c r="AY75" s="55"/>
      <c r="AZ75" s="56"/>
      <c r="BA75" s="55"/>
      <c r="BB75" s="55"/>
      <c r="BC75" s="56"/>
      <c r="BD75" s="55"/>
      <c r="BE75" s="55"/>
      <c r="BF75" s="56"/>
      <c r="BG75" s="55"/>
      <c r="BH75" s="55"/>
      <c r="BI75" s="56"/>
      <c r="BJ75" s="55"/>
      <c r="BK75" s="55"/>
      <c r="BL75" s="56"/>
      <c r="BM75" s="57"/>
      <c r="BN75" s="57"/>
      <c r="BO75" s="57"/>
      <c r="BP75" s="57"/>
      <c r="BQ75" s="57"/>
      <c r="BR75" s="57"/>
      <c r="BS75" s="58"/>
      <c r="BT75" s="56"/>
      <c r="BU75" s="47"/>
    </row>
    <row r="76" spans="1:78" s="27" customFormat="1" ht="74.25" customHeight="1">
      <c r="A76" s="199" t="s">
        <v>19</v>
      </c>
      <c r="B76" s="82">
        <f>'外国語実績201201-201712'!M2534</f>
        <v>2</v>
      </c>
      <c r="C76" s="82">
        <f>'外国語実績201201-201712'!M2546</f>
        <v>0</v>
      </c>
      <c r="D76" s="88">
        <f t="shared" si="96"/>
        <v>-1</v>
      </c>
      <c r="E76" s="82">
        <f>'外国語実績201201-201712'!M2562</f>
        <v>0</v>
      </c>
      <c r="F76" s="82">
        <f>'外国語実績201201-201712'!M2574</f>
        <v>0</v>
      </c>
      <c r="G76" s="88" t="e">
        <f t="shared" si="97"/>
        <v>#DIV/0!</v>
      </c>
      <c r="H76" s="82">
        <f>'外国語実績201201-201712'!M2591</f>
        <v>0</v>
      </c>
      <c r="I76" s="82">
        <f>'外国語実績201201-201712'!M2603</f>
        <v>0</v>
      </c>
      <c r="J76" s="88" t="e">
        <f t="shared" si="98"/>
        <v>#DIV/0!</v>
      </c>
      <c r="K76" s="82">
        <f>'外国語実績201201-201712'!M2620</f>
        <v>1</v>
      </c>
      <c r="L76" s="82">
        <f>'外国語実績201201-201712'!M2632</f>
        <v>0</v>
      </c>
      <c r="M76" s="88">
        <f t="shared" si="99"/>
        <v>-1</v>
      </c>
      <c r="N76" s="82"/>
      <c r="O76" s="452"/>
      <c r="P76" s="88" t="e">
        <f t="shared" si="100"/>
        <v>#DIV/0!</v>
      </c>
      <c r="Q76" s="82"/>
      <c r="R76" s="452"/>
      <c r="S76" s="88" t="e">
        <f t="shared" si="101"/>
        <v>#DIV/0!</v>
      </c>
      <c r="T76" s="82"/>
      <c r="U76" s="452"/>
      <c r="V76" s="88" t="e">
        <f t="shared" si="102"/>
        <v>#DIV/0!</v>
      </c>
      <c r="W76" s="82"/>
      <c r="X76" s="452"/>
      <c r="Y76" s="88" t="e">
        <f t="shared" si="103"/>
        <v>#DIV/0!</v>
      </c>
      <c r="Z76" s="82"/>
      <c r="AA76" s="452"/>
      <c r="AB76" s="88" t="e">
        <f t="shared" si="104"/>
        <v>#DIV/0!</v>
      </c>
      <c r="AC76" s="267">
        <f t="shared" si="105"/>
        <v>272</v>
      </c>
      <c r="AD76" s="268">
        <f t="shared" si="106"/>
        <v>635</v>
      </c>
      <c r="AE76" s="266">
        <f t="shared" si="107"/>
        <v>2952</v>
      </c>
      <c r="AF76" s="265">
        <f t="shared" si="108"/>
        <v>7178</v>
      </c>
      <c r="AG76" s="265">
        <f t="shared" si="109"/>
        <v>9953</v>
      </c>
      <c r="AH76" s="262">
        <f t="shared" si="110"/>
        <v>9551</v>
      </c>
      <c r="AI76" s="262">
        <f t="shared" si="111"/>
        <v>10109</v>
      </c>
      <c r="AJ76" s="262">
        <f t="shared" si="112"/>
        <v>11905</v>
      </c>
      <c r="AK76" s="262">
        <f t="shared" si="113"/>
        <v>0</v>
      </c>
      <c r="AL76" s="88">
        <f t="shared" si="114"/>
        <v>-1</v>
      </c>
      <c r="AM76" s="55"/>
      <c r="AN76" s="56"/>
      <c r="AO76" s="55"/>
      <c r="AP76" s="55"/>
      <c r="AQ76" s="56"/>
      <c r="AR76" s="55"/>
      <c r="AS76" s="55"/>
      <c r="AT76" s="56"/>
      <c r="AU76" s="55"/>
      <c r="AV76" s="55"/>
      <c r="AW76" s="56"/>
      <c r="AX76" s="55"/>
      <c r="AY76" s="55"/>
      <c r="AZ76" s="56"/>
      <c r="BA76" s="55"/>
      <c r="BB76" s="55"/>
      <c r="BC76" s="56"/>
      <c r="BD76" s="55"/>
      <c r="BE76" s="55"/>
      <c r="BF76" s="56"/>
      <c r="BG76" s="55"/>
      <c r="BH76" s="55"/>
      <c r="BI76" s="56"/>
      <c r="BJ76" s="55"/>
      <c r="BK76" s="55"/>
      <c r="BL76" s="56"/>
      <c r="BM76" s="57"/>
      <c r="BN76" s="57"/>
      <c r="BO76" s="57"/>
      <c r="BP76" s="57"/>
      <c r="BQ76" s="57"/>
      <c r="BR76" s="57"/>
      <c r="BS76" s="58"/>
      <c r="BT76" s="56"/>
      <c r="BU76" s="47"/>
    </row>
    <row r="77" spans="1:78" s="27" customFormat="1" ht="74.25" customHeight="1">
      <c r="A77" s="199" t="s">
        <v>20</v>
      </c>
      <c r="B77" s="82">
        <f>'外国語実績201201-201712'!M2535</f>
        <v>1</v>
      </c>
      <c r="C77" s="82">
        <f>'外国語実績201201-201712'!M2547</f>
        <v>0</v>
      </c>
      <c r="D77" s="88">
        <f t="shared" si="96"/>
        <v>-1</v>
      </c>
      <c r="E77" s="82">
        <f>'外国語実績201201-201712'!M2563</f>
        <v>0</v>
      </c>
      <c r="F77" s="82">
        <f>'外国語実績201201-201712'!M2575</f>
        <v>0</v>
      </c>
      <c r="G77" s="88" t="e">
        <f t="shared" si="97"/>
        <v>#DIV/0!</v>
      </c>
      <c r="H77" s="82">
        <f>'外国語実績201201-201712'!M2592</f>
        <v>0</v>
      </c>
      <c r="I77" s="82">
        <f>'外国語実績201201-201712'!M2604</f>
        <v>0</v>
      </c>
      <c r="J77" s="88" t="e">
        <f t="shared" si="98"/>
        <v>#DIV/0!</v>
      </c>
      <c r="K77" s="82">
        <f>'外国語実績201201-201712'!M2621</f>
        <v>5</v>
      </c>
      <c r="L77" s="82">
        <f>'外国語実績201201-201712'!M2633</f>
        <v>0</v>
      </c>
      <c r="M77" s="88">
        <f t="shared" si="99"/>
        <v>-1</v>
      </c>
      <c r="N77" s="82"/>
      <c r="O77" s="452"/>
      <c r="P77" s="88" t="e">
        <f t="shared" si="100"/>
        <v>#DIV/0!</v>
      </c>
      <c r="Q77" s="82"/>
      <c r="R77" s="452"/>
      <c r="S77" s="88" t="e">
        <f t="shared" si="101"/>
        <v>#DIV/0!</v>
      </c>
      <c r="T77" s="82"/>
      <c r="U77" s="452"/>
      <c r="V77" s="88" t="e">
        <f t="shared" si="102"/>
        <v>#DIV/0!</v>
      </c>
      <c r="W77" s="82"/>
      <c r="X77" s="452"/>
      <c r="Y77" s="88" t="e">
        <f t="shared" si="103"/>
        <v>#DIV/0!</v>
      </c>
      <c r="Z77" s="82"/>
      <c r="AA77" s="452"/>
      <c r="AB77" s="88" t="e">
        <f t="shared" si="104"/>
        <v>#DIV/0!</v>
      </c>
      <c r="AC77" s="269">
        <f t="shared" si="105"/>
        <v>323</v>
      </c>
      <c r="AD77" s="270">
        <f t="shared" si="106"/>
        <v>950</v>
      </c>
      <c r="AE77" s="263">
        <f t="shared" si="107"/>
        <v>3143</v>
      </c>
      <c r="AF77" s="261">
        <f t="shared" si="108"/>
        <v>6928</v>
      </c>
      <c r="AG77" s="265">
        <f t="shared" si="109"/>
        <v>8737</v>
      </c>
      <c r="AH77" s="262">
        <f t="shared" si="110"/>
        <v>8187</v>
      </c>
      <c r="AI77" s="262">
        <f t="shared" si="111"/>
        <v>8920</v>
      </c>
      <c r="AJ77" s="262">
        <f t="shared" si="112"/>
        <v>10125</v>
      </c>
      <c r="AK77" s="262">
        <f t="shared" si="113"/>
        <v>0</v>
      </c>
      <c r="AL77" s="88">
        <f t="shared" si="114"/>
        <v>-1</v>
      </c>
      <c r="AM77" s="55"/>
      <c r="AN77" s="56"/>
      <c r="AO77" s="55"/>
      <c r="AP77" s="55"/>
      <c r="AQ77" s="56"/>
      <c r="AR77" s="55"/>
      <c r="AS77" s="55"/>
      <c r="AT77" s="56"/>
      <c r="AU77" s="55"/>
      <c r="AV77" s="55"/>
      <c r="AW77" s="56"/>
      <c r="AX77" s="55"/>
      <c r="AY77" s="55"/>
      <c r="AZ77" s="56"/>
      <c r="BA77" s="55"/>
      <c r="BB77" s="55"/>
      <c r="BC77" s="56"/>
      <c r="BD77" s="55"/>
      <c r="BE77" s="55"/>
      <c r="BF77" s="56"/>
      <c r="BG77" s="55"/>
      <c r="BH77" s="55"/>
      <c r="BI77" s="56"/>
      <c r="BJ77" s="55"/>
      <c r="BK77" s="55"/>
      <c r="BL77" s="56"/>
      <c r="BM77" s="57"/>
      <c r="BN77" s="57"/>
      <c r="BO77" s="57"/>
      <c r="BP77" s="57"/>
      <c r="BQ77" s="57"/>
      <c r="BR77" s="57"/>
      <c r="BS77" s="58"/>
      <c r="BT77" s="56"/>
      <c r="BU77" s="47"/>
    </row>
    <row r="78" spans="1:78" s="27" customFormat="1" ht="74.25" customHeight="1">
      <c r="A78" s="199" t="s">
        <v>21</v>
      </c>
      <c r="B78" s="82">
        <f>'外国語実績201201-201712'!M2536</f>
        <v>1</v>
      </c>
      <c r="C78" s="452"/>
      <c r="D78" s="88">
        <f t="shared" si="96"/>
        <v>-1</v>
      </c>
      <c r="E78" s="82">
        <f>'外国語実績201201-201712'!M2564</f>
        <v>0</v>
      </c>
      <c r="F78" s="452"/>
      <c r="G78" s="88" t="e">
        <f t="shared" si="97"/>
        <v>#DIV/0!</v>
      </c>
      <c r="H78" s="82">
        <f>'外国語実績201201-201712'!M2593</f>
        <v>0</v>
      </c>
      <c r="I78" s="452"/>
      <c r="J78" s="88" t="e">
        <f t="shared" si="98"/>
        <v>#DIV/0!</v>
      </c>
      <c r="K78" s="82">
        <f>'外国語実績201201-201712'!M2622</f>
        <v>7</v>
      </c>
      <c r="L78" s="452"/>
      <c r="M78" s="88">
        <f t="shared" si="99"/>
        <v>-1</v>
      </c>
      <c r="N78" s="82"/>
      <c r="O78" s="452"/>
      <c r="P78" s="88" t="e">
        <f t="shared" si="100"/>
        <v>#DIV/0!</v>
      </c>
      <c r="Q78" s="82"/>
      <c r="R78" s="452"/>
      <c r="S78" s="88" t="e">
        <f t="shared" si="101"/>
        <v>#DIV/0!</v>
      </c>
      <c r="T78" s="82"/>
      <c r="U78" s="452"/>
      <c r="V78" s="88" t="e">
        <f t="shared" si="102"/>
        <v>#DIV/0!</v>
      </c>
      <c r="W78" s="82"/>
      <c r="X78" s="452"/>
      <c r="Y78" s="88" t="e">
        <f t="shared" si="103"/>
        <v>#DIV/0!</v>
      </c>
      <c r="Z78" s="82"/>
      <c r="AA78" s="452"/>
      <c r="AB78" s="88" t="e">
        <f t="shared" si="104"/>
        <v>#DIV/0!</v>
      </c>
      <c r="AC78" s="267">
        <f t="shared" si="105"/>
        <v>260</v>
      </c>
      <c r="AD78" s="268">
        <f t="shared" si="106"/>
        <v>654</v>
      </c>
      <c r="AE78" s="266">
        <f t="shared" si="107"/>
        <v>3121</v>
      </c>
      <c r="AF78" s="261">
        <f t="shared" si="108"/>
        <v>6943</v>
      </c>
      <c r="AG78" s="265">
        <f t="shared" si="109"/>
        <v>9550</v>
      </c>
      <c r="AH78" s="262">
        <f t="shared" si="110"/>
        <v>8033</v>
      </c>
      <c r="AI78" s="262">
        <f t="shared" si="111"/>
        <v>9537</v>
      </c>
      <c r="AJ78" s="262">
        <f t="shared" si="112"/>
        <v>8580</v>
      </c>
      <c r="AK78" s="262"/>
      <c r="AL78" s="88">
        <f t="shared" si="114"/>
        <v>-1</v>
      </c>
      <c r="AM78" s="55"/>
      <c r="AN78" s="56"/>
      <c r="AO78" s="55"/>
      <c r="AP78" s="55"/>
      <c r="AQ78" s="56"/>
      <c r="AR78" s="55"/>
      <c r="AS78" s="55"/>
      <c r="AT78" s="56"/>
      <c r="AU78" s="55"/>
      <c r="AV78" s="55"/>
      <c r="AW78" s="56"/>
      <c r="AX78" s="55"/>
      <c r="AY78" s="55"/>
      <c r="AZ78" s="56"/>
      <c r="BA78" s="55"/>
      <c r="BB78" s="55"/>
      <c r="BC78" s="56"/>
      <c r="BD78" s="55"/>
      <c r="BE78" s="55"/>
      <c r="BF78" s="56"/>
      <c r="BG78" s="55"/>
      <c r="BH78" s="55"/>
      <c r="BI78" s="56"/>
      <c r="BJ78" s="55"/>
      <c r="BK78" s="55"/>
      <c r="BL78" s="56"/>
      <c r="BM78" s="57"/>
      <c r="BN78" s="57"/>
      <c r="BO78" s="57"/>
      <c r="BP78" s="57"/>
      <c r="BQ78" s="57"/>
      <c r="BR78" s="57"/>
      <c r="BS78" s="58"/>
      <c r="BT78" s="56"/>
      <c r="BU78" s="47"/>
    </row>
    <row r="79" spans="1:78" s="27" customFormat="1" ht="74.25" customHeight="1">
      <c r="A79" s="247" t="s">
        <v>22</v>
      </c>
      <c r="B79" s="82">
        <f>'外国語実績201201-201712'!M2537</f>
        <v>0</v>
      </c>
      <c r="C79" s="452"/>
      <c r="D79" s="88" t="e">
        <f t="shared" si="96"/>
        <v>#DIV/0!</v>
      </c>
      <c r="E79" s="82">
        <f>'外国語実績201201-201712'!M2565</f>
        <v>0</v>
      </c>
      <c r="F79" s="452"/>
      <c r="G79" s="88" t="e">
        <f t="shared" si="97"/>
        <v>#DIV/0!</v>
      </c>
      <c r="H79" s="82">
        <f>'外国語実績201201-201712'!M2594</f>
        <v>0</v>
      </c>
      <c r="I79" s="452"/>
      <c r="J79" s="88" t="e">
        <f t="shared" si="98"/>
        <v>#DIV/0!</v>
      </c>
      <c r="K79" s="82">
        <f>'外国語実績201201-201712'!M2623</f>
        <v>5</v>
      </c>
      <c r="L79" s="452"/>
      <c r="M79" s="88">
        <f t="shared" si="99"/>
        <v>-1</v>
      </c>
      <c r="N79" s="82"/>
      <c r="O79" s="452"/>
      <c r="P79" s="88" t="e">
        <f t="shared" si="100"/>
        <v>#DIV/0!</v>
      </c>
      <c r="Q79" s="82"/>
      <c r="R79" s="452"/>
      <c r="S79" s="88" t="e">
        <f t="shared" si="101"/>
        <v>#DIV/0!</v>
      </c>
      <c r="T79" s="82"/>
      <c r="U79" s="452"/>
      <c r="V79" s="88" t="e">
        <f t="shared" si="102"/>
        <v>#DIV/0!</v>
      </c>
      <c r="W79" s="82"/>
      <c r="X79" s="452"/>
      <c r="Y79" s="88" t="e">
        <f t="shared" si="103"/>
        <v>#DIV/0!</v>
      </c>
      <c r="Z79" s="82"/>
      <c r="AA79" s="452"/>
      <c r="AB79" s="88" t="e">
        <f t="shared" si="104"/>
        <v>#DIV/0!</v>
      </c>
      <c r="AC79" s="267">
        <f t="shared" si="105"/>
        <v>265</v>
      </c>
      <c r="AD79" s="268">
        <f t="shared" si="106"/>
        <v>586</v>
      </c>
      <c r="AE79" s="266">
        <f t="shared" si="107"/>
        <v>2971</v>
      </c>
      <c r="AF79" s="265">
        <f t="shared" si="108"/>
        <v>5911</v>
      </c>
      <c r="AG79" s="265">
        <f t="shared" si="109"/>
        <v>8364</v>
      </c>
      <c r="AH79" s="262">
        <f t="shared" si="110"/>
        <v>6809</v>
      </c>
      <c r="AI79" s="262">
        <f t="shared" si="111"/>
        <v>7992</v>
      </c>
      <c r="AJ79" s="262">
        <f t="shared" si="112"/>
        <v>4110</v>
      </c>
      <c r="AK79" s="262"/>
      <c r="AL79" s="88">
        <f t="shared" si="114"/>
        <v>-1</v>
      </c>
      <c r="AM79" s="55"/>
      <c r="AN79" s="56"/>
      <c r="AO79" s="55"/>
      <c r="AP79" s="55"/>
      <c r="AQ79" s="56"/>
      <c r="AR79" s="55"/>
      <c r="AS79" s="55"/>
      <c r="AT79" s="56"/>
      <c r="AU79" s="55"/>
      <c r="AV79" s="55"/>
      <c r="AW79" s="56"/>
      <c r="AX79" s="55"/>
      <c r="AY79" s="55"/>
      <c r="AZ79" s="56"/>
      <c r="BA79" s="55"/>
      <c r="BB79" s="55"/>
      <c r="BC79" s="56"/>
      <c r="BD79" s="55"/>
      <c r="BE79" s="55"/>
      <c r="BF79" s="56"/>
      <c r="BG79" s="55"/>
      <c r="BH79" s="55"/>
      <c r="BI79" s="56"/>
      <c r="BJ79" s="55"/>
      <c r="BK79" s="55"/>
      <c r="BL79" s="56"/>
      <c r="BM79" s="57"/>
      <c r="BN79" s="57"/>
      <c r="BO79" s="57"/>
      <c r="BP79" s="57"/>
      <c r="BQ79" s="57"/>
      <c r="BR79" s="57"/>
      <c r="BS79" s="58"/>
      <c r="BT79" s="56"/>
      <c r="BU79" s="47"/>
    </row>
    <row r="80" spans="1:78" s="27" customFormat="1" ht="74.25" customHeight="1" thickBot="1">
      <c r="A80" s="250" t="s">
        <v>23</v>
      </c>
      <c r="B80" s="449">
        <f>'外国語実績201201-201712'!M2538</f>
        <v>0</v>
      </c>
      <c r="C80" s="453"/>
      <c r="D80" s="447" t="e">
        <f t="shared" si="96"/>
        <v>#DIV/0!</v>
      </c>
      <c r="E80" s="449">
        <f>'外国語実績201201-201712'!M2566</f>
        <v>0</v>
      </c>
      <c r="F80" s="453"/>
      <c r="G80" s="447" t="e">
        <f t="shared" si="97"/>
        <v>#DIV/0!</v>
      </c>
      <c r="H80" s="449">
        <f>'外国語実績201201-201712'!M2595</f>
        <v>0</v>
      </c>
      <c r="I80" s="453"/>
      <c r="J80" s="447" t="e">
        <f t="shared" si="98"/>
        <v>#DIV/0!</v>
      </c>
      <c r="K80" s="449">
        <f>'外国語実績201201-201712'!M2624</f>
        <v>2</v>
      </c>
      <c r="L80" s="453"/>
      <c r="M80" s="447">
        <f t="shared" si="99"/>
        <v>-1</v>
      </c>
      <c r="N80" s="449"/>
      <c r="O80" s="453"/>
      <c r="P80" s="447" t="e">
        <f t="shared" si="100"/>
        <v>#DIV/0!</v>
      </c>
      <c r="Q80" s="449"/>
      <c r="R80" s="453"/>
      <c r="S80" s="447" t="e">
        <f t="shared" si="101"/>
        <v>#DIV/0!</v>
      </c>
      <c r="T80" s="449"/>
      <c r="U80" s="453"/>
      <c r="V80" s="447" t="e">
        <f t="shared" si="102"/>
        <v>#DIV/0!</v>
      </c>
      <c r="W80" s="449"/>
      <c r="X80" s="453"/>
      <c r="Y80" s="447" t="e">
        <f t="shared" si="103"/>
        <v>#DIV/0!</v>
      </c>
      <c r="Z80" s="449"/>
      <c r="AA80" s="453"/>
      <c r="AB80" s="447" t="e">
        <f t="shared" si="104"/>
        <v>#DIV/0!</v>
      </c>
      <c r="AC80" s="271">
        <f t="shared" si="105"/>
        <v>408</v>
      </c>
      <c r="AD80" s="272">
        <f t="shared" si="106"/>
        <v>1631</v>
      </c>
      <c r="AE80" s="273">
        <f t="shared" si="107"/>
        <v>5432</v>
      </c>
      <c r="AF80" s="274">
        <f t="shared" si="108"/>
        <v>8655</v>
      </c>
      <c r="AG80" s="274">
        <f t="shared" si="109"/>
        <v>13954</v>
      </c>
      <c r="AH80" s="454">
        <f t="shared" si="110"/>
        <v>11603</v>
      </c>
      <c r="AI80" s="454">
        <f t="shared" si="111"/>
        <v>10900</v>
      </c>
      <c r="AJ80" s="454">
        <f t="shared" si="112"/>
        <v>1004</v>
      </c>
      <c r="AK80" s="454"/>
      <c r="AL80" s="447">
        <f t="shared" si="114"/>
        <v>-1</v>
      </c>
      <c r="AM80" s="55"/>
      <c r="AN80" s="56"/>
      <c r="AO80" s="55"/>
      <c r="AP80" s="55"/>
      <c r="AQ80" s="56"/>
      <c r="AR80" s="55"/>
      <c r="AS80" s="55"/>
      <c r="AT80" s="56"/>
      <c r="AU80" s="55"/>
      <c r="AV80" s="55"/>
      <c r="AW80" s="56"/>
      <c r="AX80" s="55"/>
      <c r="AY80" s="55"/>
      <c r="AZ80" s="56"/>
      <c r="BA80" s="55"/>
      <c r="BB80" s="55"/>
      <c r="BC80" s="56"/>
      <c r="BD80" s="55"/>
      <c r="BE80" s="55"/>
      <c r="BF80" s="56"/>
      <c r="BG80" s="55"/>
      <c r="BH80" s="55"/>
      <c r="BI80" s="56"/>
      <c r="BJ80" s="55"/>
      <c r="BK80" s="55"/>
      <c r="BL80" s="56"/>
      <c r="BM80" s="57"/>
      <c r="BN80" s="57"/>
      <c r="BO80" s="57"/>
      <c r="BP80" s="57"/>
      <c r="BQ80" s="57"/>
      <c r="BR80" s="57"/>
      <c r="BS80" s="58"/>
      <c r="BT80" s="56"/>
      <c r="BU80" s="47"/>
    </row>
    <row r="81" spans="1:83" s="27" customFormat="1" ht="74.25" customHeight="1" thickBot="1">
      <c r="A81" s="76" t="s">
        <v>5</v>
      </c>
      <c r="B81" s="87">
        <f t="shared" ref="B81:C81" si="115">SUM(B69:B80)</f>
        <v>6</v>
      </c>
      <c r="C81" s="87">
        <f t="shared" si="115"/>
        <v>0</v>
      </c>
      <c r="D81" s="450">
        <f t="shared" si="96"/>
        <v>-1</v>
      </c>
      <c r="E81" s="87">
        <f t="shared" ref="E81:F81" si="116">SUM(E69:E80)</f>
        <v>1</v>
      </c>
      <c r="F81" s="87">
        <f t="shared" si="116"/>
        <v>0</v>
      </c>
      <c r="G81" s="450">
        <f t="shared" si="97"/>
        <v>-1</v>
      </c>
      <c r="H81" s="87">
        <f t="shared" ref="H81:I81" si="117">SUM(H69:H80)</f>
        <v>1</v>
      </c>
      <c r="I81" s="87">
        <f t="shared" si="117"/>
        <v>0</v>
      </c>
      <c r="J81" s="450">
        <f t="shared" si="98"/>
        <v>-1</v>
      </c>
      <c r="K81" s="87">
        <f t="shared" ref="K81:L81" si="118">SUM(K69:K80)</f>
        <v>20</v>
      </c>
      <c r="L81" s="87">
        <f t="shared" si="118"/>
        <v>0</v>
      </c>
      <c r="M81" s="450">
        <f t="shared" si="99"/>
        <v>-1</v>
      </c>
      <c r="N81" s="87">
        <f t="shared" ref="N81:O81" si="119">SUM(N69:N80)</f>
        <v>0</v>
      </c>
      <c r="O81" s="87">
        <f t="shared" si="119"/>
        <v>0</v>
      </c>
      <c r="P81" s="450" t="e">
        <f t="shared" si="100"/>
        <v>#DIV/0!</v>
      </c>
      <c r="Q81" s="87">
        <f t="shared" ref="Q81:U81" si="120">SUM(Q69:Q80)</f>
        <v>0</v>
      </c>
      <c r="R81" s="87">
        <f t="shared" si="120"/>
        <v>0</v>
      </c>
      <c r="S81" s="450" t="e">
        <f t="shared" si="101"/>
        <v>#DIV/0!</v>
      </c>
      <c r="T81" s="87">
        <f t="shared" si="120"/>
        <v>0</v>
      </c>
      <c r="U81" s="87">
        <f t="shared" si="120"/>
        <v>0</v>
      </c>
      <c r="V81" s="450" t="e">
        <f t="shared" si="102"/>
        <v>#DIV/0!</v>
      </c>
      <c r="W81" s="87">
        <f t="shared" ref="W81:X81" si="121">SUM(W69:W80)</f>
        <v>0</v>
      </c>
      <c r="X81" s="87">
        <f t="shared" si="121"/>
        <v>0</v>
      </c>
      <c r="Y81" s="450" t="e">
        <f t="shared" si="103"/>
        <v>#DIV/0!</v>
      </c>
      <c r="Z81" s="87">
        <f t="shared" ref="Z81:AA81" si="122">SUM(Z69:Z80)</f>
        <v>0</v>
      </c>
      <c r="AA81" s="87">
        <f t="shared" si="122"/>
        <v>0</v>
      </c>
      <c r="AB81" s="450" t="e">
        <f t="shared" si="104"/>
        <v>#DIV/0!</v>
      </c>
      <c r="AC81" s="68">
        <f t="shared" ref="AC81:AI81" si="123">SUM(AC69:AC80)</f>
        <v>5415</v>
      </c>
      <c r="AD81" s="69">
        <f t="shared" si="123"/>
        <v>11256</v>
      </c>
      <c r="AE81" s="70">
        <f t="shared" si="123"/>
        <v>37634</v>
      </c>
      <c r="AF81" s="69">
        <f t="shared" si="123"/>
        <v>75736</v>
      </c>
      <c r="AG81" s="69">
        <f t="shared" si="123"/>
        <v>97775</v>
      </c>
      <c r="AH81" s="69">
        <f>SUM(AH69:AH80)</f>
        <v>106780</v>
      </c>
      <c r="AI81" s="69">
        <f t="shared" si="123"/>
        <v>112750</v>
      </c>
      <c r="AJ81" s="69">
        <f>SUM(AJ69:AJ80)</f>
        <v>96809</v>
      </c>
      <c r="AK81" s="69">
        <f>SUM(AK69:AK80)</f>
        <v>319</v>
      </c>
      <c r="AL81" s="450">
        <f t="shared" si="114"/>
        <v>-0.99670485182162816</v>
      </c>
      <c r="AM81" s="55"/>
      <c r="AN81" s="56"/>
      <c r="AO81" s="55"/>
      <c r="AP81" s="55"/>
      <c r="AQ81" s="56"/>
      <c r="AR81" s="55"/>
      <c r="AS81" s="55"/>
      <c r="AT81" s="56"/>
      <c r="AU81" s="55"/>
      <c r="AV81" s="55"/>
      <c r="AW81" s="56"/>
      <c r="AX81" s="55"/>
      <c r="AY81" s="55"/>
      <c r="AZ81" s="56"/>
      <c r="BA81" s="55"/>
      <c r="BB81" s="55"/>
      <c r="BC81" s="56"/>
      <c r="BD81" s="55"/>
      <c r="BE81" s="55"/>
      <c r="BF81" s="56"/>
      <c r="BG81" s="55"/>
      <c r="BH81" s="55"/>
      <c r="BI81" s="56"/>
      <c r="BJ81" s="55"/>
      <c r="BK81" s="55"/>
      <c r="BL81" s="56"/>
      <c r="BM81" s="57"/>
      <c r="BN81" s="57"/>
      <c r="BO81" s="57"/>
      <c r="BP81" s="57"/>
      <c r="BQ81" s="57"/>
      <c r="BR81" s="57"/>
      <c r="BS81" s="58"/>
      <c r="BT81" s="56"/>
      <c r="BU81" s="47"/>
    </row>
    <row r="82" spans="1:83" s="27" customFormat="1" ht="20.100000000000001" customHeight="1">
      <c r="J82" s="55"/>
      <c r="K82" s="56"/>
      <c r="L82" s="55"/>
      <c r="M82" s="55"/>
      <c r="N82" s="56"/>
      <c r="O82" s="55"/>
      <c r="P82" s="55"/>
      <c r="Q82" s="56"/>
      <c r="R82" s="55"/>
      <c r="S82" s="55"/>
      <c r="T82" s="56"/>
      <c r="AC82" s="56"/>
      <c r="AD82" s="55"/>
      <c r="AE82" s="55"/>
      <c r="AF82" s="56"/>
      <c r="AG82" s="55"/>
      <c r="AH82" s="55"/>
      <c r="AI82" s="56"/>
      <c r="AJ82" s="55"/>
      <c r="AK82" s="55"/>
      <c r="AL82" s="56"/>
      <c r="AM82" s="55"/>
      <c r="AN82" s="55"/>
      <c r="AO82" s="56"/>
      <c r="AP82" s="55"/>
      <c r="AQ82" s="55"/>
      <c r="AR82" s="56"/>
      <c r="AS82" s="55"/>
      <c r="AT82" s="55"/>
      <c r="AU82" s="56"/>
      <c r="AV82" s="55"/>
      <c r="AW82" s="55"/>
      <c r="AX82" s="56"/>
      <c r="AY82" s="55"/>
      <c r="AZ82" s="55"/>
      <c r="BA82" s="56"/>
      <c r="BB82" s="55"/>
      <c r="BC82" s="55"/>
      <c r="BD82" s="56"/>
      <c r="BE82" s="55"/>
      <c r="BF82" s="55"/>
      <c r="BG82" s="56"/>
      <c r="BH82" s="57"/>
      <c r="BI82" s="57"/>
      <c r="BJ82" s="57"/>
      <c r="BK82" s="57"/>
      <c r="BL82" s="57"/>
      <c r="BM82" s="57"/>
      <c r="BN82" s="58"/>
      <c r="BO82" s="56"/>
      <c r="BP82" s="47"/>
    </row>
    <row r="83" spans="1:83" s="27" customFormat="1" ht="20.100000000000001" customHeight="1">
      <c r="J83" s="55"/>
      <c r="K83" s="56"/>
      <c r="L83" s="55"/>
      <c r="M83" s="55"/>
      <c r="N83" s="56"/>
      <c r="O83" s="55"/>
      <c r="P83" s="55"/>
      <c r="Q83" s="56"/>
      <c r="R83" s="55"/>
      <c r="S83" s="55"/>
      <c r="T83" s="56"/>
      <c r="U83" s="55"/>
      <c r="V83" s="55"/>
      <c r="W83" s="56"/>
      <c r="X83" s="55"/>
      <c r="Y83" s="55"/>
      <c r="Z83" s="56"/>
      <c r="AA83" s="55"/>
      <c r="AB83" s="55"/>
      <c r="AC83" s="56"/>
      <c r="AD83" s="55"/>
      <c r="AE83" s="55"/>
      <c r="AF83" s="56"/>
      <c r="AG83" s="55"/>
      <c r="AH83" s="55"/>
      <c r="AI83" s="56"/>
      <c r="AJ83" s="55"/>
      <c r="AK83" s="55"/>
      <c r="AL83" s="56"/>
      <c r="AM83" s="55"/>
      <c r="AN83" s="55"/>
      <c r="AO83" s="56"/>
      <c r="AP83" s="55"/>
      <c r="AQ83" s="55"/>
      <c r="AR83" s="56"/>
      <c r="AS83" s="55"/>
      <c r="AT83" s="55"/>
      <c r="AU83" s="56"/>
      <c r="AV83" s="55"/>
      <c r="AW83" s="55"/>
      <c r="AX83" s="56"/>
      <c r="AY83" s="55"/>
      <c r="AZ83" s="55"/>
      <c r="BA83" s="56"/>
      <c r="BB83" s="55"/>
      <c r="BC83" s="55"/>
      <c r="BD83" s="56"/>
      <c r="BE83" s="55"/>
      <c r="BF83" s="55"/>
      <c r="BG83" s="56"/>
      <c r="BH83" s="57"/>
      <c r="BI83" s="57"/>
      <c r="BJ83" s="57"/>
      <c r="BK83" s="57"/>
      <c r="BL83" s="57"/>
      <c r="BM83" s="57"/>
      <c r="BN83" s="58"/>
      <c r="BO83" s="56"/>
      <c r="BP83" s="47"/>
    </row>
    <row r="84" spans="1:83" s="27" customFormat="1" ht="20.100000000000001" customHeight="1">
      <c r="A84" s="47"/>
      <c r="B84" s="54"/>
      <c r="C84" s="55"/>
      <c r="D84" s="55"/>
      <c r="E84" s="56"/>
      <c r="F84" s="55"/>
      <c r="G84" s="55"/>
      <c r="H84" s="56"/>
      <c r="I84" s="55"/>
      <c r="J84" s="55"/>
      <c r="K84" s="56"/>
      <c r="L84" s="55"/>
      <c r="M84" s="55"/>
      <c r="N84" s="56"/>
      <c r="O84" s="55"/>
      <c r="P84" s="55"/>
      <c r="Q84" s="56"/>
      <c r="R84" s="55"/>
      <c r="S84" s="55"/>
      <c r="T84" s="56"/>
      <c r="U84" s="55"/>
      <c r="V84" s="55"/>
      <c r="W84" s="56"/>
      <c r="X84" s="55"/>
      <c r="Y84" s="55"/>
      <c r="Z84" s="56"/>
      <c r="AA84" s="55"/>
      <c r="AB84" s="55"/>
      <c r="AC84" s="56"/>
      <c r="AD84" s="55"/>
      <c r="AE84" s="55"/>
      <c r="AF84" s="56"/>
      <c r="AG84" s="55"/>
      <c r="AH84" s="55"/>
      <c r="AI84" s="56"/>
      <c r="AJ84" s="55"/>
      <c r="AK84" s="55"/>
      <c r="AL84" s="56"/>
      <c r="AM84" s="55"/>
      <c r="AN84" s="55"/>
      <c r="AO84" s="56"/>
      <c r="AP84" s="55"/>
      <c r="AQ84" s="55"/>
      <c r="AR84" s="56"/>
      <c r="AS84" s="55"/>
      <c r="AT84" s="55"/>
      <c r="AU84" s="56"/>
      <c r="AV84" s="55"/>
      <c r="AW84" s="55"/>
      <c r="AX84" s="56"/>
      <c r="AY84" s="55"/>
      <c r="AZ84" s="55"/>
      <c r="BA84" s="56"/>
      <c r="BB84" s="55"/>
      <c r="BC84" s="55"/>
      <c r="BD84" s="56"/>
      <c r="BE84" s="55"/>
      <c r="BF84" s="55"/>
      <c r="BG84" s="56"/>
      <c r="BH84" s="57"/>
      <c r="BI84" s="57"/>
      <c r="BJ84" s="57"/>
      <c r="BK84" s="57"/>
      <c r="BL84" s="57"/>
      <c r="BM84" s="57"/>
      <c r="BN84" s="58"/>
      <c r="BO84" s="56"/>
      <c r="BP84" s="47"/>
    </row>
    <row r="85" spans="1:83" ht="74.25" customHeight="1" thickBot="1">
      <c r="A85" s="465" t="s">
        <v>24</v>
      </c>
      <c r="B85" s="465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5"/>
      <c r="V85" s="465"/>
      <c r="W85" s="465"/>
      <c r="X85" s="465"/>
      <c r="Y85" s="465"/>
      <c r="Z85" s="465"/>
      <c r="AA85" s="465"/>
      <c r="AB85" s="32"/>
      <c r="AC85" s="32"/>
      <c r="AD85" s="32"/>
      <c r="AE85" s="32"/>
      <c r="AF85" s="32"/>
      <c r="AG85" s="33"/>
      <c r="AH85" s="32"/>
      <c r="AI85" s="32"/>
      <c r="AJ85" s="32"/>
      <c r="AK85" s="33"/>
      <c r="AL85" s="33"/>
      <c r="AM85" s="33"/>
      <c r="AN85" s="59"/>
      <c r="AO85" s="34"/>
      <c r="AP85" s="34"/>
      <c r="AQ85" s="34"/>
      <c r="AR85" s="34"/>
      <c r="AS85" s="34"/>
      <c r="AT85" s="34"/>
      <c r="AU85" s="35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</row>
    <row r="86" spans="1:83" ht="74.25" customHeight="1" thickBot="1">
      <c r="A86" s="36" t="s">
        <v>1</v>
      </c>
      <c r="B86" s="462" t="s">
        <v>120</v>
      </c>
      <c r="C86" s="463"/>
      <c r="D86" s="463"/>
      <c r="E86" s="463"/>
      <c r="F86" s="463"/>
      <c r="G86" s="463"/>
      <c r="H86" s="463"/>
      <c r="I86" s="463"/>
      <c r="J86" s="463"/>
      <c r="K86" s="464"/>
      <c r="L86" s="462" t="s">
        <v>121</v>
      </c>
      <c r="M86" s="463"/>
      <c r="N86" s="463"/>
      <c r="O86" s="463"/>
      <c r="P86" s="463"/>
      <c r="Q86" s="463"/>
      <c r="R86" s="463"/>
      <c r="S86" s="463"/>
      <c r="T86" s="463"/>
      <c r="U86" s="464"/>
      <c r="V86" s="462" t="s">
        <v>122</v>
      </c>
      <c r="W86" s="463"/>
      <c r="X86" s="463"/>
      <c r="Y86" s="463"/>
      <c r="Z86" s="463"/>
      <c r="AA86" s="463"/>
      <c r="AB86" s="463"/>
      <c r="AC86" s="463"/>
      <c r="AD86" s="463"/>
      <c r="AE86" s="464"/>
      <c r="AF86" s="462" t="s">
        <v>123</v>
      </c>
      <c r="AG86" s="463"/>
      <c r="AH86" s="463"/>
      <c r="AI86" s="463"/>
      <c r="AJ86" s="463"/>
      <c r="AK86" s="463"/>
      <c r="AL86" s="463"/>
      <c r="AM86" s="463"/>
      <c r="AN86" s="463"/>
      <c r="AO86" s="464"/>
      <c r="AP86" s="462" t="s">
        <v>124</v>
      </c>
      <c r="AQ86" s="463"/>
      <c r="AR86" s="463"/>
      <c r="AS86" s="463"/>
      <c r="AT86" s="463"/>
      <c r="AU86" s="463"/>
      <c r="AV86" s="463"/>
      <c r="AW86" s="463"/>
      <c r="AX86" s="464"/>
      <c r="AY86" s="462" t="s">
        <v>126</v>
      </c>
      <c r="AZ86" s="463"/>
      <c r="BA86" s="463"/>
      <c r="BB86" s="463"/>
      <c r="BC86" s="463"/>
      <c r="BD86" s="463"/>
      <c r="BE86" s="463"/>
      <c r="BF86" s="463"/>
      <c r="BG86" s="464"/>
      <c r="BH86" s="462" t="s">
        <v>125</v>
      </c>
      <c r="BI86" s="463"/>
      <c r="BJ86" s="463"/>
      <c r="BK86" s="463"/>
      <c r="BL86" s="463"/>
      <c r="BM86" s="463"/>
      <c r="BN86" s="46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</row>
    <row r="87" spans="1:83" ht="74.25" customHeight="1">
      <c r="A87" s="37" t="s">
        <v>6</v>
      </c>
      <c r="B87" s="60" t="s">
        <v>7</v>
      </c>
      <c r="C87" s="42" t="s">
        <v>8</v>
      </c>
      <c r="D87" s="42" t="s">
        <v>9</v>
      </c>
      <c r="E87" s="42" t="s">
        <v>10</v>
      </c>
      <c r="F87" s="42" t="s">
        <v>48</v>
      </c>
      <c r="G87" s="42" t="s">
        <v>56</v>
      </c>
      <c r="H87" s="42" t="s">
        <v>110</v>
      </c>
      <c r="I87" s="42" t="s">
        <v>221</v>
      </c>
      <c r="J87" s="42" t="s">
        <v>286</v>
      </c>
      <c r="K87" s="43" t="s">
        <v>11</v>
      </c>
      <c r="L87" s="41" t="s">
        <v>7</v>
      </c>
      <c r="M87" s="42" t="s">
        <v>8</v>
      </c>
      <c r="N87" s="42" t="s">
        <v>9</v>
      </c>
      <c r="O87" s="42" t="s">
        <v>10</v>
      </c>
      <c r="P87" s="42" t="s">
        <v>48</v>
      </c>
      <c r="Q87" s="42" t="s">
        <v>56</v>
      </c>
      <c r="R87" s="42" t="s">
        <v>110</v>
      </c>
      <c r="S87" s="42" t="s">
        <v>221</v>
      </c>
      <c r="T87" s="42" t="s">
        <v>286</v>
      </c>
      <c r="U87" s="43" t="s">
        <v>11</v>
      </c>
      <c r="V87" s="41" t="s">
        <v>7</v>
      </c>
      <c r="W87" s="42" t="s">
        <v>8</v>
      </c>
      <c r="X87" s="42" t="s">
        <v>9</v>
      </c>
      <c r="Y87" s="42" t="s">
        <v>10</v>
      </c>
      <c r="Z87" s="42" t="s">
        <v>48</v>
      </c>
      <c r="AA87" s="42" t="s">
        <v>56</v>
      </c>
      <c r="AB87" s="42" t="s">
        <v>110</v>
      </c>
      <c r="AC87" s="42" t="s">
        <v>221</v>
      </c>
      <c r="AD87" s="42" t="s">
        <v>286</v>
      </c>
      <c r="AE87" s="43" t="s">
        <v>11</v>
      </c>
      <c r="AF87" s="41" t="s">
        <v>7</v>
      </c>
      <c r="AG87" s="42" t="s">
        <v>8</v>
      </c>
      <c r="AH87" s="42" t="s">
        <v>9</v>
      </c>
      <c r="AI87" s="42" t="s">
        <v>10</v>
      </c>
      <c r="AJ87" s="42" t="s">
        <v>48</v>
      </c>
      <c r="AK87" s="42" t="s">
        <v>56</v>
      </c>
      <c r="AL87" s="42" t="s">
        <v>110</v>
      </c>
      <c r="AM87" s="42" t="s">
        <v>221</v>
      </c>
      <c r="AN87" s="42" t="s">
        <v>286</v>
      </c>
      <c r="AO87" s="40" t="s">
        <v>11</v>
      </c>
      <c r="AP87" s="45" t="s">
        <v>8</v>
      </c>
      <c r="AQ87" s="61" t="s">
        <v>9</v>
      </c>
      <c r="AR87" s="61" t="s">
        <v>10</v>
      </c>
      <c r="AS87" s="61" t="s">
        <v>48</v>
      </c>
      <c r="AT87" s="61" t="s">
        <v>56</v>
      </c>
      <c r="AU87" s="42" t="s">
        <v>110</v>
      </c>
      <c r="AV87" s="61" t="s">
        <v>221</v>
      </c>
      <c r="AW87" s="61" t="s">
        <v>286</v>
      </c>
      <c r="AX87" s="40" t="s">
        <v>11</v>
      </c>
      <c r="AY87" s="62" t="s">
        <v>8</v>
      </c>
      <c r="AZ87" s="45" t="s">
        <v>9</v>
      </c>
      <c r="BA87" s="45" t="s">
        <v>10</v>
      </c>
      <c r="BB87" s="45" t="s">
        <v>48</v>
      </c>
      <c r="BC87" s="45" t="s">
        <v>56</v>
      </c>
      <c r="BD87" s="42" t="s">
        <v>110</v>
      </c>
      <c r="BE87" s="42" t="s">
        <v>221</v>
      </c>
      <c r="BF87" s="42" t="s">
        <v>286</v>
      </c>
      <c r="BG87" s="40" t="s">
        <v>11</v>
      </c>
      <c r="BH87" s="38" t="s">
        <v>10</v>
      </c>
      <c r="BI87" s="39" t="s">
        <v>48</v>
      </c>
      <c r="BJ87" s="39" t="s">
        <v>56</v>
      </c>
      <c r="BK87" s="39" t="s">
        <v>110</v>
      </c>
      <c r="BL87" s="39" t="s">
        <v>221</v>
      </c>
      <c r="BM87" s="39" t="s">
        <v>286</v>
      </c>
      <c r="BN87" s="40" t="s">
        <v>11</v>
      </c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5"/>
    </row>
    <row r="88" spans="1:83" s="25" customFormat="1" ht="74.25" customHeight="1">
      <c r="A88" s="199" t="s">
        <v>12</v>
      </c>
      <c r="B88" s="275">
        <v>573</v>
      </c>
      <c r="C88" s="201">
        <v>1020</v>
      </c>
      <c r="D88" s="92">
        <v>4146</v>
      </c>
      <c r="E88" s="92">
        <v>7607</v>
      </c>
      <c r="F88" s="92">
        <v>4980</v>
      </c>
      <c r="G88" s="92">
        <v>13949</v>
      </c>
      <c r="H88" s="101">
        <f>'外国語実績201201-201712'!N82</f>
        <v>31391</v>
      </c>
      <c r="I88" s="104">
        <f>'外国語実績201201-201712'!N94</f>
        <v>26341</v>
      </c>
      <c r="J88" s="104">
        <f>'外国語実績201201-201712'!N106</f>
        <v>116</v>
      </c>
      <c r="K88" s="88">
        <f>(J88-I88)/I88</f>
        <v>-0.99559621882236815</v>
      </c>
      <c r="L88" s="200">
        <v>42</v>
      </c>
      <c r="M88" s="201">
        <v>65</v>
      </c>
      <c r="N88" s="202">
        <v>107</v>
      </c>
      <c r="O88" s="202">
        <v>134</v>
      </c>
      <c r="P88" s="203">
        <v>233</v>
      </c>
      <c r="Q88" s="203">
        <v>0</v>
      </c>
      <c r="R88" s="204">
        <f>'外国語実績201201-201712'!N194</f>
        <v>0</v>
      </c>
      <c r="S88" s="104">
        <f>'外国語実績201201-201712'!N206</f>
        <v>0</v>
      </c>
      <c r="T88" s="104">
        <f>'外国語実績201201-201712'!N218</f>
        <v>0</v>
      </c>
      <c r="U88" s="88" t="e">
        <f>(T88-S88)/S88</f>
        <v>#DIV/0!</v>
      </c>
      <c r="V88" s="200">
        <v>82</v>
      </c>
      <c r="W88" s="201">
        <v>74</v>
      </c>
      <c r="X88" s="205">
        <v>143</v>
      </c>
      <c r="Y88" s="205">
        <v>125</v>
      </c>
      <c r="Z88" s="221">
        <v>90</v>
      </c>
      <c r="AA88" s="221">
        <v>82</v>
      </c>
      <c r="AB88" s="276">
        <f>'外国語実績201201-201712'!N309</f>
        <v>299</v>
      </c>
      <c r="AC88" s="104">
        <f>'外国語実績201201-201712'!N321</f>
        <v>327</v>
      </c>
      <c r="AD88" s="104">
        <f>'外国語実績201201-201712'!N333</f>
        <v>2</v>
      </c>
      <c r="AE88" s="88">
        <f>(AD88-AC88)/AC88</f>
        <v>-0.99388379204892963</v>
      </c>
      <c r="AF88" s="200">
        <v>4</v>
      </c>
      <c r="AG88" s="201">
        <v>4</v>
      </c>
      <c r="AH88" s="205">
        <v>17</v>
      </c>
      <c r="AI88" s="205">
        <v>55</v>
      </c>
      <c r="AJ88" s="221">
        <v>32</v>
      </c>
      <c r="AK88" s="221">
        <v>65</v>
      </c>
      <c r="AL88" s="276">
        <f>'外国語実績201201-201712'!N421</f>
        <v>99</v>
      </c>
      <c r="AM88" s="104">
        <f>'外国語実績201201-201712'!N433</f>
        <v>141</v>
      </c>
      <c r="AN88" s="104">
        <f>'外国語実績201201-201712'!N445</f>
        <v>13</v>
      </c>
      <c r="AO88" s="88">
        <f>(AN88-AM88)/AM88</f>
        <v>-0.90780141843971629</v>
      </c>
      <c r="AP88" s="209"/>
      <c r="AQ88" s="209">
        <v>37</v>
      </c>
      <c r="AR88" s="209">
        <v>181</v>
      </c>
      <c r="AS88" s="213">
        <v>141</v>
      </c>
      <c r="AT88" s="213">
        <v>275</v>
      </c>
      <c r="AU88" s="211">
        <f>'外国語実績201201-201712'!N512</f>
        <v>281</v>
      </c>
      <c r="AV88" s="104">
        <f>'外国語実績201201-201712'!N524</f>
        <v>298</v>
      </c>
      <c r="AW88" s="104">
        <f>'外国語実績201201-201712'!N536</f>
        <v>3</v>
      </c>
      <c r="AX88" s="88">
        <f>(AW88-AV88)/AV88</f>
        <v>-0.98993288590604023</v>
      </c>
      <c r="AY88" s="277"/>
      <c r="AZ88" s="209">
        <v>33</v>
      </c>
      <c r="BA88" s="209">
        <v>22</v>
      </c>
      <c r="BB88" s="213">
        <v>23</v>
      </c>
      <c r="BC88" s="213">
        <v>71</v>
      </c>
      <c r="BD88" s="211">
        <f>'外国語実績201201-201712'!N600</f>
        <v>72</v>
      </c>
      <c r="BE88" s="104">
        <f>'外国語実績201201-201712'!N612</f>
        <v>76</v>
      </c>
      <c r="BF88" s="104">
        <f>'外国語実績201201-201712'!N624</f>
        <v>4</v>
      </c>
      <c r="BG88" s="88">
        <f>(BF88-BE88)/BE88</f>
        <v>-0.94736842105263153</v>
      </c>
      <c r="BH88" s="81">
        <v>0</v>
      </c>
      <c r="BI88" s="91">
        <v>2292</v>
      </c>
      <c r="BJ88" s="91">
        <v>3850</v>
      </c>
      <c r="BK88" s="91">
        <f>'外国語実績201201-201712'!N680</f>
        <v>2919</v>
      </c>
      <c r="BL88" s="104">
        <f>'外国語実績201201-201712'!N692</f>
        <v>2188</v>
      </c>
      <c r="BM88" s="104">
        <f>'外国語実績201201-201712'!N704</f>
        <v>40</v>
      </c>
      <c r="BN88" s="88">
        <f>(BM88-BL88)/BL88</f>
        <v>-0.98171846435100552</v>
      </c>
      <c r="BO88" s="34"/>
      <c r="BP88" s="34"/>
      <c r="BQ88" s="34"/>
      <c r="BR88" s="34"/>
      <c r="BS88" s="291"/>
      <c r="BT88" s="291"/>
      <c r="BU88" s="291"/>
      <c r="BV88" s="34"/>
      <c r="BW88" s="34"/>
      <c r="BX88" s="34"/>
      <c r="BY88" s="34"/>
      <c r="BZ88" s="34"/>
      <c r="CA88" s="34"/>
      <c r="CB88" s="34"/>
      <c r="CC88" s="34"/>
      <c r="CD88" s="34"/>
      <c r="CE88" s="24"/>
    </row>
    <row r="89" spans="1:83" ht="74.25" customHeight="1">
      <c r="A89" s="199" t="s">
        <v>13</v>
      </c>
      <c r="B89" s="275">
        <v>616</v>
      </c>
      <c r="C89" s="201">
        <v>1035</v>
      </c>
      <c r="D89" s="214">
        <v>3038</v>
      </c>
      <c r="E89" s="92">
        <v>6642</v>
      </c>
      <c r="F89" s="92">
        <v>4278</v>
      </c>
      <c r="G89" s="92">
        <v>13898</v>
      </c>
      <c r="H89" s="101">
        <f>'外国語実績201201-201712'!N83</f>
        <v>23619</v>
      </c>
      <c r="I89" s="104">
        <f>'外国語実績201201-201712'!N95</f>
        <v>20362</v>
      </c>
      <c r="J89" s="104">
        <f>'外国語実績201201-201712'!N107</f>
        <v>99</v>
      </c>
      <c r="K89" s="88">
        <f t="shared" ref="K89:K100" si="124">(J89-I89)/I89</f>
        <v>-0.99513800216088788</v>
      </c>
      <c r="L89" s="200">
        <v>187</v>
      </c>
      <c r="M89" s="201">
        <v>180</v>
      </c>
      <c r="N89" s="215">
        <v>195</v>
      </c>
      <c r="O89" s="202">
        <v>263</v>
      </c>
      <c r="P89" s="203">
        <v>273</v>
      </c>
      <c r="Q89" s="203">
        <v>0</v>
      </c>
      <c r="R89" s="204">
        <f>'外国語実績201201-201712'!N195</f>
        <v>0</v>
      </c>
      <c r="S89" s="104">
        <f>'外国語実績201201-201712'!N207</f>
        <v>0</v>
      </c>
      <c r="T89" s="104">
        <f>'外国語実績201201-201712'!N219</f>
        <v>0</v>
      </c>
      <c r="U89" s="88" t="e">
        <f t="shared" ref="U89:U100" si="125">(T89-S89)/S89</f>
        <v>#DIV/0!</v>
      </c>
      <c r="V89" s="200">
        <v>54</v>
      </c>
      <c r="W89" s="201">
        <v>60</v>
      </c>
      <c r="X89" s="216">
        <v>70</v>
      </c>
      <c r="Y89" s="205">
        <v>117</v>
      </c>
      <c r="Z89" s="221">
        <v>92</v>
      </c>
      <c r="AA89" s="221">
        <v>46</v>
      </c>
      <c r="AB89" s="276">
        <f>'外国語実績201201-201712'!N310</f>
        <v>233</v>
      </c>
      <c r="AC89" s="104">
        <f>'外国語実績201201-201712'!N322</f>
        <v>252</v>
      </c>
      <c r="AD89" s="104">
        <f>'外国語実績201201-201712'!N334</f>
        <v>0</v>
      </c>
      <c r="AE89" s="88">
        <f t="shared" ref="AE89:AE100" si="126">(AD89-AC89)/AC89</f>
        <v>-1</v>
      </c>
      <c r="AF89" s="200">
        <v>6</v>
      </c>
      <c r="AG89" s="201">
        <v>6</v>
      </c>
      <c r="AH89" s="216">
        <v>14</v>
      </c>
      <c r="AI89" s="205">
        <v>7</v>
      </c>
      <c r="AJ89" s="221">
        <v>9</v>
      </c>
      <c r="AK89" s="221">
        <v>19</v>
      </c>
      <c r="AL89" s="276">
        <f>'外国語実績201201-201712'!N422</f>
        <v>48</v>
      </c>
      <c r="AM89" s="104">
        <f>'外国語実績201201-201712'!N434</f>
        <v>99</v>
      </c>
      <c r="AN89" s="104">
        <f>'外国語実績201201-201712'!N446</f>
        <v>0</v>
      </c>
      <c r="AO89" s="88">
        <f t="shared" ref="AO89:AO100" si="127">(AN89-AM89)/AM89</f>
        <v>-1</v>
      </c>
      <c r="AP89" s="209"/>
      <c r="AQ89" s="209">
        <v>46</v>
      </c>
      <c r="AR89" s="209">
        <v>220</v>
      </c>
      <c r="AS89" s="213">
        <v>139</v>
      </c>
      <c r="AT89" s="213">
        <v>210</v>
      </c>
      <c r="AU89" s="211">
        <f>'外国語実績201201-201712'!N513</f>
        <v>401</v>
      </c>
      <c r="AV89" s="104">
        <f>'外国語実績201201-201712'!N525</f>
        <v>436</v>
      </c>
      <c r="AW89" s="104">
        <f>'外国語実績201201-201712'!N537</f>
        <v>0</v>
      </c>
      <c r="AX89" s="88">
        <f t="shared" ref="AX89:AX99" si="128">(AW89-AV89)/AV89</f>
        <v>-1</v>
      </c>
      <c r="AY89" s="277"/>
      <c r="AZ89" s="209">
        <v>10</v>
      </c>
      <c r="BA89" s="209">
        <v>26</v>
      </c>
      <c r="BB89" s="213">
        <v>15</v>
      </c>
      <c r="BC89" s="213">
        <v>25</v>
      </c>
      <c r="BD89" s="211">
        <f>'外国語実績201201-201712'!N601</f>
        <v>80</v>
      </c>
      <c r="BE89" s="104">
        <f>'外国語実績201201-201712'!N613</f>
        <v>98</v>
      </c>
      <c r="BF89" s="104">
        <f>'外国語実績201201-201712'!N625</f>
        <v>0</v>
      </c>
      <c r="BG89" s="88">
        <f t="shared" ref="BG89:BG100" si="129">(BF89-BE89)/BE89</f>
        <v>-1</v>
      </c>
      <c r="BH89" s="83">
        <v>694</v>
      </c>
      <c r="BI89" s="91">
        <v>2575</v>
      </c>
      <c r="BJ89" s="91">
        <v>3028</v>
      </c>
      <c r="BK89" s="91">
        <f>'外国語実績201201-201712'!N681</f>
        <v>1958</v>
      </c>
      <c r="BL89" s="104">
        <f>'外国語実績201201-201712'!N693</f>
        <v>1805</v>
      </c>
      <c r="BM89" s="104">
        <f>'外国語実績201201-201712'!N705</f>
        <v>6</v>
      </c>
      <c r="BN89" s="88">
        <f t="shared" ref="BN89:BN100" si="130">(BM89-BL89)/BL89</f>
        <v>-0.99667590027700836</v>
      </c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</row>
    <row r="90" spans="1:83" ht="74.25" customHeight="1">
      <c r="A90" s="217" t="s">
        <v>14</v>
      </c>
      <c r="B90" s="278">
        <v>348</v>
      </c>
      <c r="C90" s="219">
        <v>932</v>
      </c>
      <c r="D90" s="220">
        <v>3210</v>
      </c>
      <c r="E90" s="92">
        <v>6057</v>
      </c>
      <c r="F90" s="92">
        <v>2874</v>
      </c>
      <c r="G90" s="92">
        <v>11106</v>
      </c>
      <c r="H90" s="101">
        <f>'外国語実績201201-201712'!N84</f>
        <v>16021</v>
      </c>
      <c r="I90" s="104">
        <f>'外国語実績201201-201712'!N96</f>
        <v>13065</v>
      </c>
      <c r="J90" s="104">
        <f>'外国語実績201201-201712'!N108</f>
        <v>124</v>
      </c>
      <c r="K90" s="88">
        <f t="shared" si="124"/>
        <v>-0.99050899349406807</v>
      </c>
      <c r="L90" s="219">
        <v>188</v>
      </c>
      <c r="M90" s="221">
        <v>265</v>
      </c>
      <c r="N90" s="222">
        <v>184</v>
      </c>
      <c r="O90" s="202">
        <v>225</v>
      </c>
      <c r="P90" s="203">
        <v>184</v>
      </c>
      <c r="Q90" s="203">
        <v>0</v>
      </c>
      <c r="R90" s="204">
        <f>'外国語実績201201-201712'!N196</f>
        <v>0</v>
      </c>
      <c r="S90" s="104">
        <f>'外国語実績201201-201712'!N208</f>
        <v>0</v>
      </c>
      <c r="T90" s="104">
        <f>'外国語実績201201-201712'!N220</f>
        <v>0</v>
      </c>
      <c r="U90" s="88" t="e">
        <f t="shared" si="125"/>
        <v>#DIV/0!</v>
      </c>
      <c r="V90" s="219">
        <v>12</v>
      </c>
      <c r="W90" s="221">
        <v>16</v>
      </c>
      <c r="X90" s="223">
        <v>30</v>
      </c>
      <c r="Y90" s="205">
        <v>57</v>
      </c>
      <c r="Z90" s="221">
        <v>39</v>
      </c>
      <c r="AA90" s="221">
        <v>84</v>
      </c>
      <c r="AB90" s="276">
        <f>'外国語実績201201-201712'!N311</f>
        <v>186</v>
      </c>
      <c r="AC90" s="104">
        <f>'外国語実績201201-201712'!N323</f>
        <v>196</v>
      </c>
      <c r="AD90" s="104">
        <f>'外国語実績201201-201712'!N335</f>
        <v>10</v>
      </c>
      <c r="AE90" s="88">
        <f t="shared" si="126"/>
        <v>-0.94897959183673475</v>
      </c>
      <c r="AF90" s="219">
        <v>0</v>
      </c>
      <c r="AG90" s="221">
        <v>5</v>
      </c>
      <c r="AH90" s="223">
        <v>11</v>
      </c>
      <c r="AI90" s="205">
        <v>16</v>
      </c>
      <c r="AJ90" s="221">
        <v>16</v>
      </c>
      <c r="AK90" s="221">
        <v>9</v>
      </c>
      <c r="AL90" s="276">
        <f>'外国語実績201201-201712'!N423</f>
        <v>39</v>
      </c>
      <c r="AM90" s="104">
        <f>'外国語実績201201-201712'!N435</f>
        <v>50</v>
      </c>
      <c r="AN90" s="104">
        <f>'外国語実績201201-201712'!N447</f>
        <v>2</v>
      </c>
      <c r="AO90" s="88">
        <f t="shared" si="127"/>
        <v>-0.96</v>
      </c>
      <c r="AP90" s="213"/>
      <c r="AQ90" s="213">
        <v>30</v>
      </c>
      <c r="AR90" s="213">
        <v>157</v>
      </c>
      <c r="AS90" s="213">
        <v>58</v>
      </c>
      <c r="AT90" s="213">
        <v>76</v>
      </c>
      <c r="AU90" s="211">
        <f>'外国語実績201201-201712'!N514</f>
        <v>195</v>
      </c>
      <c r="AV90" s="104">
        <f>'外国語実績201201-201712'!N526</f>
        <v>293</v>
      </c>
      <c r="AW90" s="104">
        <f>'外国語実績201201-201712'!N538</f>
        <v>12</v>
      </c>
      <c r="AX90" s="88">
        <f t="shared" si="128"/>
        <v>-0.95904436860068254</v>
      </c>
      <c r="AY90" s="279"/>
      <c r="AZ90" s="213">
        <v>4</v>
      </c>
      <c r="BA90" s="213">
        <v>22</v>
      </c>
      <c r="BB90" s="213">
        <v>7</v>
      </c>
      <c r="BC90" s="213">
        <v>27</v>
      </c>
      <c r="BD90" s="211">
        <f>'外国語実績201201-201712'!N602</f>
        <v>61</v>
      </c>
      <c r="BE90" s="104">
        <f>'外国語実績201201-201712'!N614</f>
        <v>41</v>
      </c>
      <c r="BF90" s="104">
        <f>'外国語実績201201-201712'!N626</f>
        <v>10</v>
      </c>
      <c r="BG90" s="88">
        <f t="shared" si="129"/>
        <v>-0.75609756097560976</v>
      </c>
      <c r="BH90" s="84">
        <v>367</v>
      </c>
      <c r="BI90" s="91">
        <v>1240</v>
      </c>
      <c r="BJ90" s="91">
        <v>984</v>
      </c>
      <c r="BK90" s="91">
        <f>'外国語実績201201-201712'!N682</f>
        <v>849</v>
      </c>
      <c r="BL90" s="104">
        <f>'外国語実績201201-201712'!N694</f>
        <v>941</v>
      </c>
      <c r="BM90" s="104">
        <f>'外国語実績201201-201712'!N706</f>
        <v>36</v>
      </c>
      <c r="BN90" s="88">
        <f t="shared" si="130"/>
        <v>-0.96174282678002121</v>
      </c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26"/>
    </row>
    <row r="91" spans="1:83" s="26" customFormat="1" ht="74.25" customHeight="1">
      <c r="A91" s="225" t="s">
        <v>15</v>
      </c>
      <c r="B91" s="280">
        <v>738</v>
      </c>
      <c r="C91" s="227">
        <v>1418</v>
      </c>
      <c r="D91" s="228">
        <v>3575</v>
      </c>
      <c r="E91" s="102">
        <v>6557</v>
      </c>
      <c r="F91" s="102">
        <v>5592</v>
      </c>
      <c r="G91" s="102">
        <v>15314</v>
      </c>
      <c r="H91" s="101">
        <f>'外国語実績201201-201712'!N85</f>
        <v>15472</v>
      </c>
      <c r="I91" s="104">
        <f>'外国語実績201201-201712'!N97</f>
        <v>20272</v>
      </c>
      <c r="J91" s="104">
        <f>'外国語実績201201-201712'!N109</f>
        <v>0</v>
      </c>
      <c r="K91" s="88">
        <f t="shared" si="124"/>
        <v>-1</v>
      </c>
      <c r="L91" s="227">
        <v>3082</v>
      </c>
      <c r="M91" s="229">
        <v>2462</v>
      </c>
      <c r="N91" s="230">
        <v>3405</v>
      </c>
      <c r="O91" s="231">
        <v>4216</v>
      </c>
      <c r="P91" s="232">
        <v>3162</v>
      </c>
      <c r="Q91" s="232">
        <v>6873</v>
      </c>
      <c r="R91" s="204">
        <f>'外国語実績201201-201712'!N197</f>
        <v>6666</v>
      </c>
      <c r="S91" s="104">
        <f>'外国語実績201201-201712'!N209</f>
        <v>0</v>
      </c>
      <c r="T91" s="104">
        <f>'外国語実績201201-201712'!N221</f>
        <v>0</v>
      </c>
      <c r="U91" s="88" t="e">
        <f t="shared" si="125"/>
        <v>#DIV/0!</v>
      </c>
      <c r="V91" s="227">
        <v>42</v>
      </c>
      <c r="W91" s="229">
        <v>32</v>
      </c>
      <c r="X91" s="233">
        <v>67</v>
      </c>
      <c r="Y91" s="229">
        <v>62</v>
      </c>
      <c r="Z91" s="91">
        <v>36</v>
      </c>
      <c r="AA91" s="91">
        <v>196</v>
      </c>
      <c r="AB91" s="276">
        <f>'外国語実績201201-201712'!N312</f>
        <v>315</v>
      </c>
      <c r="AC91" s="104">
        <f>'外国語実績201201-201712'!N324</f>
        <v>175</v>
      </c>
      <c r="AD91" s="104">
        <f>'外国語実績201201-201712'!N336</f>
        <v>0</v>
      </c>
      <c r="AE91" s="88">
        <f t="shared" si="126"/>
        <v>-1</v>
      </c>
      <c r="AF91" s="227">
        <v>3</v>
      </c>
      <c r="AG91" s="229">
        <v>30</v>
      </c>
      <c r="AH91" s="233">
        <v>7</v>
      </c>
      <c r="AI91" s="229">
        <v>32</v>
      </c>
      <c r="AJ91" s="91">
        <v>11</v>
      </c>
      <c r="AK91" s="91">
        <v>31</v>
      </c>
      <c r="AL91" s="276">
        <f>'外国語実績201201-201712'!N424</f>
        <v>87</v>
      </c>
      <c r="AM91" s="104">
        <f>'外国語実績201201-201712'!N436</f>
        <v>79</v>
      </c>
      <c r="AN91" s="104">
        <f>'外国語実績201201-201712'!N448</f>
        <v>0</v>
      </c>
      <c r="AO91" s="88">
        <f t="shared" si="127"/>
        <v>-1</v>
      </c>
      <c r="AP91" s="235"/>
      <c r="AQ91" s="235">
        <v>59</v>
      </c>
      <c r="AR91" s="235">
        <v>89</v>
      </c>
      <c r="AS91" s="238">
        <v>117</v>
      </c>
      <c r="AT91" s="238">
        <v>149</v>
      </c>
      <c r="AU91" s="211">
        <f>'外国語実績201201-201712'!N515</f>
        <v>215</v>
      </c>
      <c r="AV91" s="104">
        <f>'外国語実績201201-201712'!N527</f>
        <v>224</v>
      </c>
      <c r="AW91" s="104">
        <f>'外国語実績201201-201712'!N539</f>
        <v>0</v>
      </c>
      <c r="AX91" s="88">
        <f t="shared" si="128"/>
        <v>-1</v>
      </c>
      <c r="AY91" s="281"/>
      <c r="AZ91" s="235">
        <v>18</v>
      </c>
      <c r="BA91" s="235">
        <v>29</v>
      </c>
      <c r="BB91" s="238">
        <v>33</v>
      </c>
      <c r="BC91" s="238">
        <v>21</v>
      </c>
      <c r="BD91" s="211">
        <f>'外国語実績201201-201712'!N603</f>
        <v>44</v>
      </c>
      <c r="BE91" s="104">
        <f>'外国語実績201201-201712'!N615</f>
        <v>18</v>
      </c>
      <c r="BF91" s="104">
        <f>'外国語実績201201-201712'!N627</f>
        <v>0</v>
      </c>
      <c r="BG91" s="88">
        <f t="shared" si="129"/>
        <v>-1</v>
      </c>
      <c r="BH91" s="84">
        <v>624</v>
      </c>
      <c r="BI91" s="91">
        <v>1811</v>
      </c>
      <c r="BJ91" s="91">
        <v>1473</v>
      </c>
      <c r="BK91" s="91">
        <f>'外国語実績201201-201712'!N683</f>
        <v>1346</v>
      </c>
      <c r="BL91" s="104">
        <f>'外国語実績201201-201712'!N695</f>
        <v>764</v>
      </c>
      <c r="BM91" s="104">
        <f>'外国語実績201201-201712'!N707</f>
        <v>0</v>
      </c>
      <c r="BN91" s="88">
        <f t="shared" si="130"/>
        <v>-1</v>
      </c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27"/>
    </row>
    <row r="92" spans="1:83" s="27" customFormat="1" ht="74.25" customHeight="1">
      <c r="A92" s="199" t="s">
        <v>16</v>
      </c>
      <c r="B92" s="282">
        <v>493</v>
      </c>
      <c r="C92" s="240">
        <v>1249</v>
      </c>
      <c r="D92" s="214">
        <v>2748</v>
      </c>
      <c r="E92" s="92">
        <v>5303</v>
      </c>
      <c r="F92" s="92">
        <v>4709</v>
      </c>
      <c r="G92" s="92">
        <v>11336</v>
      </c>
      <c r="H92" s="101">
        <f>'外国語実績201201-201712'!N86</f>
        <v>19032</v>
      </c>
      <c r="I92" s="104">
        <f>'外国語実績201201-201712'!N98</f>
        <v>18551</v>
      </c>
      <c r="J92" s="104">
        <f>'外国語実績201201-201712'!N110</f>
        <v>0</v>
      </c>
      <c r="K92" s="88">
        <f t="shared" si="124"/>
        <v>-1</v>
      </c>
      <c r="L92" s="240">
        <v>2263</v>
      </c>
      <c r="M92" s="205">
        <v>3150</v>
      </c>
      <c r="N92" s="215">
        <v>4047</v>
      </c>
      <c r="O92" s="202">
        <v>4224</v>
      </c>
      <c r="P92" s="203">
        <v>3729</v>
      </c>
      <c r="Q92" s="203">
        <v>5906</v>
      </c>
      <c r="R92" s="204">
        <f>'外国語実績201201-201712'!N198</f>
        <v>0</v>
      </c>
      <c r="S92" s="104">
        <f>'外国語実績201201-201712'!N210</f>
        <v>0</v>
      </c>
      <c r="T92" s="104">
        <f>'外国語実績201201-201712'!N222</f>
        <v>0</v>
      </c>
      <c r="U92" s="88" t="e">
        <f t="shared" si="125"/>
        <v>#DIV/0!</v>
      </c>
      <c r="V92" s="240">
        <v>18</v>
      </c>
      <c r="W92" s="205">
        <v>22</v>
      </c>
      <c r="X92" s="216">
        <v>51</v>
      </c>
      <c r="Y92" s="205">
        <v>65</v>
      </c>
      <c r="Z92" s="221">
        <v>55</v>
      </c>
      <c r="AA92" s="221">
        <v>108</v>
      </c>
      <c r="AB92" s="276">
        <f>'外国語実績201201-201712'!N313</f>
        <v>311</v>
      </c>
      <c r="AC92" s="104">
        <f>'外国語実績201201-201712'!N325</f>
        <v>273</v>
      </c>
      <c r="AD92" s="104">
        <f>'外国語実績201201-201712'!N337</f>
        <v>0</v>
      </c>
      <c r="AE92" s="88">
        <f t="shared" si="126"/>
        <v>-1</v>
      </c>
      <c r="AF92" s="240">
        <v>4</v>
      </c>
      <c r="AG92" s="205">
        <v>11</v>
      </c>
      <c r="AH92" s="216">
        <v>5</v>
      </c>
      <c r="AI92" s="205">
        <v>13</v>
      </c>
      <c r="AJ92" s="221">
        <v>15</v>
      </c>
      <c r="AK92" s="221">
        <v>12</v>
      </c>
      <c r="AL92" s="276">
        <f>'外国語実績201201-201712'!N425</f>
        <v>71</v>
      </c>
      <c r="AM92" s="104">
        <f>'外国語実績201201-201712'!N437</f>
        <v>66</v>
      </c>
      <c r="AN92" s="104">
        <f>'外国語実績201201-201712'!N449</f>
        <v>0</v>
      </c>
      <c r="AO92" s="88">
        <f t="shared" si="127"/>
        <v>-1</v>
      </c>
      <c r="AP92" s="209"/>
      <c r="AQ92" s="209">
        <v>53</v>
      </c>
      <c r="AR92" s="209">
        <v>127</v>
      </c>
      <c r="AS92" s="213">
        <v>108</v>
      </c>
      <c r="AT92" s="213">
        <v>128</v>
      </c>
      <c r="AU92" s="211">
        <f>'外国語実績201201-201712'!N516</f>
        <v>286</v>
      </c>
      <c r="AV92" s="104">
        <f>'外国語実績201201-201712'!N528</f>
        <v>250</v>
      </c>
      <c r="AW92" s="104">
        <f>'外国語実績201201-201712'!N540</f>
        <v>0</v>
      </c>
      <c r="AX92" s="88">
        <f t="shared" si="128"/>
        <v>-1</v>
      </c>
      <c r="AY92" s="277"/>
      <c r="AZ92" s="209">
        <v>17</v>
      </c>
      <c r="BA92" s="209">
        <v>35</v>
      </c>
      <c r="BB92" s="213">
        <v>19</v>
      </c>
      <c r="BC92" s="213">
        <v>44</v>
      </c>
      <c r="BD92" s="211">
        <f>'外国語実績201201-201712'!N604</f>
        <v>45</v>
      </c>
      <c r="BE92" s="104">
        <f>'外国語実績201201-201712'!N616</f>
        <v>63</v>
      </c>
      <c r="BF92" s="104">
        <f>'外国語実績201201-201712'!N628</f>
        <v>0</v>
      </c>
      <c r="BG92" s="88">
        <f t="shared" si="129"/>
        <v>-1</v>
      </c>
      <c r="BH92" s="84">
        <v>743</v>
      </c>
      <c r="BI92" s="91">
        <v>2049</v>
      </c>
      <c r="BJ92" s="91">
        <v>1851</v>
      </c>
      <c r="BK92" s="91">
        <f>'外国語実績201201-201712'!N684</f>
        <v>1378</v>
      </c>
      <c r="BL92" s="104">
        <f>'外国語実績201201-201712'!N696</f>
        <v>935</v>
      </c>
      <c r="BM92" s="104">
        <f>'外国語実績201201-201712'!N708</f>
        <v>0</v>
      </c>
      <c r="BN92" s="88">
        <f t="shared" si="130"/>
        <v>-1</v>
      </c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24"/>
    </row>
    <row r="93" spans="1:83" ht="74.25" customHeight="1">
      <c r="A93" s="199" t="s">
        <v>17</v>
      </c>
      <c r="B93" s="282">
        <v>347</v>
      </c>
      <c r="C93" s="240">
        <v>963</v>
      </c>
      <c r="D93" s="214">
        <v>1962</v>
      </c>
      <c r="E93" s="92">
        <v>4467</v>
      </c>
      <c r="F93" s="92">
        <v>4940</v>
      </c>
      <c r="G93" s="92">
        <v>14196</v>
      </c>
      <c r="H93" s="101">
        <f>'外国語実績201201-201712'!N87</f>
        <v>12936</v>
      </c>
      <c r="I93" s="104">
        <f>'外国語実績201201-201712'!N99</f>
        <v>12885</v>
      </c>
      <c r="J93" s="104">
        <f>'外国語実績201201-201712'!N111</f>
        <v>0</v>
      </c>
      <c r="K93" s="88">
        <f t="shared" si="124"/>
        <v>-1</v>
      </c>
      <c r="L93" s="240">
        <v>327</v>
      </c>
      <c r="M93" s="205">
        <v>645</v>
      </c>
      <c r="N93" s="215">
        <v>1050</v>
      </c>
      <c r="O93" s="202">
        <v>1083</v>
      </c>
      <c r="P93" s="203">
        <v>791</v>
      </c>
      <c r="Q93" s="203">
        <v>0</v>
      </c>
      <c r="R93" s="204">
        <f>'外国語実績201201-201712'!N199</f>
        <v>0</v>
      </c>
      <c r="S93" s="104">
        <f>'外国語実績201201-201712'!N211</f>
        <v>0</v>
      </c>
      <c r="T93" s="104">
        <f>'外国語実績201201-201712'!N223</f>
        <v>0</v>
      </c>
      <c r="U93" s="88" t="e">
        <f t="shared" si="125"/>
        <v>#DIV/0!</v>
      </c>
      <c r="V93" s="240">
        <v>40</v>
      </c>
      <c r="W93" s="205">
        <v>69</v>
      </c>
      <c r="X93" s="216">
        <v>56</v>
      </c>
      <c r="Y93" s="205">
        <v>58</v>
      </c>
      <c r="Z93" s="221">
        <v>62</v>
      </c>
      <c r="AA93" s="221">
        <v>184</v>
      </c>
      <c r="AB93" s="276">
        <f>'外国語実績201201-201712'!N314</f>
        <v>199</v>
      </c>
      <c r="AC93" s="104">
        <f>'外国語実績201201-201712'!N326</f>
        <v>156</v>
      </c>
      <c r="AD93" s="104">
        <f>'外国語実績201201-201712'!N338</f>
        <v>0</v>
      </c>
      <c r="AE93" s="88">
        <f t="shared" si="126"/>
        <v>-1</v>
      </c>
      <c r="AF93" s="240">
        <v>5</v>
      </c>
      <c r="AG93" s="205">
        <v>5</v>
      </c>
      <c r="AH93" s="216">
        <v>8</v>
      </c>
      <c r="AI93" s="205">
        <v>28</v>
      </c>
      <c r="AJ93" s="221">
        <v>13</v>
      </c>
      <c r="AK93" s="221">
        <v>18</v>
      </c>
      <c r="AL93" s="276">
        <f>'外国語実績201201-201712'!N426</f>
        <v>35</v>
      </c>
      <c r="AM93" s="104">
        <f>'外国語実績201201-201712'!N438</f>
        <v>68</v>
      </c>
      <c r="AN93" s="104">
        <f>'外国語実績201201-201712'!N450</f>
        <v>0</v>
      </c>
      <c r="AO93" s="88">
        <f t="shared" si="127"/>
        <v>-1</v>
      </c>
      <c r="AP93" s="209"/>
      <c r="AQ93" s="209">
        <v>89</v>
      </c>
      <c r="AR93" s="209">
        <v>114</v>
      </c>
      <c r="AS93" s="213">
        <v>103</v>
      </c>
      <c r="AT93" s="213">
        <v>169</v>
      </c>
      <c r="AU93" s="211">
        <f>'外国語実績201201-201712'!N517</f>
        <v>200</v>
      </c>
      <c r="AV93" s="104">
        <f>'外国語実績201201-201712'!N529</f>
        <v>256</v>
      </c>
      <c r="AW93" s="104">
        <f>'外国語実績201201-201712'!N541</f>
        <v>0</v>
      </c>
      <c r="AX93" s="88">
        <f t="shared" si="128"/>
        <v>-1</v>
      </c>
      <c r="AY93" s="277"/>
      <c r="AZ93" s="209">
        <v>16</v>
      </c>
      <c r="BA93" s="209">
        <v>43</v>
      </c>
      <c r="BB93" s="213">
        <v>20</v>
      </c>
      <c r="BC93" s="213">
        <v>48</v>
      </c>
      <c r="BD93" s="211">
        <f>'外国語実績201201-201712'!N605</f>
        <v>50</v>
      </c>
      <c r="BE93" s="104">
        <f>'外国語実績201201-201712'!N617</f>
        <v>63</v>
      </c>
      <c r="BF93" s="104">
        <f>'外国語実績201201-201712'!N629</f>
        <v>0</v>
      </c>
      <c r="BG93" s="88">
        <f t="shared" si="129"/>
        <v>-1</v>
      </c>
      <c r="BH93" s="83">
        <v>411</v>
      </c>
      <c r="BI93" s="91">
        <v>1354</v>
      </c>
      <c r="BJ93" s="91">
        <v>664</v>
      </c>
      <c r="BK93" s="91">
        <f>'外国語実績201201-201712'!N685</f>
        <v>717</v>
      </c>
      <c r="BL93" s="104">
        <f>'外国語実績201201-201712'!N697</f>
        <v>588</v>
      </c>
      <c r="BM93" s="104">
        <f>'外国語実績201201-201712'!N709</f>
        <v>0</v>
      </c>
      <c r="BN93" s="88">
        <f t="shared" si="130"/>
        <v>-1</v>
      </c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</row>
    <row r="94" spans="1:83" ht="74.25" customHeight="1">
      <c r="A94" s="199" t="s">
        <v>18</v>
      </c>
      <c r="B94" s="282">
        <v>403</v>
      </c>
      <c r="C94" s="240">
        <v>1080</v>
      </c>
      <c r="D94" s="214">
        <v>3246</v>
      </c>
      <c r="E94" s="92">
        <v>7847</v>
      </c>
      <c r="F94" s="92">
        <v>8398</v>
      </c>
      <c r="G94" s="92">
        <v>16568</v>
      </c>
      <c r="H94" s="101">
        <f>'外国語実績201201-201712'!N88</f>
        <v>17577</v>
      </c>
      <c r="I94" s="104">
        <f>'外国語実績201201-201712'!N100</f>
        <v>14460</v>
      </c>
      <c r="J94" s="104">
        <f>'外国語実績201201-201712'!N112</f>
        <v>0</v>
      </c>
      <c r="K94" s="88">
        <f t="shared" si="124"/>
        <v>-1</v>
      </c>
      <c r="L94" s="219">
        <v>180</v>
      </c>
      <c r="M94" s="221">
        <v>212</v>
      </c>
      <c r="N94" s="222">
        <v>170</v>
      </c>
      <c r="O94" s="203">
        <v>221</v>
      </c>
      <c r="P94" s="203">
        <v>265</v>
      </c>
      <c r="Q94" s="203">
        <v>0</v>
      </c>
      <c r="R94" s="204">
        <f>'外国語実績201201-201712'!N200</f>
        <v>0</v>
      </c>
      <c r="S94" s="104">
        <f>'外国語実績201201-201712'!N212</f>
        <v>0</v>
      </c>
      <c r="T94" s="104">
        <f>'外国語実績201201-201712'!N224</f>
        <v>0</v>
      </c>
      <c r="U94" s="88" t="e">
        <f t="shared" si="125"/>
        <v>#DIV/0!</v>
      </c>
      <c r="V94" s="240">
        <v>39</v>
      </c>
      <c r="W94" s="205">
        <v>61</v>
      </c>
      <c r="X94" s="216">
        <v>105</v>
      </c>
      <c r="Y94" s="205">
        <v>160</v>
      </c>
      <c r="Z94" s="221">
        <v>104</v>
      </c>
      <c r="AA94" s="221">
        <v>218</v>
      </c>
      <c r="AB94" s="276">
        <f>'外国語実績201201-201712'!N315</f>
        <v>307</v>
      </c>
      <c r="AC94" s="104">
        <f>'外国語実績201201-201712'!N327</f>
        <v>302</v>
      </c>
      <c r="AD94" s="104">
        <f>'外国語実績201201-201712'!N339</f>
        <v>0</v>
      </c>
      <c r="AE94" s="88">
        <f t="shared" si="126"/>
        <v>-1</v>
      </c>
      <c r="AF94" s="219">
        <v>7</v>
      </c>
      <c r="AG94" s="221">
        <v>4</v>
      </c>
      <c r="AH94" s="223">
        <v>16</v>
      </c>
      <c r="AI94" s="221">
        <v>14</v>
      </c>
      <c r="AJ94" s="221">
        <v>17</v>
      </c>
      <c r="AK94" s="221">
        <v>22</v>
      </c>
      <c r="AL94" s="276">
        <f>'外国語実績201201-201712'!N427</f>
        <v>61</v>
      </c>
      <c r="AM94" s="104">
        <f>'外国語実績201201-201712'!N439</f>
        <v>55</v>
      </c>
      <c r="AN94" s="104">
        <f>'外国語実績201201-201712'!N451</f>
        <v>0</v>
      </c>
      <c r="AO94" s="88">
        <f t="shared" si="127"/>
        <v>-1</v>
      </c>
      <c r="AP94" s="213"/>
      <c r="AQ94" s="213">
        <v>92</v>
      </c>
      <c r="AR94" s="213">
        <v>211</v>
      </c>
      <c r="AS94" s="213">
        <v>146</v>
      </c>
      <c r="AT94" s="213">
        <v>216</v>
      </c>
      <c r="AU94" s="211">
        <f>'外国語実績201201-201712'!N518</f>
        <v>512</v>
      </c>
      <c r="AV94" s="104">
        <f>'外国語実績201201-201712'!N530</f>
        <v>568</v>
      </c>
      <c r="AW94" s="104">
        <f>'外国語実績201201-201712'!N542</f>
        <v>0</v>
      </c>
      <c r="AX94" s="88">
        <f t="shared" si="128"/>
        <v>-1</v>
      </c>
      <c r="AY94" s="279"/>
      <c r="AZ94" s="213">
        <v>14</v>
      </c>
      <c r="BA94" s="213">
        <v>30</v>
      </c>
      <c r="BB94" s="213">
        <v>9</v>
      </c>
      <c r="BC94" s="213">
        <v>27</v>
      </c>
      <c r="BD94" s="211">
        <f>'外国語実績201201-201712'!N606</f>
        <v>49</v>
      </c>
      <c r="BE94" s="104">
        <f>'外国語実績201201-201712'!N618</f>
        <v>38</v>
      </c>
      <c r="BF94" s="104">
        <f>'外国語実績201201-201712'!N630</f>
        <v>0</v>
      </c>
      <c r="BG94" s="88">
        <f t="shared" si="129"/>
        <v>-1</v>
      </c>
      <c r="BH94" s="83">
        <v>791</v>
      </c>
      <c r="BI94" s="91">
        <v>1914</v>
      </c>
      <c r="BJ94" s="91">
        <v>773</v>
      </c>
      <c r="BK94" s="91">
        <f>'外国語実績201201-201712'!N686</f>
        <v>1074</v>
      </c>
      <c r="BL94" s="104">
        <f>'外国語実績201201-201712'!N698</f>
        <v>2253</v>
      </c>
      <c r="BM94" s="104">
        <f>'外国語実績201201-201712'!N710</f>
        <v>0</v>
      </c>
      <c r="BN94" s="88">
        <f t="shared" si="130"/>
        <v>-1</v>
      </c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</row>
    <row r="95" spans="1:83" ht="74.25" customHeight="1">
      <c r="A95" s="199" t="s">
        <v>19</v>
      </c>
      <c r="B95" s="282">
        <v>549</v>
      </c>
      <c r="C95" s="240">
        <v>1406</v>
      </c>
      <c r="D95" s="214">
        <v>4308</v>
      </c>
      <c r="E95" s="92">
        <v>8043</v>
      </c>
      <c r="F95" s="92">
        <v>8983</v>
      </c>
      <c r="G95" s="92">
        <v>23384</v>
      </c>
      <c r="H95" s="101">
        <f>'外国語実績201201-201712'!N89</f>
        <v>25475</v>
      </c>
      <c r="I95" s="104">
        <f>'外国語実績201201-201712'!N101</f>
        <v>27140</v>
      </c>
      <c r="J95" s="104">
        <f>'外国語実績201201-201712'!N113</f>
        <v>0</v>
      </c>
      <c r="K95" s="88">
        <f t="shared" si="124"/>
        <v>-1</v>
      </c>
      <c r="L95" s="219">
        <v>19</v>
      </c>
      <c r="M95" s="221">
        <v>63</v>
      </c>
      <c r="N95" s="222">
        <v>32</v>
      </c>
      <c r="O95" s="203">
        <v>1</v>
      </c>
      <c r="P95" s="203">
        <v>3</v>
      </c>
      <c r="Q95" s="203">
        <v>0</v>
      </c>
      <c r="R95" s="204">
        <f>'外国語実績201201-201712'!N201</f>
        <v>0</v>
      </c>
      <c r="S95" s="104">
        <f>'外国語実績201201-201712'!N213</f>
        <v>0</v>
      </c>
      <c r="T95" s="104">
        <f>'外国語実績201201-201712'!N225</f>
        <v>0</v>
      </c>
      <c r="U95" s="88" t="e">
        <f t="shared" si="125"/>
        <v>#DIV/0!</v>
      </c>
      <c r="V95" s="240">
        <v>52</v>
      </c>
      <c r="W95" s="205">
        <v>65</v>
      </c>
      <c r="X95" s="216">
        <v>144</v>
      </c>
      <c r="Y95" s="205">
        <v>146</v>
      </c>
      <c r="Z95" s="221">
        <v>134</v>
      </c>
      <c r="AA95" s="221">
        <v>316</v>
      </c>
      <c r="AB95" s="276">
        <f>'外国語実績201201-201712'!N316</f>
        <v>323</v>
      </c>
      <c r="AC95" s="104">
        <f>'外国語実績201201-201712'!N328</f>
        <v>339</v>
      </c>
      <c r="AD95" s="104">
        <f>'外国語実績201201-201712'!N340</f>
        <v>0</v>
      </c>
      <c r="AE95" s="88">
        <f t="shared" si="126"/>
        <v>-1</v>
      </c>
      <c r="AF95" s="219">
        <v>4</v>
      </c>
      <c r="AG95" s="221">
        <v>15</v>
      </c>
      <c r="AH95" s="223">
        <v>21</v>
      </c>
      <c r="AI95" s="221">
        <v>49</v>
      </c>
      <c r="AJ95" s="221">
        <v>36</v>
      </c>
      <c r="AK95" s="221">
        <v>51</v>
      </c>
      <c r="AL95" s="276">
        <f>'外国語実績201201-201712'!N428</f>
        <v>78</v>
      </c>
      <c r="AM95" s="104">
        <f>'外国語実績201201-201712'!N440</f>
        <v>70</v>
      </c>
      <c r="AN95" s="104">
        <f>'外国語実績201201-201712'!N452</f>
        <v>0</v>
      </c>
      <c r="AO95" s="88">
        <f t="shared" si="127"/>
        <v>-1</v>
      </c>
      <c r="AP95" s="213"/>
      <c r="AQ95" s="213">
        <v>87</v>
      </c>
      <c r="AR95" s="213">
        <v>53</v>
      </c>
      <c r="AS95" s="213">
        <v>120</v>
      </c>
      <c r="AT95" s="213">
        <v>120</v>
      </c>
      <c r="AU95" s="211">
        <f>'外国語実績201201-201712'!N519</f>
        <v>298</v>
      </c>
      <c r="AV95" s="104">
        <f>'外国語実績201201-201712'!N531</f>
        <v>435</v>
      </c>
      <c r="AW95" s="104">
        <f>'外国語実績201201-201712'!N543</f>
        <v>0</v>
      </c>
      <c r="AX95" s="88">
        <f t="shared" si="128"/>
        <v>-1</v>
      </c>
      <c r="AY95" s="279"/>
      <c r="AZ95" s="213">
        <v>29</v>
      </c>
      <c r="BA95" s="213">
        <v>29</v>
      </c>
      <c r="BB95" s="213">
        <v>48</v>
      </c>
      <c r="BC95" s="213">
        <v>62</v>
      </c>
      <c r="BD95" s="211">
        <f>'外国語実績201201-201712'!N607</f>
        <v>63</v>
      </c>
      <c r="BE95" s="104">
        <f>'外国語実績201201-201712'!N619</f>
        <v>83</v>
      </c>
      <c r="BF95" s="104">
        <f>'外国語実績201201-201712'!N631</f>
        <v>0</v>
      </c>
      <c r="BG95" s="88">
        <f t="shared" si="129"/>
        <v>-1</v>
      </c>
      <c r="BH95" s="83">
        <v>1175</v>
      </c>
      <c r="BI95" s="91">
        <v>3556</v>
      </c>
      <c r="BJ95" s="91">
        <v>1676</v>
      </c>
      <c r="BK95" s="91">
        <f>'外国語実績201201-201712'!N687</f>
        <v>1703</v>
      </c>
      <c r="BL95" s="104">
        <f>'外国語実績201201-201712'!N699</f>
        <v>1988</v>
      </c>
      <c r="BM95" s="104">
        <f>'外国語実績201201-201712'!N711</f>
        <v>0</v>
      </c>
      <c r="BN95" s="88">
        <f t="shared" si="130"/>
        <v>-1</v>
      </c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</row>
    <row r="96" spans="1:83" ht="74.25" customHeight="1">
      <c r="A96" s="199" t="s">
        <v>20</v>
      </c>
      <c r="B96" s="282">
        <v>665</v>
      </c>
      <c r="C96" s="240">
        <v>1456</v>
      </c>
      <c r="D96" s="214">
        <v>4616</v>
      </c>
      <c r="E96" s="92">
        <v>8865</v>
      </c>
      <c r="F96" s="92">
        <v>9576</v>
      </c>
      <c r="G96" s="92">
        <v>18843</v>
      </c>
      <c r="H96" s="101">
        <f>'外国語実績201201-201712'!N90</f>
        <v>19375</v>
      </c>
      <c r="I96" s="104">
        <f>'外国語実績201201-201712'!N102</f>
        <v>21802</v>
      </c>
      <c r="J96" s="104">
        <f>'外国語実績201201-201712'!N114</f>
        <v>0</v>
      </c>
      <c r="K96" s="88">
        <f t="shared" si="124"/>
        <v>-1</v>
      </c>
      <c r="L96" s="240">
        <v>0</v>
      </c>
      <c r="M96" s="205">
        <v>0</v>
      </c>
      <c r="N96" s="215">
        <v>0</v>
      </c>
      <c r="O96" s="203">
        <v>0</v>
      </c>
      <c r="P96" s="203">
        <v>0</v>
      </c>
      <c r="Q96" s="203">
        <v>0</v>
      </c>
      <c r="R96" s="204">
        <f>'外国語実績201201-201712'!N202</f>
        <v>0</v>
      </c>
      <c r="S96" s="104">
        <f>'外国語実績201201-201712'!N214</f>
        <v>0</v>
      </c>
      <c r="T96" s="104">
        <f>'外国語実績201201-201712'!N226</f>
        <v>0</v>
      </c>
      <c r="U96" s="88" t="e">
        <f t="shared" si="125"/>
        <v>#DIV/0!</v>
      </c>
      <c r="V96" s="219">
        <v>62</v>
      </c>
      <c r="W96" s="221">
        <v>77</v>
      </c>
      <c r="X96" s="223">
        <v>258</v>
      </c>
      <c r="Y96" s="221">
        <v>305</v>
      </c>
      <c r="Z96" s="221">
        <v>120</v>
      </c>
      <c r="AA96" s="221">
        <v>530</v>
      </c>
      <c r="AB96" s="276">
        <f>'外国語実績201201-201712'!N317</f>
        <v>614</v>
      </c>
      <c r="AC96" s="104">
        <f>'外国語実績201201-201712'!N329</f>
        <v>752</v>
      </c>
      <c r="AD96" s="104">
        <f>'外国語実績201201-201712'!N341</f>
        <v>0</v>
      </c>
      <c r="AE96" s="88">
        <f t="shared" si="126"/>
        <v>-1</v>
      </c>
      <c r="AF96" s="219">
        <v>105</v>
      </c>
      <c r="AG96" s="221">
        <v>270</v>
      </c>
      <c r="AH96" s="223">
        <v>431</v>
      </c>
      <c r="AI96" s="221">
        <v>715</v>
      </c>
      <c r="AJ96" s="221">
        <v>440</v>
      </c>
      <c r="AK96" s="221">
        <v>990</v>
      </c>
      <c r="AL96" s="276">
        <f>'外国語実績201201-201712'!N429</f>
        <v>993</v>
      </c>
      <c r="AM96" s="104">
        <f>'外国語実績201201-201712'!N441</f>
        <v>1409</v>
      </c>
      <c r="AN96" s="104">
        <f>'外国語実績201201-201712'!N453</f>
        <v>0</v>
      </c>
      <c r="AO96" s="88">
        <f t="shared" si="127"/>
        <v>-1</v>
      </c>
      <c r="AP96" s="213"/>
      <c r="AQ96" s="213">
        <v>115</v>
      </c>
      <c r="AR96" s="213">
        <v>148</v>
      </c>
      <c r="AS96" s="213">
        <v>103</v>
      </c>
      <c r="AT96" s="213">
        <v>122</v>
      </c>
      <c r="AU96" s="211">
        <f>'外国語実績201201-201712'!N520</f>
        <v>138</v>
      </c>
      <c r="AV96" s="104">
        <f>'外国語実績201201-201712'!N532</f>
        <v>192</v>
      </c>
      <c r="AW96" s="104">
        <f>'外国語実績201201-201712'!N544</f>
        <v>0</v>
      </c>
      <c r="AX96" s="88">
        <f t="shared" si="128"/>
        <v>-1</v>
      </c>
      <c r="AY96" s="279"/>
      <c r="AZ96" s="213">
        <v>154</v>
      </c>
      <c r="BA96" s="213">
        <v>190</v>
      </c>
      <c r="BB96" s="213">
        <v>153</v>
      </c>
      <c r="BC96" s="213">
        <v>228</v>
      </c>
      <c r="BD96" s="211">
        <f>'外国語実績201201-201712'!N608</f>
        <v>243</v>
      </c>
      <c r="BE96" s="104">
        <f>'外国語実績201201-201712'!N620</f>
        <v>265</v>
      </c>
      <c r="BF96" s="104">
        <f>'外国語実績201201-201712'!N632</f>
        <v>0</v>
      </c>
      <c r="BG96" s="88">
        <f t="shared" si="129"/>
        <v>-1</v>
      </c>
      <c r="BH96" s="83">
        <v>1310</v>
      </c>
      <c r="BI96" s="91">
        <v>2780</v>
      </c>
      <c r="BJ96" s="91">
        <v>1100</v>
      </c>
      <c r="BK96" s="91">
        <f>'外国語実績201201-201712'!N688</f>
        <v>1166</v>
      </c>
      <c r="BL96" s="104">
        <f>'外国語実績201201-201712'!N700</f>
        <v>1588</v>
      </c>
      <c r="BM96" s="104">
        <f>'外国語実績201201-201712'!N712</f>
        <v>0</v>
      </c>
      <c r="BN96" s="88">
        <f t="shared" si="130"/>
        <v>-1</v>
      </c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</row>
    <row r="97" spans="1:83" ht="74.25" customHeight="1">
      <c r="A97" s="199" t="s">
        <v>21</v>
      </c>
      <c r="B97" s="282">
        <v>369</v>
      </c>
      <c r="C97" s="240">
        <v>1214</v>
      </c>
      <c r="D97" s="214">
        <v>3880</v>
      </c>
      <c r="E97" s="92">
        <v>7898</v>
      </c>
      <c r="F97" s="92">
        <v>10096</v>
      </c>
      <c r="G97" s="101">
        <f>'外国語実績201201-201712'!N79</f>
        <v>14967</v>
      </c>
      <c r="H97" s="101">
        <f>'外国語実績201201-201712'!N91</f>
        <v>16745</v>
      </c>
      <c r="I97" s="104">
        <f>'外国語実績201201-201712'!N103</f>
        <v>17804</v>
      </c>
      <c r="J97" s="104"/>
      <c r="K97" s="88">
        <f t="shared" si="124"/>
        <v>-1</v>
      </c>
      <c r="L97" s="240">
        <v>0</v>
      </c>
      <c r="M97" s="205">
        <v>0</v>
      </c>
      <c r="N97" s="215">
        <v>0</v>
      </c>
      <c r="O97" s="203">
        <v>0</v>
      </c>
      <c r="P97" s="203">
        <v>0</v>
      </c>
      <c r="Q97" s="204">
        <f>'外国語実績201201-201712'!N191</f>
        <v>0</v>
      </c>
      <c r="R97" s="204">
        <f>'外国語実績201201-201712'!N203</f>
        <v>0</v>
      </c>
      <c r="S97" s="104">
        <f>'外国語実績201201-201712'!N215</f>
        <v>0</v>
      </c>
      <c r="T97" s="104"/>
      <c r="U97" s="88" t="e">
        <f t="shared" si="125"/>
        <v>#DIV/0!</v>
      </c>
      <c r="V97" s="219">
        <v>29</v>
      </c>
      <c r="W97" s="221">
        <v>58</v>
      </c>
      <c r="X97" s="223">
        <v>191</v>
      </c>
      <c r="Y97" s="221">
        <v>308</v>
      </c>
      <c r="Z97" s="221">
        <v>309</v>
      </c>
      <c r="AA97" s="276">
        <f>'外国語実績201201-201712'!N306</f>
        <v>880</v>
      </c>
      <c r="AB97" s="276">
        <f>'外国語実績201201-201712'!N318</f>
        <v>960</v>
      </c>
      <c r="AC97" s="104">
        <f>'外国語実績201201-201712'!N330</f>
        <v>752</v>
      </c>
      <c r="AD97" s="104"/>
      <c r="AE97" s="88">
        <f t="shared" si="126"/>
        <v>-1</v>
      </c>
      <c r="AF97" s="219">
        <v>112</v>
      </c>
      <c r="AG97" s="221">
        <v>276</v>
      </c>
      <c r="AH97" s="223">
        <v>548</v>
      </c>
      <c r="AI97" s="221">
        <v>788</v>
      </c>
      <c r="AJ97" s="221">
        <v>723</v>
      </c>
      <c r="AK97" s="276">
        <f>'外国語実績201201-201712'!N418</f>
        <v>1422</v>
      </c>
      <c r="AL97" s="276">
        <f>'外国語実績201201-201712'!N430</f>
        <v>2222</v>
      </c>
      <c r="AM97" s="104">
        <f>'外国語実績201201-201712'!N442</f>
        <v>2718</v>
      </c>
      <c r="AN97" s="104"/>
      <c r="AO97" s="88">
        <f t="shared" si="127"/>
        <v>-1</v>
      </c>
      <c r="AP97" s="213"/>
      <c r="AQ97" s="213">
        <v>42</v>
      </c>
      <c r="AR97" s="213">
        <v>80</v>
      </c>
      <c r="AS97" s="213">
        <v>95</v>
      </c>
      <c r="AT97" s="211">
        <f>'外国語実績201201-201712'!N509</f>
        <v>106</v>
      </c>
      <c r="AU97" s="211">
        <f>'外国語実績201201-201712'!N521</f>
        <v>201</v>
      </c>
      <c r="AV97" s="104">
        <f>'外国語実績201201-201712'!N533</f>
        <v>160</v>
      </c>
      <c r="AW97" s="104"/>
      <c r="AX97" s="88">
        <f t="shared" si="128"/>
        <v>-1</v>
      </c>
      <c r="AY97" s="279"/>
      <c r="AZ97" s="213">
        <v>112</v>
      </c>
      <c r="BA97" s="213">
        <v>166</v>
      </c>
      <c r="BB97" s="213">
        <v>125</v>
      </c>
      <c r="BC97" s="211">
        <f>'外国語実績201201-201712'!N597</f>
        <v>252</v>
      </c>
      <c r="BD97" s="211">
        <f>'外国語実績201201-201712'!N609</f>
        <v>353</v>
      </c>
      <c r="BE97" s="104">
        <f>'外国語実績201201-201712'!N621</f>
        <v>421</v>
      </c>
      <c r="BF97" s="104"/>
      <c r="BG97" s="88">
        <f t="shared" si="129"/>
        <v>-1</v>
      </c>
      <c r="BH97" s="83">
        <v>689</v>
      </c>
      <c r="BI97" s="91">
        <v>2067</v>
      </c>
      <c r="BJ97" s="91">
        <f>'外国語実績201201-201712'!N677</f>
        <v>719</v>
      </c>
      <c r="BK97" s="91">
        <f>'外国語実績201201-201712'!N689</f>
        <v>948</v>
      </c>
      <c r="BL97" s="104">
        <f>'外国語実績201201-201712'!N701</f>
        <v>1003</v>
      </c>
      <c r="BM97" s="104"/>
      <c r="BN97" s="88">
        <f t="shared" si="130"/>
        <v>-1</v>
      </c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</row>
    <row r="98" spans="1:83" ht="74.25" customHeight="1">
      <c r="A98" s="250" t="s">
        <v>22</v>
      </c>
      <c r="B98" s="282">
        <v>379</v>
      </c>
      <c r="C98" s="240">
        <v>926</v>
      </c>
      <c r="D98" s="214">
        <v>3745</v>
      </c>
      <c r="E98" s="92">
        <v>5882</v>
      </c>
      <c r="F98" s="92">
        <v>7057</v>
      </c>
      <c r="G98" s="101">
        <f>'外国語実績201201-201712'!N80</f>
        <v>14999</v>
      </c>
      <c r="H98" s="101">
        <f>'外国語実績201201-201712'!N92</f>
        <v>17916</v>
      </c>
      <c r="I98" s="104">
        <f>'外国語実績201201-201712'!N104</f>
        <v>8997</v>
      </c>
      <c r="J98" s="104"/>
      <c r="K98" s="88">
        <f t="shared" si="124"/>
        <v>-1</v>
      </c>
      <c r="L98" s="248">
        <v>0</v>
      </c>
      <c r="M98" s="249">
        <v>0</v>
      </c>
      <c r="N98" s="222">
        <v>0</v>
      </c>
      <c r="O98" s="203">
        <v>0</v>
      </c>
      <c r="P98" s="203">
        <v>0</v>
      </c>
      <c r="Q98" s="204">
        <f>'外国語実績201201-201712'!N192</f>
        <v>0</v>
      </c>
      <c r="R98" s="204">
        <f>'外国語実績201201-201712'!N204</f>
        <v>0</v>
      </c>
      <c r="S98" s="104">
        <f>'外国語実績201201-201712'!N216</f>
        <v>0</v>
      </c>
      <c r="T98" s="104"/>
      <c r="U98" s="88" t="e">
        <f t="shared" si="125"/>
        <v>#DIV/0!</v>
      </c>
      <c r="V98" s="248">
        <v>37</v>
      </c>
      <c r="W98" s="249">
        <v>49</v>
      </c>
      <c r="X98" s="223">
        <v>167</v>
      </c>
      <c r="Y98" s="221">
        <v>234</v>
      </c>
      <c r="Z98" s="221">
        <v>189</v>
      </c>
      <c r="AA98" s="276">
        <f>'外国語実績201201-201712'!N307</f>
        <v>605</v>
      </c>
      <c r="AB98" s="276">
        <f>'外国語実績201201-201712'!N319</f>
        <v>921</v>
      </c>
      <c r="AC98" s="104">
        <f>'外国語実績201201-201712'!N331</f>
        <v>524</v>
      </c>
      <c r="AD98" s="104"/>
      <c r="AE98" s="88">
        <f t="shared" si="126"/>
        <v>-1</v>
      </c>
      <c r="AF98" s="248">
        <v>160</v>
      </c>
      <c r="AG98" s="249">
        <v>245</v>
      </c>
      <c r="AH98" s="223">
        <v>520</v>
      </c>
      <c r="AI98" s="221">
        <v>715</v>
      </c>
      <c r="AJ98" s="221">
        <v>617</v>
      </c>
      <c r="AK98" s="276">
        <f>'外国語実績201201-201712'!N419</f>
        <v>1647</v>
      </c>
      <c r="AL98" s="276">
        <f>'外国語実績201201-201712'!N431</f>
        <v>2229</v>
      </c>
      <c r="AM98" s="104">
        <f>'外国語実績201201-201712'!N443</f>
        <v>2700</v>
      </c>
      <c r="AN98" s="104"/>
      <c r="AO98" s="88">
        <f t="shared" si="127"/>
        <v>-1</v>
      </c>
      <c r="AP98" s="213"/>
      <c r="AQ98" s="213">
        <v>26</v>
      </c>
      <c r="AR98" s="213">
        <v>76</v>
      </c>
      <c r="AS98" s="213">
        <v>70</v>
      </c>
      <c r="AT98" s="211">
        <f>'外国語実績201201-201712'!N510</f>
        <v>112</v>
      </c>
      <c r="AU98" s="211">
        <f>'外国語実績201201-201712'!N522</f>
        <v>192</v>
      </c>
      <c r="AV98" s="104">
        <f>'外国語実績201201-201712'!N534</f>
        <v>122</v>
      </c>
      <c r="AW98" s="104"/>
      <c r="AX98" s="88">
        <f t="shared" si="128"/>
        <v>-1</v>
      </c>
      <c r="AY98" s="279"/>
      <c r="AZ98" s="213">
        <v>97</v>
      </c>
      <c r="BA98" s="213">
        <v>182</v>
      </c>
      <c r="BB98" s="213">
        <v>147</v>
      </c>
      <c r="BC98" s="211">
        <f>'外国語実績201201-201712'!N598</f>
        <v>317</v>
      </c>
      <c r="BD98" s="211">
        <f>'外国語実績201201-201712'!N610</f>
        <v>299</v>
      </c>
      <c r="BE98" s="104">
        <f>'外国語実績201201-201712'!N622</f>
        <v>356</v>
      </c>
      <c r="BF98" s="104"/>
      <c r="BG98" s="88">
        <f t="shared" si="129"/>
        <v>-1</v>
      </c>
      <c r="BH98" s="83">
        <v>817</v>
      </c>
      <c r="BI98" s="91">
        <v>2331</v>
      </c>
      <c r="BJ98" s="91">
        <f>'外国語実績201201-201712'!N678</f>
        <v>627</v>
      </c>
      <c r="BK98" s="91">
        <f>'外国語実績201201-201712'!N690</f>
        <v>736</v>
      </c>
      <c r="BL98" s="104">
        <f>'外国語実績201201-201712'!N702</f>
        <v>590</v>
      </c>
      <c r="BM98" s="104"/>
      <c r="BN98" s="88">
        <f t="shared" si="130"/>
        <v>-1</v>
      </c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</row>
    <row r="99" spans="1:83" ht="74.25" customHeight="1" thickBot="1">
      <c r="A99" s="250" t="s">
        <v>23</v>
      </c>
      <c r="B99" s="283">
        <v>690</v>
      </c>
      <c r="C99" s="284">
        <v>2284</v>
      </c>
      <c r="D99" s="285">
        <v>5427</v>
      </c>
      <c r="E99" s="286">
        <v>6053</v>
      </c>
      <c r="F99" s="286">
        <v>9822</v>
      </c>
      <c r="G99" s="455">
        <f>'外国語実績201201-201712'!N81</f>
        <v>18316</v>
      </c>
      <c r="H99" s="455">
        <f>'外国語実績201201-201712'!N93</f>
        <v>19365</v>
      </c>
      <c r="I99" s="437">
        <f>'外国語実績201201-201712'!N105</f>
        <v>1269</v>
      </c>
      <c r="J99" s="437"/>
      <c r="K99" s="447">
        <f t="shared" si="124"/>
        <v>-1</v>
      </c>
      <c r="L99" s="248">
        <v>0</v>
      </c>
      <c r="M99" s="249">
        <v>0</v>
      </c>
      <c r="N99" s="251">
        <v>0</v>
      </c>
      <c r="O99" s="252">
        <v>0</v>
      </c>
      <c r="P99" s="252">
        <v>0</v>
      </c>
      <c r="Q99" s="441">
        <f>'外国語実績201201-201712'!N193</f>
        <v>0</v>
      </c>
      <c r="R99" s="441">
        <f>'外国語実績201201-201712'!N205</f>
        <v>0</v>
      </c>
      <c r="S99" s="437">
        <f>'外国語実績201201-201712'!N217</f>
        <v>0</v>
      </c>
      <c r="T99" s="437"/>
      <c r="U99" s="447" t="e">
        <f t="shared" si="125"/>
        <v>#DIV/0!</v>
      </c>
      <c r="V99" s="248">
        <v>44</v>
      </c>
      <c r="W99" s="249">
        <v>79</v>
      </c>
      <c r="X99" s="253">
        <v>103</v>
      </c>
      <c r="Y99" s="249">
        <v>113</v>
      </c>
      <c r="Z99" s="249">
        <v>75</v>
      </c>
      <c r="AA99" s="456">
        <f>'外国語実績201201-201712'!N308</f>
        <v>231</v>
      </c>
      <c r="AB99" s="456">
        <f>'外国語実績201201-201712'!N320</f>
        <v>293</v>
      </c>
      <c r="AC99" s="437">
        <f>'外国語実績201201-201712'!N332</f>
        <v>55</v>
      </c>
      <c r="AD99" s="437"/>
      <c r="AE99" s="447">
        <f t="shared" si="126"/>
        <v>-1</v>
      </c>
      <c r="AF99" s="248">
        <v>97</v>
      </c>
      <c r="AG99" s="249">
        <v>145</v>
      </c>
      <c r="AH99" s="253">
        <v>288</v>
      </c>
      <c r="AI99" s="249">
        <v>192</v>
      </c>
      <c r="AJ99" s="249">
        <v>231</v>
      </c>
      <c r="AK99" s="456">
        <f>'外国語実績201201-201712'!N420</f>
        <v>855</v>
      </c>
      <c r="AL99" s="456">
        <f>'外国語実績201201-201712'!N432</f>
        <v>850</v>
      </c>
      <c r="AM99" s="437">
        <f>'外国語実績201201-201712'!N444</f>
        <v>771</v>
      </c>
      <c r="AN99" s="437"/>
      <c r="AO99" s="447">
        <f t="shared" si="127"/>
        <v>-1</v>
      </c>
      <c r="AP99" s="257">
        <v>24</v>
      </c>
      <c r="AQ99" s="287">
        <v>73</v>
      </c>
      <c r="AR99" s="257">
        <v>69</v>
      </c>
      <c r="AS99" s="257">
        <v>87</v>
      </c>
      <c r="AT99" s="443">
        <f>'外国語実績201201-201712'!N511</f>
        <v>67</v>
      </c>
      <c r="AU99" s="443">
        <f>'外国語実績201201-201712'!N523</f>
        <v>159</v>
      </c>
      <c r="AV99" s="437">
        <f>'外国語実績201201-201712'!N535</f>
        <v>35</v>
      </c>
      <c r="AW99" s="437"/>
      <c r="AX99" s="447">
        <f t="shared" si="128"/>
        <v>-1</v>
      </c>
      <c r="AY99" s="288">
        <v>22</v>
      </c>
      <c r="AZ99" s="257">
        <v>74</v>
      </c>
      <c r="BA99" s="257">
        <v>65</v>
      </c>
      <c r="BB99" s="257">
        <v>125</v>
      </c>
      <c r="BC99" s="443">
        <f>'外国語実績201201-201712'!N599</f>
        <v>136</v>
      </c>
      <c r="BD99" s="443">
        <f>'外国語実績201201-201712'!N611</f>
        <v>124</v>
      </c>
      <c r="BE99" s="437">
        <f>'外国語実績201201-201712'!N623</f>
        <v>95</v>
      </c>
      <c r="BF99" s="437"/>
      <c r="BG99" s="447">
        <f t="shared" si="129"/>
        <v>-1</v>
      </c>
      <c r="BH99" s="93">
        <v>1553</v>
      </c>
      <c r="BI99" s="457">
        <v>3334</v>
      </c>
      <c r="BJ99" s="457">
        <f>'外国語実績201201-201712'!N679</f>
        <v>1221</v>
      </c>
      <c r="BK99" s="457">
        <f>'外国語実績201201-201712'!N691</f>
        <v>1317</v>
      </c>
      <c r="BL99" s="437">
        <f>'外国語実績201201-201712'!N703</f>
        <v>144</v>
      </c>
      <c r="BM99" s="437"/>
      <c r="BN99" s="447">
        <f t="shared" si="130"/>
        <v>-1</v>
      </c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</row>
    <row r="100" spans="1:83" ht="74.25" customHeight="1" thickBot="1">
      <c r="A100" s="76" t="s">
        <v>5</v>
      </c>
      <c r="B100" s="94">
        <f t="shared" ref="B100:H100" si="131">SUM(B88:B99)</f>
        <v>6170</v>
      </c>
      <c r="C100" s="95">
        <f t="shared" si="131"/>
        <v>14983</v>
      </c>
      <c r="D100" s="96">
        <f t="shared" si="131"/>
        <v>43901</v>
      </c>
      <c r="E100" s="96">
        <f t="shared" si="131"/>
        <v>81221</v>
      </c>
      <c r="F100" s="96">
        <f t="shared" si="131"/>
        <v>81305</v>
      </c>
      <c r="G100" s="96">
        <f t="shared" si="131"/>
        <v>186876</v>
      </c>
      <c r="H100" s="96">
        <f t="shared" si="131"/>
        <v>234924</v>
      </c>
      <c r="I100" s="96">
        <f t="shared" ref="I100:J100" si="132">SUM(I88:I99)</f>
        <v>202948</v>
      </c>
      <c r="J100" s="96">
        <f t="shared" si="132"/>
        <v>339</v>
      </c>
      <c r="K100" s="450">
        <f t="shared" si="124"/>
        <v>-0.99832962138084635</v>
      </c>
      <c r="L100" s="77">
        <f t="shared" ref="L100:R100" si="133">SUM(L88:L99)</f>
        <v>6288</v>
      </c>
      <c r="M100" s="77">
        <f t="shared" si="133"/>
        <v>7042</v>
      </c>
      <c r="N100" s="77">
        <f t="shared" si="133"/>
        <v>9190</v>
      </c>
      <c r="O100" s="77">
        <f t="shared" si="133"/>
        <v>10367</v>
      </c>
      <c r="P100" s="77">
        <f t="shared" si="133"/>
        <v>8640</v>
      </c>
      <c r="Q100" s="77">
        <f t="shared" si="133"/>
        <v>12779</v>
      </c>
      <c r="R100" s="77">
        <f t="shared" si="133"/>
        <v>6666</v>
      </c>
      <c r="S100" s="96">
        <f t="shared" ref="S100:T100" si="134">SUM(S88:S99)</f>
        <v>0</v>
      </c>
      <c r="T100" s="96">
        <f t="shared" si="134"/>
        <v>0</v>
      </c>
      <c r="U100" s="450" t="e">
        <f t="shared" si="125"/>
        <v>#DIV/0!</v>
      </c>
      <c r="V100" s="77">
        <f t="shared" ref="V100:AB100" si="135">SUM(V88:V99)</f>
        <v>511</v>
      </c>
      <c r="W100" s="77">
        <f t="shared" si="135"/>
        <v>662</v>
      </c>
      <c r="X100" s="77">
        <f t="shared" si="135"/>
        <v>1385</v>
      </c>
      <c r="Y100" s="77">
        <f t="shared" si="135"/>
        <v>1750</v>
      </c>
      <c r="Z100" s="77">
        <f t="shared" si="135"/>
        <v>1305</v>
      </c>
      <c r="AA100" s="77">
        <f t="shared" si="135"/>
        <v>3480</v>
      </c>
      <c r="AB100" s="77">
        <f t="shared" si="135"/>
        <v>4961</v>
      </c>
      <c r="AC100" s="96">
        <f t="shared" ref="AC100:AD100" si="136">SUM(AC88:AC99)</f>
        <v>4103</v>
      </c>
      <c r="AD100" s="96">
        <f t="shared" si="136"/>
        <v>12</v>
      </c>
      <c r="AE100" s="450">
        <f t="shared" si="126"/>
        <v>-0.99707531074823297</v>
      </c>
      <c r="AF100" s="77">
        <f t="shared" ref="AF100:AL100" si="137">SUM(AF88:AF99)</f>
        <v>507</v>
      </c>
      <c r="AG100" s="77">
        <f t="shared" si="137"/>
        <v>1016</v>
      </c>
      <c r="AH100" s="77">
        <f t="shared" si="137"/>
        <v>1886</v>
      </c>
      <c r="AI100" s="77">
        <f t="shared" si="137"/>
        <v>2624</v>
      </c>
      <c r="AJ100" s="77">
        <f t="shared" si="137"/>
        <v>2160</v>
      </c>
      <c r="AK100" s="77">
        <f t="shared" si="137"/>
        <v>5141</v>
      </c>
      <c r="AL100" s="77">
        <f t="shared" si="137"/>
        <v>6812</v>
      </c>
      <c r="AM100" s="96">
        <f t="shared" ref="AM100:AN100" si="138">SUM(AM88:AM99)</f>
        <v>8226</v>
      </c>
      <c r="AN100" s="96">
        <f t="shared" si="138"/>
        <v>15</v>
      </c>
      <c r="AO100" s="450">
        <f t="shared" si="127"/>
        <v>-0.9981765134938001</v>
      </c>
      <c r="AP100" s="79">
        <f>SUM(AP99)</f>
        <v>24</v>
      </c>
      <c r="AQ100" s="79">
        <f t="shared" ref="AQ100:AU100" si="139">SUM(AQ88:AQ99)</f>
        <v>749</v>
      </c>
      <c r="AR100" s="79">
        <f t="shared" si="139"/>
        <v>1525</v>
      </c>
      <c r="AS100" s="79">
        <f t="shared" si="139"/>
        <v>1287</v>
      </c>
      <c r="AT100" s="79">
        <f t="shared" si="139"/>
        <v>1750</v>
      </c>
      <c r="AU100" s="79">
        <f t="shared" si="139"/>
        <v>3078</v>
      </c>
      <c r="AV100" s="96">
        <f t="shared" ref="AV100:AW100" si="140">SUM(AV88:AV99)</f>
        <v>3269</v>
      </c>
      <c r="AW100" s="96">
        <f t="shared" si="140"/>
        <v>15</v>
      </c>
      <c r="AX100" s="450">
        <f>(AW100-AV100)/AV100</f>
        <v>-0.99541144080758637</v>
      </c>
      <c r="AY100" s="97">
        <f>SUM(AY99)</f>
        <v>22</v>
      </c>
      <c r="AZ100" s="79">
        <f t="shared" ref="AZ100:BD100" si="141">SUM(AZ88:AZ99)</f>
        <v>578</v>
      </c>
      <c r="BA100" s="79">
        <f t="shared" si="141"/>
        <v>839</v>
      </c>
      <c r="BB100" s="79">
        <f t="shared" si="141"/>
        <v>724</v>
      </c>
      <c r="BC100" s="79">
        <f t="shared" si="141"/>
        <v>1258</v>
      </c>
      <c r="BD100" s="79">
        <f t="shared" si="141"/>
        <v>1483</v>
      </c>
      <c r="BE100" s="96">
        <f t="shared" ref="BE100:BF100" si="142">SUM(BE88:BE99)</f>
        <v>1617</v>
      </c>
      <c r="BF100" s="96">
        <f t="shared" si="142"/>
        <v>14</v>
      </c>
      <c r="BG100" s="450">
        <f t="shared" si="129"/>
        <v>-0.9913419913419913</v>
      </c>
      <c r="BH100" s="86">
        <f>SUM(BH88:BH99)</f>
        <v>9174</v>
      </c>
      <c r="BI100" s="87">
        <f>SUM(BI88:BI99)</f>
        <v>27303</v>
      </c>
      <c r="BJ100" s="87">
        <f>SUM(BJ88:BJ99)</f>
        <v>17966</v>
      </c>
      <c r="BK100" s="87">
        <f>SUM(BK88:BK99)</f>
        <v>16111</v>
      </c>
      <c r="BL100" s="96">
        <f t="shared" ref="BL100:BM100" si="143">SUM(BL88:BL99)</f>
        <v>14787</v>
      </c>
      <c r="BM100" s="96">
        <f t="shared" si="143"/>
        <v>82</v>
      </c>
      <c r="BN100" s="450">
        <f t="shared" si="130"/>
        <v>-0.99445458848988977</v>
      </c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5"/>
    </row>
    <row r="101" spans="1:83" s="25" customFormat="1" ht="20.100000000000001" customHeight="1" thickBot="1">
      <c r="A101" s="34"/>
      <c r="B101" s="34"/>
      <c r="C101" s="34"/>
      <c r="D101" s="34"/>
      <c r="E101" s="34"/>
      <c r="F101" s="35"/>
      <c r="G101" s="35"/>
      <c r="H101" s="35"/>
      <c r="I101" s="34"/>
      <c r="J101" s="34"/>
      <c r="K101" s="34"/>
      <c r="L101" s="34"/>
      <c r="M101" s="35"/>
      <c r="N101" s="34"/>
      <c r="O101" s="34"/>
      <c r="P101" s="34"/>
      <c r="Q101" s="34"/>
      <c r="R101" s="34"/>
      <c r="S101" s="34"/>
      <c r="T101" s="35"/>
      <c r="U101" s="34"/>
      <c r="V101" s="34"/>
      <c r="W101" s="34"/>
      <c r="X101" s="34"/>
      <c r="Y101" s="34"/>
      <c r="Z101" s="34"/>
      <c r="AA101" s="35"/>
      <c r="AB101" s="34"/>
      <c r="AC101" s="34"/>
      <c r="AD101" s="34"/>
      <c r="AE101" s="34"/>
      <c r="AF101" s="34"/>
      <c r="AG101" s="35"/>
      <c r="AH101" s="34"/>
      <c r="AI101" s="34"/>
      <c r="AJ101" s="34"/>
      <c r="AK101" s="35"/>
      <c r="AL101" s="35"/>
      <c r="AM101" s="35"/>
      <c r="AN101" s="63"/>
      <c r="AO101" s="34"/>
      <c r="AP101" s="34"/>
      <c r="AQ101" s="34"/>
      <c r="AR101" s="34"/>
      <c r="AS101" s="34"/>
      <c r="AT101" s="34"/>
      <c r="AU101" s="35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24"/>
    </row>
    <row r="102" spans="1:83" ht="74.25" customHeight="1" thickBot="1">
      <c r="A102" s="36" t="s">
        <v>1</v>
      </c>
      <c r="B102" s="462" t="s">
        <v>127</v>
      </c>
      <c r="C102" s="463"/>
      <c r="D102" s="463"/>
      <c r="E102" s="463"/>
      <c r="F102" s="464"/>
      <c r="G102" s="462" t="s">
        <v>128</v>
      </c>
      <c r="H102" s="463"/>
      <c r="I102" s="463"/>
      <c r="J102" s="463"/>
      <c r="K102" s="464"/>
      <c r="L102" s="462" t="s">
        <v>129</v>
      </c>
      <c r="M102" s="463"/>
      <c r="N102" s="463"/>
      <c r="O102" s="463"/>
      <c r="P102" s="464"/>
      <c r="Q102" s="462" t="s">
        <v>130</v>
      </c>
      <c r="R102" s="463"/>
      <c r="S102" s="463"/>
      <c r="T102" s="463"/>
      <c r="U102" s="464"/>
      <c r="V102" s="462" t="s">
        <v>131</v>
      </c>
      <c r="W102" s="463"/>
      <c r="X102" s="463"/>
      <c r="Y102" s="463"/>
      <c r="Z102" s="464"/>
      <c r="AA102" s="462" t="s">
        <v>87</v>
      </c>
      <c r="AB102" s="463"/>
      <c r="AC102" s="463"/>
      <c r="AD102" s="463"/>
      <c r="AE102" s="464"/>
      <c r="AF102" s="462" t="s">
        <v>132</v>
      </c>
      <c r="AG102" s="463"/>
      <c r="AH102" s="463"/>
      <c r="AI102" s="463"/>
      <c r="AJ102" s="464"/>
      <c r="AK102" s="462" t="s">
        <v>134</v>
      </c>
      <c r="AL102" s="463"/>
      <c r="AM102" s="463"/>
      <c r="AN102" s="463"/>
      <c r="AO102" s="464"/>
      <c r="AP102" s="462" t="s">
        <v>135</v>
      </c>
      <c r="AQ102" s="463"/>
      <c r="AR102" s="463"/>
      <c r="AS102" s="463"/>
      <c r="AT102" s="464"/>
      <c r="AU102" s="462" t="s">
        <v>137</v>
      </c>
      <c r="AV102" s="463"/>
      <c r="AW102" s="463"/>
      <c r="AX102" s="463"/>
      <c r="AY102" s="464"/>
      <c r="AZ102" s="462" t="s">
        <v>138</v>
      </c>
      <c r="BA102" s="463"/>
      <c r="BB102" s="463"/>
      <c r="BC102" s="463"/>
      <c r="BD102" s="464"/>
    </row>
    <row r="103" spans="1:83" ht="74.25" customHeight="1">
      <c r="A103" s="37" t="s">
        <v>6</v>
      </c>
      <c r="B103" s="51" t="s">
        <v>56</v>
      </c>
      <c r="C103" s="39" t="s">
        <v>111</v>
      </c>
      <c r="D103" s="39" t="s">
        <v>222</v>
      </c>
      <c r="E103" s="39" t="s">
        <v>287</v>
      </c>
      <c r="F103" s="43" t="s">
        <v>11</v>
      </c>
      <c r="G103" s="51" t="s">
        <v>56</v>
      </c>
      <c r="H103" s="39" t="s">
        <v>111</v>
      </c>
      <c r="I103" s="39" t="s">
        <v>222</v>
      </c>
      <c r="J103" s="39" t="s">
        <v>287</v>
      </c>
      <c r="K103" s="40" t="s">
        <v>11</v>
      </c>
      <c r="L103" s="51" t="s">
        <v>56</v>
      </c>
      <c r="M103" s="39" t="s">
        <v>111</v>
      </c>
      <c r="N103" s="39" t="s">
        <v>222</v>
      </c>
      <c r="O103" s="39" t="s">
        <v>287</v>
      </c>
      <c r="P103" s="43" t="s">
        <v>11</v>
      </c>
      <c r="Q103" s="51" t="s">
        <v>56</v>
      </c>
      <c r="R103" s="39" t="s">
        <v>111</v>
      </c>
      <c r="S103" s="39" t="s">
        <v>222</v>
      </c>
      <c r="T103" s="39" t="s">
        <v>287</v>
      </c>
      <c r="U103" s="43" t="s">
        <v>11</v>
      </c>
      <c r="V103" s="51" t="s">
        <v>56</v>
      </c>
      <c r="W103" s="39" t="s">
        <v>111</v>
      </c>
      <c r="X103" s="39" t="s">
        <v>222</v>
      </c>
      <c r="Y103" s="39" t="s">
        <v>287</v>
      </c>
      <c r="Z103" s="43" t="s">
        <v>11</v>
      </c>
      <c r="AA103" s="51" t="s">
        <v>56</v>
      </c>
      <c r="AB103" s="39" t="s">
        <v>111</v>
      </c>
      <c r="AC103" s="39" t="s">
        <v>222</v>
      </c>
      <c r="AD103" s="39" t="s">
        <v>287</v>
      </c>
      <c r="AE103" s="43" t="s">
        <v>11</v>
      </c>
      <c r="AF103" s="51" t="s">
        <v>56</v>
      </c>
      <c r="AG103" s="39" t="s">
        <v>111</v>
      </c>
      <c r="AH103" s="39" t="s">
        <v>222</v>
      </c>
      <c r="AI103" s="39" t="s">
        <v>287</v>
      </c>
      <c r="AJ103" s="43" t="s">
        <v>11</v>
      </c>
      <c r="AK103" s="51" t="s">
        <v>56</v>
      </c>
      <c r="AL103" s="39" t="s">
        <v>111</v>
      </c>
      <c r="AM103" s="39" t="s">
        <v>222</v>
      </c>
      <c r="AN103" s="39" t="s">
        <v>287</v>
      </c>
      <c r="AO103" s="43" t="s">
        <v>11</v>
      </c>
      <c r="AP103" s="51" t="s">
        <v>56</v>
      </c>
      <c r="AQ103" s="39" t="s">
        <v>111</v>
      </c>
      <c r="AR103" s="39" t="s">
        <v>222</v>
      </c>
      <c r="AS103" s="39" t="s">
        <v>287</v>
      </c>
      <c r="AT103" s="43" t="s">
        <v>11</v>
      </c>
      <c r="AU103" s="51" t="s">
        <v>56</v>
      </c>
      <c r="AV103" s="39" t="s">
        <v>111</v>
      </c>
      <c r="AW103" s="39" t="s">
        <v>222</v>
      </c>
      <c r="AX103" s="39" t="s">
        <v>287</v>
      </c>
      <c r="AY103" s="43" t="s">
        <v>11</v>
      </c>
      <c r="AZ103" s="51" t="s">
        <v>56</v>
      </c>
      <c r="BA103" s="39" t="s">
        <v>111</v>
      </c>
      <c r="BB103" s="39" t="s">
        <v>222</v>
      </c>
      <c r="BC103" s="39" t="s">
        <v>287</v>
      </c>
      <c r="BD103" s="43" t="s">
        <v>11</v>
      </c>
      <c r="BW103" s="292"/>
      <c r="BX103" s="292"/>
      <c r="BY103" s="292"/>
    </row>
    <row r="104" spans="1:83" ht="74.25" customHeight="1">
      <c r="A104" s="199" t="s">
        <v>12</v>
      </c>
      <c r="B104" s="89">
        <v>0</v>
      </c>
      <c r="C104" s="82">
        <f>'外国語実績201201-201712'!N732</f>
        <v>29</v>
      </c>
      <c r="D104" s="104">
        <f>'外国語実績201201-201712'!N744</f>
        <v>41</v>
      </c>
      <c r="E104" s="104">
        <f>'外国語実績201201-201712'!N756</f>
        <v>0</v>
      </c>
      <c r="F104" s="88">
        <f>(E104-D104)/D104</f>
        <v>-1</v>
      </c>
      <c r="G104" s="89">
        <v>0</v>
      </c>
      <c r="H104" s="82">
        <f>'外国語実績201201-201712'!N784</f>
        <v>28</v>
      </c>
      <c r="I104" s="104">
        <f>'外国語実績201201-201712'!N796</f>
        <v>41</v>
      </c>
      <c r="J104" s="104">
        <f>'外国語実績201201-201712'!N808</f>
        <v>0</v>
      </c>
      <c r="K104" s="88">
        <f>(J104-I104)/I104</f>
        <v>-1</v>
      </c>
      <c r="L104" s="89">
        <v>0</v>
      </c>
      <c r="M104" s="82">
        <f>'外国語実績201201-201712'!N836</f>
        <v>38</v>
      </c>
      <c r="N104" s="104">
        <f>'外国語実績201201-201712'!N848</f>
        <v>65</v>
      </c>
      <c r="O104" s="104">
        <f>'外国語実績201201-201712'!N860</f>
        <v>3</v>
      </c>
      <c r="P104" s="88">
        <f>(O104-N104)/N104</f>
        <v>-0.9538461538461539</v>
      </c>
      <c r="Q104" s="89">
        <v>0</v>
      </c>
      <c r="R104" s="82">
        <f>'外国語実績201201-201712'!N888</f>
        <v>6</v>
      </c>
      <c r="S104" s="104">
        <f>'外国語実績201201-201712'!N900</f>
        <v>21</v>
      </c>
      <c r="T104" s="104">
        <f>'外国語実績201201-201712'!N912</f>
        <v>0</v>
      </c>
      <c r="U104" s="88">
        <f>(T104-S104)/S104</f>
        <v>-1</v>
      </c>
      <c r="V104" s="89">
        <v>0</v>
      </c>
      <c r="W104" s="82">
        <f>'外国語実績201201-201712'!N947</f>
        <v>0</v>
      </c>
      <c r="X104" s="104">
        <f>'外国語実績201201-201712'!N959</f>
        <v>0</v>
      </c>
      <c r="Y104" s="104">
        <f>'外国語実績201201-201712'!N971</f>
        <v>0</v>
      </c>
      <c r="Z104" s="88" t="e">
        <f>(Y104-X104)/X104</f>
        <v>#DIV/0!</v>
      </c>
      <c r="AA104" s="89">
        <v>0</v>
      </c>
      <c r="AB104" s="82">
        <f>'外国語実績201201-201712'!N999</f>
        <v>23</v>
      </c>
      <c r="AC104" s="104">
        <f>'外国語実績201201-201712'!N1011</f>
        <v>31</v>
      </c>
      <c r="AD104" s="104">
        <f>'外国語実績201201-201712'!N1023</f>
        <v>0</v>
      </c>
      <c r="AE104" s="88">
        <f>(AD104-AC104)/AC104</f>
        <v>-1</v>
      </c>
      <c r="AF104" s="89">
        <v>0</v>
      </c>
      <c r="AG104" s="82">
        <f>'外国語実績201201-201712'!N1051</f>
        <v>14</v>
      </c>
      <c r="AH104" s="104">
        <f>'外国語実績201201-201712'!N1063</f>
        <v>24</v>
      </c>
      <c r="AI104" s="104">
        <f>'外国語実績201201-201712'!N1075</f>
        <v>0</v>
      </c>
      <c r="AJ104" s="88">
        <f>(AI104-AH104)/AH104</f>
        <v>-1</v>
      </c>
      <c r="AK104" s="89">
        <v>0</v>
      </c>
      <c r="AL104" s="82">
        <f>'外国語実績201201-201712'!N1103</f>
        <v>29</v>
      </c>
      <c r="AM104" s="104">
        <f>'外国語実績201201-201712'!N1115</f>
        <v>32</v>
      </c>
      <c r="AN104" s="104">
        <f>'外国語実績201201-201712'!N1127</f>
        <v>4</v>
      </c>
      <c r="AO104" s="88">
        <f>(AN104-AM104)/AM104</f>
        <v>-0.875</v>
      </c>
      <c r="AP104" s="89">
        <v>0</v>
      </c>
      <c r="AQ104" s="82">
        <f>'外国語実績201201-201712'!N1155</f>
        <v>0</v>
      </c>
      <c r="AR104" s="104">
        <f>'外国語実績201201-201712'!N1167</f>
        <v>4</v>
      </c>
      <c r="AS104" s="104">
        <f>'外国語実績201201-201712'!N1179</f>
        <v>0</v>
      </c>
      <c r="AT104" s="88">
        <f>(AS104-AR104)/AR104</f>
        <v>-1</v>
      </c>
      <c r="AU104" s="89">
        <v>0</v>
      </c>
      <c r="AV104" s="82">
        <f>'外国語実績201201-201712'!N1207</f>
        <v>1</v>
      </c>
      <c r="AW104" s="104">
        <f>'外国語実績201201-201712'!N1219</f>
        <v>11</v>
      </c>
      <c r="AX104" s="104">
        <f>'外国語実績201201-201712'!N1231</f>
        <v>1</v>
      </c>
      <c r="AY104" s="88">
        <f>(AX104-AW104)/AW104</f>
        <v>-0.90909090909090906</v>
      </c>
      <c r="AZ104" s="89">
        <v>0</v>
      </c>
      <c r="BA104" s="82">
        <f>'外国語実績201201-201712'!N1274</f>
        <v>4</v>
      </c>
      <c r="BB104" s="104">
        <f>'外国語実績201201-201712'!N1286</f>
        <v>28</v>
      </c>
      <c r="BC104" s="104">
        <f>'外国語実績201201-201712'!N1298</f>
        <v>0</v>
      </c>
      <c r="BD104" s="88">
        <f>(BC104-BB104)/BB104</f>
        <v>-1</v>
      </c>
    </row>
    <row r="105" spans="1:83" ht="74.25" customHeight="1">
      <c r="A105" s="199" t="s">
        <v>13</v>
      </c>
      <c r="B105" s="89">
        <v>0</v>
      </c>
      <c r="C105" s="82">
        <f>'外国語実績201201-201712'!N733</f>
        <v>7</v>
      </c>
      <c r="D105" s="104">
        <f>'外国語実績201201-201712'!N745</f>
        <v>11</v>
      </c>
      <c r="E105" s="104">
        <f>'外国語実績201201-201712'!N757</f>
        <v>0</v>
      </c>
      <c r="F105" s="88">
        <f t="shared" ref="F105:F116" si="144">(E105-D105)/D105</f>
        <v>-1</v>
      </c>
      <c r="G105" s="89">
        <v>0</v>
      </c>
      <c r="H105" s="82">
        <f>'外国語実績201201-201712'!N785</f>
        <v>86</v>
      </c>
      <c r="I105" s="104">
        <f>'外国語実績201201-201712'!N797</f>
        <v>188</v>
      </c>
      <c r="J105" s="104">
        <f>'外国語実績201201-201712'!N809</f>
        <v>0</v>
      </c>
      <c r="K105" s="88">
        <f t="shared" ref="K105:K116" si="145">(J105-I105)/I105</f>
        <v>-1</v>
      </c>
      <c r="L105" s="89">
        <v>0</v>
      </c>
      <c r="M105" s="82">
        <f>'外国語実績201201-201712'!N837</f>
        <v>32</v>
      </c>
      <c r="N105" s="104">
        <f>'外国語実績201201-201712'!N849</f>
        <v>62</v>
      </c>
      <c r="O105" s="104">
        <f>'外国語実績201201-201712'!N861</f>
        <v>2</v>
      </c>
      <c r="P105" s="88">
        <f t="shared" ref="P105:P116" si="146">(O105-N105)/N105</f>
        <v>-0.967741935483871</v>
      </c>
      <c r="Q105" s="89">
        <v>0</v>
      </c>
      <c r="R105" s="82">
        <f>'外国語実績201201-201712'!N889</f>
        <v>19</v>
      </c>
      <c r="S105" s="104">
        <f>'外国語実績201201-201712'!N901</f>
        <v>10</v>
      </c>
      <c r="T105" s="104">
        <f>'外国語実績201201-201712'!N913</f>
        <v>1</v>
      </c>
      <c r="U105" s="88">
        <f t="shared" ref="U105:U116" si="147">(T105-S105)/S105</f>
        <v>-0.9</v>
      </c>
      <c r="V105" s="89">
        <v>0</v>
      </c>
      <c r="W105" s="82">
        <f>'外国語実績201201-201712'!N948</f>
        <v>0</v>
      </c>
      <c r="X105" s="104">
        <f>'外国語実績201201-201712'!N960</f>
        <v>0</v>
      </c>
      <c r="Y105" s="104">
        <f>'外国語実績201201-201712'!N972</f>
        <v>0</v>
      </c>
      <c r="Z105" s="88" t="e">
        <f t="shared" ref="Z105:Z116" si="148">(Y105-X105)/X105</f>
        <v>#DIV/0!</v>
      </c>
      <c r="AA105" s="89">
        <v>0</v>
      </c>
      <c r="AB105" s="82">
        <f>'外国語実績201201-201712'!N1000</f>
        <v>28</v>
      </c>
      <c r="AC105" s="104">
        <f>'外国語実績201201-201712'!N1012</f>
        <v>51</v>
      </c>
      <c r="AD105" s="104">
        <f>'外国語実績201201-201712'!N1024</f>
        <v>0</v>
      </c>
      <c r="AE105" s="88">
        <f t="shared" ref="AE105:AE116" si="149">(AD105-AC105)/AC105</f>
        <v>-1</v>
      </c>
      <c r="AF105" s="89">
        <v>0</v>
      </c>
      <c r="AG105" s="82">
        <f>'外国語実績201201-201712'!N1052</f>
        <v>19</v>
      </c>
      <c r="AH105" s="104">
        <f>'外国語実績201201-201712'!N1064</f>
        <v>16</v>
      </c>
      <c r="AI105" s="104">
        <f>'外国語実績201201-201712'!N1076</f>
        <v>1</v>
      </c>
      <c r="AJ105" s="88">
        <f t="shared" ref="AJ105:AJ116" si="150">(AI105-AH105)/AH105</f>
        <v>-0.9375</v>
      </c>
      <c r="AK105" s="89">
        <v>0</v>
      </c>
      <c r="AL105" s="82">
        <f>'外国語実績201201-201712'!N1104</f>
        <v>37</v>
      </c>
      <c r="AM105" s="104">
        <f>'外国語実績201201-201712'!N1116</f>
        <v>46</v>
      </c>
      <c r="AN105" s="104">
        <f>'外国語実績201201-201712'!N1128</f>
        <v>0</v>
      </c>
      <c r="AO105" s="88">
        <f t="shared" ref="AO105:AO116" si="151">(AN105-AM105)/AM105</f>
        <v>-1</v>
      </c>
      <c r="AP105" s="89">
        <v>0</v>
      </c>
      <c r="AQ105" s="82">
        <f>'外国語実績201201-201712'!N1156</f>
        <v>9</v>
      </c>
      <c r="AR105" s="104">
        <f>'外国語実績201201-201712'!N1168</f>
        <v>8</v>
      </c>
      <c r="AS105" s="104">
        <f>'外国語実績201201-201712'!N1180</f>
        <v>0</v>
      </c>
      <c r="AT105" s="88">
        <f t="shared" ref="AT105:AT116" si="152">(AS105-AR105)/AR105</f>
        <v>-1</v>
      </c>
      <c r="AU105" s="89">
        <v>0</v>
      </c>
      <c r="AV105" s="82">
        <f>'外国語実績201201-201712'!N1208</f>
        <v>3</v>
      </c>
      <c r="AW105" s="104">
        <f>'外国語実績201201-201712'!N1220</f>
        <v>10</v>
      </c>
      <c r="AX105" s="104">
        <f>'外国語実績201201-201712'!N1232</f>
        <v>0</v>
      </c>
      <c r="AY105" s="88">
        <f t="shared" ref="AY105:AY116" si="153">(AX105-AW105)/AW105</f>
        <v>-1</v>
      </c>
      <c r="AZ105" s="89">
        <v>0</v>
      </c>
      <c r="BA105" s="82">
        <f>'外国語実績201201-201712'!N1275</f>
        <v>4</v>
      </c>
      <c r="BB105" s="104">
        <f>'外国語実績201201-201712'!N1287</f>
        <v>10</v>
      </c>
      <c r="BC105" s="104">
        <f>'外国語実績201201-201712'!N1299</f>
        <v>0</v>
      </c>
      <c r="BD105" s="88">
        <f t="shared" ref="BD105:BD116" si="154">(BC105-BB105)/BB105</f>
        <v>-1</v>
      </c>
    </row>
    <row r="106" spans="1:83" ht="74.25" customHeight="1">
      <c r="A106" s="217" t="s">
        <v>14</v>
      </c>
      <c r="B106" s="89">
        <v>4</v>
      </c>
      <c r="C106" s="82">
        <f>'外国語実績201201-201712'!N734</f>
        <v>11</v>
      </c>
      <c r="D106" s="104">
        <f>'外国語実績201201-201712'!N746</f>
        <v>29</v>
      </c>
      <c r="E106" s="104">
        <f>'外国語実績201201-201712'!N758</f>
        <v>1</v>
      </c>
      <c r="F106" s="88">
        <f t="shared" si="144"/>
        <v>-0.96551724137931039</v>
      </c>
      <c r="G106" s="89">
        <v>12</v>
      </c>
      <c r="H106" s="82">
        <f>'外国語実績201201-201712'!N786</f>
        <v>117</v>
      </c>
      <c r="I106" s="104">
        <f>'外国語実績201201-201712'!N798</f>
        <v>98</v>
      </c>
      <c r="J106" s="104">
        <f>'外国語実績201201-201712'!N810</f>
        <v>0</v>
      </c>
      <c r="K106" s="88">
        <f t="shared" si="145"/>
        <v>-1</v>
      </c>
      <c r="L106" s="89">
        <v>6</v>
      </c>
      <c r="M106" s="82">
        <f>'外国語実績201201-201712'!N838</f>
        <v>42</v>
      </c>
      <c r="N106" s="104">
        <f>'外国語実績201201-201712'!N850</f>
        <v>60</v>
      </c>
      <c r="O106" s="104">
        <f>'外国語実績201201-201712'!N862</f>
        <v>10</v>
      </c>
      <c r="P106" s="88">
        <f t="shared" si="146"/>
        <v>-0.83333333333333337</v>
      </c>
      <c r="Q106" s="89">
        <v>4</v>
      </c>
      <c r="R106" s="82">
        <f>'外国語実績201201-201712'!N890</f>
        <v>46</v>
      </c>
      <c r="S106" s="104">
        <f>'外国語実績201201-201712'!N902</f>
        <v>18</v>
      </c>
      <c r="T106" s="104">
        <f>'外国語実績201201-201712'!N914</f>
        <v>0</v>
      </c>
      <c r="U106" s="88">
        <f t="shared" si="147"/>
        <v>-1</v>
      </c>
      <c r="V106" s="89">
        <v>0</v>
      </c>
      <c r="W106" s="82">
        <f>'外国語実績201201-201712'!N949</f>
        <v>0</v>
      </c>
      <c r="X106" s="104">
        <f>'外国語実績201201-201712'!N961</f>
        <v>0</v>
      </c>
      <c r="Y106" s="104">
        <f>'外国語実績201201-201712'!N973</f>
        <v>0</v>
      </c>
      <c r="Z106" s="88" t="e">
        <f t="shared" si="148"/>
        <v>#DIV/0!</v>
      </c>
      <c r="AA106" s="89">
        <v>0</v>
      </c>
      <c r="AB106" s="82">
        <f>'外国語実績201201-201712'!N1001</f>
        <v>23</v>
      </c>
      <c r="AC106" s="104">
        <f>'外国語実績201201-201712'!N1013</f>
        <v>23</v>
      </c>
      <c r="AD106" s="104">
        <f>'外国語実績201201-201712'!N1025</f>
        <v>0</v>
      </c>
      <c r="AE106" s="88">
        <f t="shared" si="149"/>
        <v>-1</v>
      </c>
      <c r="AF106" s="89">
        <v>0</v>
      </c>
      <c r="AG106" s="82">
        <f>'外国語実績201201-201712'!N1053</f>
        <v>13</v>
      </c>
      <c r="AH106" s="104">
        <f>'外国語実績201201-201712'!N1065</f>
        <v>12</v>
      </c>
      <c r="AI106" s="104">
        <f>'外国語実績201201-201712'!N1077</f>
        <v>1</v>
      </c>
      <c r="AJ106" s="88">
        <f t="shared" si="150"/>
        <v>-0.91666666666666663</v>
      </c>
      <c r="AK106" s="89">
        <v>0</v>
      </c>
      <c r="AL106" s="82">
        <f>'外国語実績201201-201712'!N1105</f>
        <v>18</v>
      </c>
      <c r="AM106" s="104">
        <f>'外国語実績201201-201712'!N1117</f>
        <v>19</v>
      </c>
      <c r="AN106" s="104">
        <f>'外国語実績201201-201712'!N1129</f>
        <v>2</v>
      </c>
      <c r="AO106" s="88">
        <f t="shared" si="151"/>
        <v>-0.89473684210526316</v>
      </c>
      <c r="AP106" s="89">
        <v>0</v>
      </c>
      <c r="AQ106" s="82">
        <f>'外国語実績201201-201712'!N1157</f>
        <v>15</v>
      </c>
      <c r="AR106" s="104">
        <f>'外国語実績201201-201712'!N1169</f>
        <v>5</v>
      </c>
      <c r="AS106" s="104">
        <f>'外国語実績201201-201712'!N1181</f>
        <v>0</v>
      </c>
      <c r="AT106" s="88">
        <f t="shared" si="152"/>
        <v>-1</v>
      </c>
      <c r="AU106" s="89">
        <v>0</v>
      </c>
      <c r="AV106" s="82">
        <f>'外国語実績201201-201712'!N1209</f>
        <v>0</v>
      </c>
      <c r="AW106" s="104">
        <f>'外国語実績201201-201712'!N1221</f>
        <v>9</v>
      </c>
      <c r="AX106" s="104">
        <f>'外国語実績201201-201712'!N1233</f>
        <v>1</v>
      </c>
      <c r="AY106" s="88">
        <f t="shared" si="153"/>
        <v>-0.88888888888888884</v>
      </c>
      <c r="AZ106" s="89">
        <v>0</v>
      </c>
      <c r="BA106" s="82">
        <f>'外国語実績201201-201712'!N1276</f>
        <v>8</v>
      </c>
      <c r="BB106" s="104">
        <f>'外国語実績201201-201712'!N1288</f>
        <v>8</v>
      </c>
      <c r="BC106" s="104">
        <f>'外国語実績201201-201712'!N1300</f>
        <v>0</v>
      </c>
      <c r="BD106" s="88">
        <f t="shared" si="154"/>
        <v>-1</v>
      </c>
    </row>
    <row r="107" spans="1:83" ht="74.25" customHeight="1">
      <c r="A107" s="225" t="s">
        <v>15</v>
      </c>
      <c r="B107" s="89">
        <v>8</v>
      </c>
      <c r="C107" s="82">
        <f>'外国語実績201201-201712'!N735</f>
        <v>17</v>
      </c>
      <c r="D107" s="104">
        <f>'外国語実績201201-201712'!N747</f>
        <v>32</v>
      </c>
      <c r="E107" s="104">
        <f>'外国語実績201201-201712'!N759</f>
        <v>0</v>
      </c>
      <c r="F107" s="88">
        <f t="shared" si="144"/>
        <v>-1</v>
      </c>
      <c r="G107" s="89">
        <v>34</v>
      </c>
      <c r="H107" s="82">
        <f>'外国語実績201201-201712'!N787</f>
        <v>90</v>
      </c>
      <c r="I107" s="104">
        <f>'外国語実績201201-201712'!N799</f>
        <v>168</v>
      </c>
      <c r="J107" s="104">
        <f>'外国語実績201201-201712'!N811</f>
        <v>0</v>
      </c>
      <c r="K107" s="88">
        <f t="shared" si="145"/>
        <v>-1</v>
      </c>
      <c r="L107" s="89">
        <v>16</v>
      </c>
      <c r="M107" s="82">
        <f>'外国語実績201201-201712'!N839</f>
        <v>44</v>
      </c>
      <c r="N107" s="104">
        <f>'外国語実績201201-201712'!N851</f>
        <v>57</v>
      </c>
      <c r="O107" s="104">
        <f>'外国語実績201201-201712'!N863</f>
        <v>0</v>
      </c>
      <c r="P107" s="88">
        <f t="shared" si="146"/>
        <v>-1</v>
      </c>
      <c r="Q107" s="89">
        <v>2</v>
      </c>
      <c r="R107" s="82">
        <f>'外国語実績201201-201712'!N891</f>
        <v>22</v>
      </c>
      <c r="S107" s="104">
        <f>'外国語実績201201-201712'!N903</f>
        <v>14</v>
      </c>
      <c r="T107" s="104">
        <f>'外国語実績201201-201712'!N915</f>
        <v>0</v>
      </c>
      <c r="U107" s="88">
        <f t="shared" si="147"/>
        <v>-1</v>
      </c>
      <c r="V107" s="89">
        <v>23</v>
      </c>
      <c r="W107" s="82">
        <f>'外国語実績201201-201712'!N950</f>
        <v>0</v>
      </c>
      <c r="X107" s="104">
        <f>'外国語実績201201-201712'!N962</f>
        <v>0</v>
      </c>
      <c r="Y107" s="104">
        <f>'外国語実績201201-201712'!N974</f>
        <v>0</v>
      </c>
      <c r="Z107" s="88" t="e">
        <f t="shared" si="148"/>
        <v>#DIV/0!</v>
      </c>
      <c r="AA107" s="89">
        <v>4</v>
      </c>
      <c r="AB107" s="82">
        <f>'外国語実績201201-201712'!N1002</f>
        <v>36</v>
      </c>
      <c r="AC107" s="104">
        <f>'外国語実績201201-201712'!N1014</f>
        <v>30</v>
      </c>
      <c r="AD107" s="104">
        <f>'外国語実績201201-201712'!N1026</f>
        <v>0</v>
      </c>
      <c r="AE107" s="88">
        <f t="shared" si="149"/>
        <v>-1</v>
      </c>
      <c r="AF107" s="89">
        <v>2</v>
      </c>
      <c r="AG107" s="82">
        <f>'外国語実績201201-201712'!N1054</f>
        <v>12</v>
      </c>
      <c r="AH107" s="104">
        <f>'外国語実績201201-201712'!N1066</f>
        <v>6</v>
      </c>
      <c r="AI107" s="104">
        <f>'外国語実績201201-201712'!N1078</f>
        <v>0</v>
      </c>
      <c r="AJ107" s="88">
        <f t="shared" si="150"/>
        <v>-1</v>
      </c>
      <c r="AK107" s="89">
        <v>5</v>
      </c>
      <c r="AL107" s="82">
        <f>'外国語実績201201-201712'!N1106</f>
        <v>18</v>
      </c>
      <c r="AM107" s="104">
        <f>'外国語実績201201-201712'!N1118</f>
        <v>31</v>
      </c>
      <c r="AN107" s="104">
        <f>'外国語実績201201-201712'!N1130</f>
        <v>0</v>
      </c>
      <c r="AO107" s="88">
        <f t="shared" si="151"/>
        <v>-1</v>
      </c>
      <c r="AP107" s="89">
        <v>0</v>
      </c>
      <c r="AQ107" s="82">
        <f>'外国語実績201201-201712'!N1158</f>
        <v>30</v>
      </c>
      <c r="AR107" s="104">
        <f>'外国語実績201201-201712'!N1170</f>
        <v>53</v>
      </c>
      <c r="AS107" s="104">
        <f>'外国語実績201201-201712'!N1182</f>
        <v>0</v>
      </c>
      <c r="AT107" s="88">
        <f t="shared" si="152"/>
        <v>-1</v>
      </c>
      <c r="AU107" s="89">
        <v>7</v>
      </c>
      <c r="AV107" s="82">
        <f>'外国語実績201201-201712'!N1210</f>
        <v>2</v>
      </c>
      <c r="AW107" s="104">
        <f>'外国語実績201201-201712'!N1222</f>
        <v>24</v>
      </c>
      <c r="AX107" s="104">
        <f>'外国語実績201201-201712'!N1234</f>
        <v>0</v>
      </c>
      <c r="AY107" s="88">
        <f t="shared" si="153"/>
        <v>-1</v>
      </c>
      <c r="AZ107" s="89">
        <v>2</v>
      </c>
      <c r="BA107" s="82">
        <f>'外国語実績201201-201712'!N1277</f>
        <v>0</v>
      </c>
      <c r="BB107" s="104">
        <f>'外国語実績201201-201712'!N1289</f>
        <v>6</v>
      </c>
      <c r="BC107" s="104">
        <f>'外国語実績201201-201712'!N1301</f>
        <v>0</v>
      </c>
      <c r="BD107" s="88">
        <f t="shared" si="154"/>
        <v>-1</v>
      </c>
    </row>
    <row r="108" spans="1:83" ht="74.25" customHeight="1">
      <c r="A108" s="199" t="s">
        <v>16</v>
      </c>
      <c r="B108" s="89">
        <v>10</v>
      </c>
      <c r="C108" s="82">
        <f>'外国語実績201201-201712'!N736</f>
        <v>27</v>
      </c>
      <c r="D108" s="104">
        <f>'外国語実績201201-201712'!N748</f>
        <v>44</v>
      </c>
      <c r="E108" s="104">
        <f>'外国語実績201201-201712'!N760</f>
        <v>0</v>
      </c>
      <c r="F108" s="88">
        <f t="shared" si="144"/>
        <v>-1</v>
      </c>
      <c r="G108" s="89">
        <v>40</v>
      </c>
      <c r="H108" s="82">
        <f>'外国語実績201201-201712'!N788</f>
        <v>67</v>
      </c>
      <c r="I108" s="104">
        <f>'外国語実績201201-201712'!N800</f>
        <v>120</v>
      </c>
      <c r="J108" s="104">
        <f>'外国語実績201201-201712'!N812</f>
        <v>0</v>
      </c>
      <c r="K108" s="88">
        <f t="shared" si="145"/>
        <v>-1</v>
      </c>
      <c r="L108" s="89">
        <v>15</v>
      </c>
      <c r="M108" s="82">
        <f>'外国語実績201201-201712'!N840</f>
        <v>59</v>
      </c>
      <c r="N108" s="104">
        <f>'外国語実績201201-201712'!N852</f>
        <v>107</v>
      </c>
      <c r="O108" s="104">
        <f>'外国語実績201201-201712'!N864</f>
        <v>0</v>
      </c>
      <c r="P108" s="88">
        <f t="shared" si="146"/>
        <v>-1</v>
      </c>
      <c r="Q108" s="89">
        <v>0</v>
      </c>
      <c r="R108" s="82">
        <f>'外国語実績201201-201712'!N892</f>
        <v>16</v>
      </c>
      <c r="S108" s="104">
        <f>'外国語実績201201-201712'!N904</f>
        <v>10</v>
      </c>
      <c r="T108" s="104">
        <f>'外国語実績201201-201712'!N916</f>
        <v>0</v>
      </c>
      <c r="U108" s="88">
        <f t="shared" si="147"/>
        <v>-1</v>
      </c>
      <c r="V108" s="89">
        <v>9</v>
      </c>
      <c r="W108" s="82">
        <f>'外国語実績201201-201712'!N951</f>
        <v>0</v>
      </c>
      <c r="X108" s="104">
        <f>'外国語実績201201-201712'!N963</f>
        <v>0</v>
      </c>
      <c r="Y108" s="104">
        <f>'外国語実績201201-201712'!N975</f>
        <v>0</v>
      </c>
      <c r="Z108" s="88" t="e">
        <f t="shared" si="148"/>
        <v>#DIV/0!</v>
      </c>
      <c r="AA108" s="89">
        <v>25</v>
      </c>
      <c r="AB108" s="82">
        <f>'外国語実績201201-201712'!N1003</f>
        <v>27</v>
      </c>
      <c r="AC108" s="104">
        <f>'外国語実績201201-201712'!N1015</f>
        <v>48</v>
      </c>
      <c r="AD108" s="104">
        <f>'外国語実績201201-201712'!N1027</f>
        <v>0</v>
      </c>
      <c r="AE108" s="88">
        <f t="shared" si="149"/>
        <v>-1</v>
      </c>
      <c r="AF108" s="89">
        <v>5</v>
      </c>
      <c r="AG108" s="82">
        <f>'外国語実績201201-201712'!N1055</f>
        <v>22</v>
      </c>
      <c r="AH108" s="104">
        <f>'外国語実績201201-201712'!N1067</f>
        <v>12</v>
      </c>
      <c r="AI108" s="104">
        <f>'外国語実績201201-201712'!N1079</f>
        <v>0</v>
      </c>
      <c r="AJ108" s="88">
        <f t="shared" si="150"/>
        <v>-1</v>
      </c>
      <c r="AK108" s="89">
        <v>3</v>
      </c>
      <c r="AL108" s="82">
        <f>'外国語実績201201-201712'!N1107</f>
        <v>28</v>
      </c>
      <c r="AM108" s="104">
        <f>'外国語実績201201-201712'!N1119</f>
        <v>45</v>
      </c>
      <c r="AN108" s="104">
        <f>'外国語実績201201-201712'!N1131</f>
        <v>0</v>
      </c>
      <c r="AO108" s="88">
        <f t="shared" si="151"/>
        <v>-1</v>
      </c>
      <c r="AP108" s="89">
        <v>2</v>
      </c>
      <c r="AQ108" s="82">
        <f>'外国語実績201201-201712'!N1159</f>
        <v>18</v>
      </c>
      <c r="AR108" s="104">
        <f>'外国語実績201201-201712'!N1171</f>
        <v>34</v>
      </c>
      <c r="AS108" s="104">
        <f>'外国語実績201201-201712'!N1183</f>
        <v>0</v>
      </c>
      <c r="AT108" s="88">
        <f t="shared" si="152"/>
        <v>-1</v>
      </c>
      <c r="AU108" s="89">
        <v>0</v>
      </c>
      <c r="AV108" s="82">
        <f>'外国語実績201201-201712'!N1211</f>
        <v>18</v>
      </c>
      <c r="AW108" s="104">
        <f>'外国語実績201201-201712'!N1223</f>
        <v>23</v>
      </c>
      <c r="AX108" s="104">
        <f>'外国語実績201201-201712'!N1235</f>
        <v>0</v>
      </c>
      <c r="AY108" s="88">
        <f t="shared" si="153"/>
        <v>-1</v>
      </c>
      <c r="AZ108" s="89">
        <v>2</v>
      </c>
      <c r="BA108" s="82">
        <f>'外国語実績201201-201712'!N1278</f>
        <v>21</v>
      </c>
      <c r="BB108" s="104">
        <f>'外国語実績201201-201712'!N1290</f>
        <v>29</v>
      </c>
      <c r="BC108" s="104">
        <f>'外国語実績201201-201712'!N1302</f>
        <v>0</v>
      </c>
      <c r="BD108" s="88">
        <f t="shared" si="154"/>
        <v>-1</v>
      </c>
    </row>
    <row r="109" spans="1:83" ht="74.25" customHeight="1">
      <c r="A109" s="199" t="s">
        <v>17</v>
      </c>
      <c r="B109" s="89">
        <v>5</v>
      </c>
      <c r="C109" s="82">
        <f>'外国語実績201201-201712'!N737</f>
        <v>10</v>
      </c>
      <c r="D109" s="104">
        <f>'外国語実績201201-201712'!N749</f>
        <v>27</v>
      </c>
      <c r="E109" s="104">
        <f>'外国語実績201201-201712'!N761</f>
        <v>0</v>
      </c>
      <c r="F109" s="88">
        <f t="shared" si="144"/>
        <v>-1</v>
      </c>
      <c r="G109" s="89">
        <v>18</v>
      </c>
      <c r="H109" s="82">
        <f>'外国語実績201201-201712'!N789</f>
        <v>117</v>
      </c>
      <c r="I109" s="104">
        <f>'外国語実績201201-201712'!N801</f>
        <v>137</v>
      </c>
      <c r="J109" s="104">
        <f>'外国語実績201201-201712'!N813</f>
        <v>0</v>
      </c>
      <c r="K109" s="88">
        <f t="shared" si="145"/>
        <v>-1</v>
      </c>
      <c r="L109" s="89">
        <v>19</v>
      </c>
      <c r="M109" s="82">
        <f>'外国語実績201201-201712'!N841</f>
        <v>45</v>
      </c>
      <c r="N109" s="104">
        <f>'外国語実績201201-201712'!N853</f>
        <v>56</v>
      </c>
      <c r="O109" s="104">
        <f>'外国語実績201201-201712'!N865</f>
        <v>0</v>
      </c>
      <c r="P109" s="88">
        <f t="shared" si="146"/>
        <v>-1</v>
      </c>
      <c r="Q109" s="89">
        <v>3</v>
      </c>
      <c r="R109" s="82">
        <f>'外国語実績201201-201712'!N893</f>
        <v>11</v>
      </c>
      <c r="S109" s="104">
        <f>'外国語実績201201-201712'!N905</f>
        <v>15</v>
      </c>
      <c r="T109" s="104">
        <f>'外国語実績201201-201712'!N917</f>
        <v>0</v>
      </c>
      <c r="U109" s="88">
        <f t="shared" si="147"/>
        <v>-1</v>
      </c>
      <c r="V109" s="89">
        <v>8</v>
      </c>
      <c r="W109" s="82">
        <f>'外国語実績201201-201712'!N952</f>
        <v>0</v>
      </c>
      <c r="X109" s="104">
        <f>'外国語実績201201-201712'!N964</f>
        <v>0</v>
      </c>
      <c r="Y109" s="104">
        <f>'外国語実績201201-201712'!N976</f>
        <v>0</v>
      </c>
      <c r="Z109" s="88" t="e">
        <f t="shared" si="148"/>
        <v>#DIV/0!</v>
      </c>
      <c r="AA109" s="89">
        <v>23</v>
      </c>
      <c r="AB109" s="82">
        <f>'外国語実績201201-201712'!N1004</f>
        <v>70</v>
      </c>
      <c r="AC109" s="104">
        <f>'外国語実績201201-201712'!N1016</f>
        <v>36</v>
      </c>
      <c r="AD109" s="104">
        <f>'外国語実績201201-201712'!N1028</f>
        <v>0</v>
      </c>
      <c r="AE109" s="88">
        <f t="shared" si="149"/>
        <v>-1</v>
      </c>
      <c r="AF109" s="89">
        <v>3</v>
      </c>
      <c r="AG109" s="82">
        <f>'外国語実績201201-201712'!N1056</f>
        <v>8</v>
      </c>
      <c r="AH109" s="104">
        <f>'外国語実績201201-201712'!N1068</f>
        <v>6</v>
      </c>
      <c r="AI109" s="104">
        <f>'外国語実績201201-201712'!N1080</f>
        <v>0</v>
      </c>
      <c r="AJ109" s="88">
        <f t="shared" si="150"/>
        <v>-1</v>
      </c>
      <c r="AK109" s="89">
        <v>2</v>
      </c>
      <c r="AL109" s="82">
        <f>'外国語実績201201-201712'!N1108</f>
        <v>31</v>
      </c>
      <c r="AM109" s="104">
        <f>'外国語実績201201-201712'!N1120</f>
        <v>28</v>
      </c>
      <c r="AN109" s="104">
        <f>'外国語実績201201-201712'!N1132</f>
        <v>0</v>
      </c>
      <c r="AO109" s="88">
        <f t="shared" si="151"/>
        <v>-1</v>
      </c>
      <c r="AP109" s="89">
        <v>2</v>
      </c>
      <c r="AQ109" s="82">
        <f>'外国語実績201201-201712'!N1160</f>
        <v>23</v>
      </c>
      <c r="AR109" s="104">
        <f>'外国語実績201201-201712'!N1172</f>
        <v>38</v>
      </c>
      <c r="AS109" s="104">
        <f>'外国語実績201201-201712'!N1184</f>
        <v>0</v>
      </c>
      <c r="AT109" s="88">
        <f t="shared" si="152"/>
        <v>-1</v>
      </c>
      <c r="AU109" s="89">
        <v>2</v>
      </c>
      <c r="AV109" s="82">
        <f>'外国語実績201201-201712'!N1212</f>
        <v>11</v>
      </c>
      <c r="AW109" s="104">
        <f>'外国語実績201201-201712'!N1224</f>
        <v>34</v>
      </c>
      <c r="AX109" s="104">
        <f>'外国語実績201201-201712'!N1236</f>
        <v>0</v>
      </c>
      <c r="AY109" s="88">
        <f t="shared" si="153"/>
        <v>-1</v>
      </c>
      <c r="AZ109" s="89">
        <v>14</v>
      </c>
      <c r="BA109" s="82">
        <f>'外国語実績201201-201712'!N1279</f>
        <v>2</v>
      </c>
      <c r="BB109" s="104">
        <f>'外国語実績201201-201712'!N1291</f>
        <v>2</v>
      </c>
      <c r="BC109" s="104">
        <f>'外国語実績201201-201712'!N1303</f>
        <v>0</v>
      </c>
      <c r="BD109" s="88">
        <f t="shared" si="154"/>
        <v>-1</v>
      </c>
    </row>
    <row r="110" spans="1:83" ht="74.25" customHeight="1">
      <c r="A110" s="199" t="s">
        <v>18</v>
      </c>
      <c r="B110" s="89">
        <v>2</v>
      </c>
      <c r="C110" s="82">
        <f>'外国語実績201201-201712'!N738</f>
        <v>51</v>
      </c>
      <c r="D110" s="104">
        <f>'外国語実績201201-201712'!N750</f>
        <v>43</v>
      </c>
      <c r="E110" s="104">
        <f>'外国語実績201201-201712'!N762</f>
        <v>0</v>
      </c>
      <c r="F110" s="88">
        <f t="shared" si="144"/>
        <v>-1</v>
      </c>
      <c r="G110" s="89">
        <v>67</v>
      </c>
      <c r="H110" s="82">
        <f>'外国語実績201201-201712'!N790</f>
        <v>345</v>
      </c>
      <c r="I110" s="104">
        <f>'外国語実績201201-201712'!N802</f>
        <v>326</v>
      </c>
      <c r="J110" s="104">
        <f>'外国語実績201201-201712'!N814</f>
        <v>0</v>
      </c>
      <c r="K110" s="88">
        <f t="shared" si="145"/>
        <v>-1</v>
      </c>
      <c r="L110" s="89">
        <v>47</v>
      </c>
      <c r="M110" s="82">
        <f>'外国語実績201201-201712'!N842</f>
        <v>39</v>
      </c>
      <c r="N110" s="104">
        <f>'外国語実績201201-201712'!N854</f>
        <v>49</v>
      </c>
      <c r="O110" s="104">
        <f>'外国語実績201201-201712'!N866</f>
        <v>0</v>
      </c>
      <c r="P110" s="88">
        <f t="shared" si="146"/>
        <v>-1</v>
      </c>
      <c r="Q110" s="89">
        <v>1</v>
      </c>
      <c r="R110" s="82">
        <f>'外国語実績201201-201712'!N894</f>
        <v>6</v>
      </c>
      <c r="S110" s="104">
        <f>'外国語実績201201-201712'!N906</f>
        <v>10</v>
      </c>
      <c r="T110" s="104">
        <f>'外国語実績201201-201712'!N918</f>
        <v>0</v>
      </c>
      <c r="U110" s="88">
        <f t="shared" si="147"/>
        <v>-1</v>
      </c>
      <c r="V110" s="89">
        <v>4</v>
      </c>
      <c r="W110" s="82">
        <f>'外国語実績201201-201712'!N953</f>
        <v>0</v>
      </c>
      <c r="X110" s="104">
        <f>'外国語実績201201-201712'!N965</f>
        <v>0</v>
      </c>
      <c r="Y110" s="104">
        <f>'外国語実績201201-201712'!N977</f>
        <v>0</v>
      </c>
      <c r="Z110" s="88" t="e">
        <f t="shared" si="148"/>
        <v>#DIV/0!</v>
      </c>
      <c r="AA110" s="89">
        <v>28</v>
      </c>
      <c r="AB110" s="82">
        <f>'外国語実績201201-201712'!N1005</f>
        <v>38</v>
      </c>
      <c r="AC110" s="104">
        <f>'外国語実績201201-201712'!N1017</f>
        <v>33</v>
      </c>
      <c r="AD110" s="104">
        <f>'外国語実績201201-201712'!N1029</f>
        <v>0</v>
      </c>
      <c r="AE110" s="88">
        <f t="shared" si="149"/>
        <v>-1</v>
      </c>
      <c r="AF110" s="89">
        <v>5</v>
      </c>
      <c r="AG110" s="82">
        <f>'外国語実績201201-201712'!N1057</f>
        <v>5</v>
      </c>
      <c r="AH110" s="104">
        <f>'外国語実績201201-201712'!N1069</f>
        <v>16</v>
      </c>
      <c r="AI110" s="104">
        <f>'外国語実績201201-201712'!N1081</f>
        <v>0</v>
      </c>
      <c r="AJ110" s="88">
        <f t="shared" si="150"/>
        <v>-1</v>
      </c>
      <c r="AK110" s="89">
        <v>12</v>
      </c>
      <c r="AL110" s="82">
        <f>'外国語実績201201-201712'!N1109</f>
        <v>46</v>
      </c>
      <c r="AM110" s="104">
        <f>'外国語実績201201-201712'!N1121</f>
        <v>26</v>
      </c>
      <c r="AN110" s="104">
        <f>'外国語実績201201-201712'!N1133</f>
        <v>0</v>
      </c>
      <c r="AO110" s="88">
        <f t="shared" si="151"/>
        <v>-1</v>
      </c>
      <c r="AP110" s="89">
        <v>23</v>
      </c>
      <c r="AQ110" s="82">
        <f>'外国語実績201201-201712'!N1161</f>
        <v>105</v>
      </c>
      <c r="AR110" s="104">
        <f>'外国語実績201201-201712'!N1173</f>
        <v>91</v>
      </c>
      <c r="AS110" s="104">
        <f>'外国語実績201201-201712'!N1185</f>
        <v>0</v>
      </c>
      <c r="AT110" s="88">
        <f t="shared" si="152"/>
        <v>-1</v>
      </c>
      <c r="AU110" s="89">
        <v>5</v>
      </c>
      <c r="AV110" s="82">
        <f>'外国語実績201201-201712'!N1213</f>
        <v>8</v>
      </c>
      <c r="AW110" s="104">
        <f>'外国語実績201201-201712'!N1225</f>
        <v>27</v>
      </c>
      <c r="AX110" s="104">
        <f>'外国語実績201201-201712'!N1237</f>
        <v>0</v>
      </c>
      <c r="AY110" s="88">
        <f t="shared" si="153"/>
        <v>-1</v>
      </c>
      <c r="AZ110" s="89">
        <v>6</v>
      </c>
      <c r="BA110" s="82">
        <f>'外国語実績201201-201712'!N1280</f>
        <v>4</v>
      </c>
      <c r="BB110" s="104">
        <f>'外国語実績201201-201712'!N1292</f>
        <v>22</v>
      </c>
      <c r="BC110" s="104">
        <f>'外国語実績201201-201712'!N1304</f>
        <v>0</v>
      </c>
      <c r="BD110" s="88">
        <f t="shared" si="154"/>
        <v>-1</v>
      </c>
    </row>
    <row r="111" spans="1:83" ht="74.25" customHeight="1">
      <c r="A111" s="199" t="s">
        <v>19</v>
      </c>
      <c r="B111" s="89">
        <v>3</v>
      </c>
      <c r="C111" s="82">
        <f>'外国語実績201201-201712'!N739</f>
        <v>15</v>
      </c>
      <c r="D111" s="104">
        <f>'外国語実績201201-201712'!N751</f>
        <v>27</v>
      </c>
      <c r="E111" s="104">
        <f>'外国語実績201201-201712'!N763</f>
        <v>0</v>
      </c>
      <c r="F111" s="88">
        <f t="shared" si="144"/>
        <v>-1</v>
      </c>
      <c r="G111" s="89">
        <v>4</v>
      </c>
      <c r="H111" s="82">
        <f>'外国語実績201201-201712'!N791</f>
        <v>64</v>
      </c>
      <c r="I111" s="104">
        <f>'外国語実績201201-201712'!N803</f>
        <v>166</v>
      </c>
      <c r="J111" s="104">
        <f>'外国語実績201201-201712'!N815</f>
        <v>0</v>
      </c>
      <c r="K111" s="88">
        <f t="shared" si="145"/>
        <v>-1</v>
      </c>
      <c r="L111" s="89">
        <v>42</v>
      </c>
      <c r="M111" s="82">
        <f>'外国語実績201201-201712'!N843</f>
        <v>87</v>
      </c>
      <c r="N111" s="104">
        <f>'外国語実績201201-201712'!N855</f>
        <v>91</v>
      </c>
      <c r="O111" s="104">
        <f>'外国語実績201201-201712'!N867</f>
        <v>0</v>
      </c>
      <c r="P111" s="88">
        <f t="shared" si="146"/>
        <v>-1</v>
      </c>
      <c r="Q111" s="89">
        <v>8</v>
      </c>
      <c r="R111" s="82">
        <f>'外国語実績201201-201712'!N895</f>
        <v>13</v>
      </c>
      <c r="S111" s="104">
        <f>'外国語実績201201-201712'!N907</f>
        <v>6</v>
      </c>
      <c r="T111" s="104">
        <f>'外国語実績201201-201712'!N919</f>
        <v>0</v>
      </c>
      <c r="U111" s="88">
        <f t="shared" si="147"/>
        <v>-1</v>
      </c>
      <c r="V111" s="89">
        <v>0</v>
      </c>
      <c r="W111" s="82">
        <f>'外国語実績201201-201712'!N954</f>
        <v>0</v>
      </c>
      <c r="X111" s="104">
        <f>'外国語実績201201-201712'!N966</f>
        <v>0</v>
      </c>
      <c r="Y111" s="104">
        <f>'外国語実績201201-201712'!N978</f>
        <v>0</v>
      </c>
      <c r="Z111" s="88" t="e">
        <f t="shared" si="148"/>
        <v>#DIV/0!</v>
      </c>
      <c r="AA111" s="89">
        <v>37</v>
      </c>
      <c r="AB111" s="82">
        <f>'外国語実績201201-201712'!N1006</f>
        <v>70</v>
      </c>
      <c r="AC111" s="104">
        <f>'外国語実績201201-201712'!N1018</f>
        <v>71</v>
      </c>
      <c r="AD111" s="104">
        <f>'外国語実績201201-201712'!N1030</f>
        <v>0</v>
      </c>
      <c r="AE111" s="88">
        <f t="shared" si="149"/>
        <v>-1</v>
      </c>
      <c r="AF111" s="89">
        <v>14</v>
      </c>
      <c r="AG111" s="82">
        <f>'外国語実績201201-201712'!N1058</f>
        <v>15</v>
      </c>
      <c r="AH111" s="104">
        <f>'外国語実績201201-201712'!N1070</f>
        <v>31</v>
      </c>
      <c r="AI111" s="104">
        <f>'外国語実績201201-201712'!N1082</f>
        <v>0</v>
      </c>
      <c r="AJ111" s="88">
        <f t="shared" si="150"/>
        <v>-1</v>
      </c>
      <c r="AK111" s="89">
        <v>4</v>
      </c>
      <c r="AL111" s="82">
        <f>'外国語実績201201-201712'!N1110</f>
        <v>22</v>
      </c>
      <c r="AM111" s="104">
        <f>'外国語実績201201-201712'!N1122</f>
        <v>12</v>
      </c>
      <c r="AN111" s="104">
        <f>'外国語実績201201-201712'!N1134</f>
        <v>0</v>
      </c>
      <c r="AO111" s="88">
        <f t="shared" si="151"/>
        <v>-1</v>
      </c>
      <c r="AP111" s="89">
        <v>0</v>
      </c>
      <c r="AQ111" s="82">
        <f>'外国語実績201201-201712'!N1162</f>
        <v>0</v>
      </c>
      <c r="AR111" s="104">
        <f>'外国語実績201201-201712'!N1174</f>
        <v>0</v>
      </c>
      <c r="AS111" s="104">
        <f>'外国語実績201201-201712'!N1186</f>
        <v>0</v>
      </c>
      <c r="AT111" s="88" t="e">
        <f t="shared" si="152"/>
        <v>#DIV/0!</v>
      </c>
      <c r="AU111" s="89">
        <v>0</v>
      </c>
      <c r="AV111" s="82">
        <f>'外国語実績201201-201712'!N1214</f>
        <v>10</v>
      </c>
      <c r="AW111" s="104">
        <f>'外国語実績201201-201712'!N1226</f>
        <v>31</v>
      </c>
      <c r="AX111" s="104">
        <f>'外国語実績201201-201712'!N1238</f>
        <v>0</v>
      </c>
      <c r="AY111" s="88">
        <f t="shared" si="153"/>
        <v>-1</v>
      </c>
      <c r="AZ111" s="89">
        <v>2</v>
      </c>
      <c r="BA111" s="82">
        <f>'外国語実績201201-201712'!N1281</f>
        <v>1</v>
      </c>
      <c r="BB111" s="104">
        <f>'外国語実績201201-201712'!N1293</f>
        <v>33</v>
      </c>
      <c r="BC111" s="104">
        <f>'外国語実績201201-201712'!N1305</f>
        <v>0</v>
      </c>
      <c r="BD111" s="88">
        <f t="shared" si="154"/>
        <v>-1</v>
      </c>
    </row>
    <row r="112" spans="1:83" ht="74.25" customHeight="1">
      <c r="A112" s="199" t="s">
        <v>20</v>
      </c>
      <c r="B112" s="89">
        <v>7</v>
      </c>
      <c r="C112" s="82">
        <f>'外国語実績201201-201712'!N740</f>
        <v>11</v>
      </c>
      <c r="D112" s="104">
        <f>'外国語実績201201-201712'!N752</f>
        <v>73</v>
      </c>
      <c r="E112" s="104">
        <f>'外国語実績201201-201712'!N764</f>
        <v>0</v>
      </c>
      <c r="F112" s="88">
        <f t="shared" si="144"/>
        <v>-1</v>
      </c>
      <c r="G112" s="89">
        <v>0</v>
      </c>
      <c r="H112" s="82">
        <f>'外国語実績201201-201712'!N792</f>
        <v>0</v>
      </c>
      <c r="I112" s="104">
        <f>'外国語実績201201-201712'!N804</f>
        <v>0</v>
      </c>
      <c r="J112" s="104">
        <f>'外国語実績201201-201712'!N816</f>
        <v>0</v>
      </c>
      <c r="K112" s="88" t="e">
        <f t="shared" si="145"/>
        <v>#DIV/0!</v>
      </c>
      <c r="L112" s="89">
        <v>27</v>
      </c>
      <c r="M112" s="82">
        <f>'外国語実績201201-201712'!N844</f>
        <v>53</v>
      </c>
      <c r="N112" s="104">
        <f>'外国語実績201201-201712'!N856</f>
        <v>74</v>
      </c>
      <c r="O112" s="104">
        <f>'外国語実績201201-201712'!N868</f>
        <v>0</v>
      </c>
      <c r="P112" s="88">
        <f t="shared" si="146"/>
        <v>-1</v>
      </c>
      <c r="Q112" s="89">
        <v>6</v>
      </c>
      <c r="R112" s="82">
        <f>'外国語実績201201-201712'!N896</f>
        <v>10</v>
      </c>
      <c r="S112" s="104">
        <f>'外国語実績201201-201712'!N908</f>
        <v>7</v>
      </c>
      <c r="T112" s="104">
        <f>'外国語実績201201-201712'!N920</f>
        <v>0</v>
      </c>
      <c r="U112" s="88">
        <f t="shared" si="147"/>
        <v>-1</v>
      </c>
      <c r="V112" s="89">
        <v>0</v>
      </c>
      <c r="W112" s="82">
        <f>'外国語実績201201-201712'!N955</f>
        <v>0</v>
      </c>
      <c r="X112" s="104">
        <f>'外国語実績201201-201712'!N967</f>
        <v>0</v>
      </c>
      <c r="Y112" s="104">
        <f>'外国語実績201201-201712'!N979</f>
        <v>0</v>
      </c>
      <c r="Z112" s="88" t="e">
        <f t="shared" si="148"/>
        <v>#DIV/0!</v>
      </c>
      <c r="AA112" s="89">
        <v>53</v>
      </c>
      <c r="AB112" s="82">
        <f>'外国語実績201201-201712'!N1007</f>
        <v>130</v>
      </c>
      <c r="AC112" s="104">
        <f>'外国語実績201201-201712'!N1019</f>
        <v>112</v>
      </c>
      <c r="AD112" s="104">
        <f>'外国語実績201201-201712'!N1031</f>
        <v>0</v>
      </c>
      <c r="AE112" s="88">
        <f t="shared" si="149"/>
        <v>-1</v>
      </c>
      <c r="AF112" s="89">
        <v>9</v>
      </c>
      <c r="AG112" s="82">
        <f>'外国語実績201201-201712'!N1059</f>
        <v>5</v>
      </c>
      <c r="AH112" s="104">
        <f>'外国語実績201201-201712'!N1071</f>
        <v>21</v>
      </c>
      <c r="AI112" s="104">
        <f>'外国語実績201201-201712'!N1083</f>
        <v>0</v>
      </c>
      <c r="AJ112" s="88">
        <f t="shared" si="150"/>
        <v>-1</v>
      </c>
      <c r="AK112" s="89">
        <v>10</v>
      </c>
      <c r="AL112" s="82">
        <f>'外国語実績201201-201712'!N1111</f>
        <v>24</v>
      </c>
      <c r="AM112" s="104">
        <f>'外国語実績201201-201712'!N1123</f>
        <v>8</v>
      </c>
      <c r="AN112" s="104">
        <f>'外国語実績201201-201712'!N1135</f>
        <v>0</v>
      </c>
      <c r="AO112" s="88">
        <f t="shared" si="151"/>
        <v>-1</v>
      </c>
      <c r="AP112" s="89">
        <v>0</v>
      </c>
      <c r="AQ112" s="82">
        <f>'外国語実績201201-201712'!N1163</f>
        <v>0</v>
      </c>
      <c r="AR112" s="104">
        <f>'外国語実績201201-201712'!N1175</f>
        <v>0</v>
      </c>
      <c r="AS112" s="104">
        <f>'外国語実績201201-201712'!N1187</f>
        <v>0</v>
      </c>
      <c r="AT112" s="88" t="e">
        <f t="shared" si="152"/>
        <v>#DIV/0!</v>
      </c>
      <c r="AU112" s="89">
        <v>2</v>
      </c>
      <c r="AV112" s="82">
        <f>'外国語実績201201-201712'!N1215</f>
        <v>10</v>
      </c>
      <c r="AW112" s="104">
        <f>'外国語実績201201-201712'!N1227</f>
        <v>4</v>
      </c>
      <c r="AX112" s="104">
        <f>'外国語実績201201-201712'!N1239</f>
        <v>0</v>
      </c>
      <c r="AY112" s="88">
        <f t="shared" si="153"/>
        <v>-1</v>
      </c>
      <c r="AZ112" s="89">
        <v>0</v>
      </c>
      <c r="BA112" s="82">
        <f>'外国語実績201201-201712'!N1282</f>
        <v>6</v>
      </c>
      <c r="BB112" s="104">
        <f>'外国語実績201201-201712'!N1294</f>
        <v>8</v>
      </c>
      <c r="BC112" s="104">
        <f>'外国語実績201201-201712'!N1306</f>
        <v>0</v>
      </c>
      <c r="BD112" s="88">
        <f t="shared" si="154"/>
        <v>-1</v>
      </c>
    </row>
    <row r="113" spans="1:98" ht="74.25" customHeight="1">
      <c r="A113" s="199" t="s">
        <v>21</v>
      </c>
      <c r="B113" s="89">
        <f>'外国語実績201201-201712'!N729</f>
        <v>14</v>
      </c>
      <c r="C113" s="82">
        <f>'外国語実績201201-201712'!N741</f>
        <v>25</v>
      </c>
      <c r="D113" s="104">
        <f>'外国語実績201201-201712'!N753</f>
        <v>25</v>
      </c>
      <c r="E113" s="104"/>
      <c r="F113" s="88">
        <f t="shared" si="144"/>
        <v>-1</v>
      </c>
      <c r="G113" s="89">
        <v>0</v>
      </c>
      <c r="H113" s="82">
        <f>'外国語実績201201-201712'!N793</f>
        <v>0</v>
      </c>
      <c r="I113" s="104">
        <f>'外国語実績201201-201712'!N805</f>
        <v>0</v>
      </c>
      <c r="J113" s="104"/>
      <c r="K113" s="88" t="e">
        <f t="shared" si="145"/>
        <v>#DIV/0!</v>
      </c>
      <c r="L113" s="89">
        <v>10</v>
      </c>
      <c r="M113" s="82">
        <f>'外国語実績201201-201712'!N845</f>
        <v>29</v>
      </c>
      <c r="N113" s="104">
        <f>'外国語実績201201-201712'!N857</f>
        <v>78</v>
      </c>
      <c r="O113" s="104"/>
      <c r="P113" s="88">
        <f t="shared" si="146"/>
        <v>-1</v>
      </c>
      <c r="Q113" s="89">
        <v>2</v>
      </c>
      <c r="R113" s="82">
        <f>'外国語実績201201-201712'!N897</f>
        <v>4</v>
      </c>
      <c r="S113" s="104">
        <f>'外国語実績201201-201712'!N909</f>
        <v>3</v>
      </c>
      <c r="T113" s="104"/>
      <c r="U113" s="88">
        <f t="shared" si="147"/>
        <v>-1</v>
      </c>
      <c r="V113" s="89">
        <v>0</v>
      </c>
      <c r="W113" s="82">
        <f>'外国語実績201201-201712'!N956</f>
        <v>0</v>
      </c>
      <c r="X113" s="104">
        <f>'外国語実績201201-201712'!N968</f>
        <v>0</v>
      </c>
      <c r="Y113" s="104"/>
      <c r="Z113" s="88" t="e">
        <f t="shared" si="148"/>
        <v>#DIV/0!</v>
      </c>
      <c r="AA113" s="89">
        <v>39</v>
      </c>
      <c r="AB113" s="82">
        <f>'外国語実績201201-201712'!N1008</f>
        <v>131</v>
      </c>
      <c r="AC113" s="104">
        <f>'外国語実績201201-201712'!N1020</f>
        <v>171</v>
      </c>
      <c r="AD113" s="104"/>
      <c r="AE113" s="88">
        <f t="shared" si="149"/>
        <v>-1</v>
      </c>
      <c r="AF113" s="89">
        <v>16</v>
      </c>
      <c r="AG113" s="82">
        <f>'外国語実績201201-201712'!N1060</f>
        <v>13</v>
      </c>
      <c r="AH113" s="104">
        <f>'外国語実績201201-201712'!N1072</f>
        <v>18</v>
      </c>
      <c r="AI113" s="104"/>
      <c r="AJ113" s="88">
        <f t="shared" si="150"/>
        <v>-1</v>
      </c>
      <c r="AK113" s="89">
        <v>12</v>
      </c>
      <c r="AL113" s="82">
        <f>'外国語実績201201-201712'!N1112</f>
        <v>70</v>
      </c>
      <c r="AM113" s="104">
        <f>'外国語実績201201-201712'!N1124</f>
        <v>24</v>
      </c>
      <c r="AN113" s="104"/>
      <c r="AO113" s="88">
        <f t="shared" si="151"/>
        <v>-1</v>
      </c>
      <c r="AP113" s="89">
        <v>0</v>
      </c>
      <c r="AQ113" s="82">
        <f>'外国語実績201201-201712'!N1164</f>
        <v>0</v>
      </c>
      <c r="AR113" s="104">
        <f>'外国語実績201201-201712'!N1176</f>
        <v>0</v>
      </c>
      <c r="AS113" s="104"/>
      <c r="AT113" s="88" t="e">
        <f t="shared" si="152"/>
        <v>#DIV/0!</v>
      </c>
      <c r="AU113" s="89">
        <v>0</v>
      </c>
      <c r="AV113" s="82">
        <f>'外国語実績201201-201712'!N1216</f>
        <v>2</v>
      </c>
      <c r="AW113" s="104">
        <f>'外国語実績201201-201712'!N1228</f>
        <v>6</v>
      </c>
      <c r="AX113" s="104"/>
      <c r="AY113" s="88">
        <f t="shared" si="153"/>
        <v>-1</v>
      </c>
      <c r="AZ113" s="89">
        <v>0</v>
      </c>
      <c r="BA113" s="82">
        <f>'外国語実績201201-201712'!N1283</f>
        <v>11</v>
      </c>
      <c r="BB113" s="104">
        <f>'外国語実績201201-201712'!N1295</f>
        <v>13</v>
      </c>
      <c r="BC113" s="104"/>
      <c r="BD113" s="88">
        <f t="shared" si="154"/>
        <v>-1</v>
      </c>
    </row>
    <row r="114" spans="1:98" ht="74.25" customHeight="1">
      <c r="A114" s="247" t="s">
        <v>22</v>
      </c>
      <c r="B114" s="89">
        <f>'外国語実績201201-201712'!N730</f>
        <v>5</v>
      </c>
      <c r="C114" s="82">
        <f>'外国語実績201201-201712'!N742</f>
        <v>11</v>
      </c>
      <c r="D114" s="104">
        <f>'外国語実績201201-201712'!N754</f>
        <v>8</v>
      </c>
      <c r="E114" s="104"/>
      <c r="F114" s="88">
        <f t="shared" si="144"/>
        <v>-1</v>
      </c>
      <c r="G114" s="89">
        <v>0</v>
      </c>
      <c r="H114" s="82">
        <f>'外国語実績201201-201712'!N794</f>
        <v>0</v>
      </c>
      <c r="I114" s="104">
        <f>'外国語実績201201-201712'!N806</f>
        <v>0</v>
      </c>
      <c r="J114" s="104"/>
      <c r="K114" s="88" t="e">
        <f t="shared" si="145"/>
        <v>#DIV/0!</v>
      </c>
      <c r="L114" s="89">
        <v>15</v>
      </c>
      <c r="M114" s="82">
        <f>'外国語実績201201-201712'!N846</f>
        <v>46</v>
      </c>
      <c r="N114" s="104">
        <f>'外国語実績201201-201712'!N858</f>
        <v>50</v>
      </c>
      <c r="O114" s="104"/>
      <c r="P114" s="88">
        <f t="shared" si="146"/>
        <v>-1</v>
      </c>
      <c r="Q114" s="89">
        <v>0</v>
      </c>
      <c r="R114" s="82">
        <f>'外国語実績201201-201712'!N898</f>
        <v>4</v>
      </c>
      <c r="S114" s="104">
        <f>'外国語実績201201-201712'!N910</f>
        <v>2</v>
      </c>
      <c r="T114" s="104"/>
      <c r="U114" s="88">
        <f t="shared" si="147"/>
        <v>-1</v>
      </c>
      <c r="V114" s="89">
        <v>0</v>
      </c>
      <c r="W114" s="82">
        <f>'外国語実績201201-201712'!N957</f>
        <v>0</v>
      </c>
      <c r="X114" s="104">
        <f>'外国語実績201201-201712'!N969</f>
        <v>0</v>
      </c>
      <c r="Y114" s="104"/>
      <c r="Z114" s="88" t="e">
        <f t="shared" si="148"/>
        <v>#DIV/0!</v>
      </c>
      <c r="AA114" s="89">
        <v>43</v>
      </c>
      <c r="AB114" s="82">
        <f>'外国語実績201201-201712'!N1009</f>
        <v>88</v>
      </c>
      <c r="AC114" s="104">
        <f>'外国語実績201201-201712'!N1021</f>
        <v>147</v>
      </c>
      <c r="AD114" s="104"/>
      <c r="AE114" s="88">
        <f t="shared" si="149"/>
        <v>-1</v>
      </c>
      <c r="AF114" s="89">
        <v>11</v>
      </c>
      <c r="AG114" s="82">
        <f>'外国語実績201201-201712'!N1061</f>
        <v>15</v>
      </c>
      <c r="AH114" s="104">
        <f>'外国語実績201201-201712'!N1073</f>
        <v>42</v>
      </c>
      <c r="AI114" s="104"/>
      <c r="AJ114" s="88">
        <f t="shared" si="150"/>
        <v>-1</v>
      </c>
      <c r="AK114" s="89">
        <v>8</v>
      </c>
      <c r="AL114" s="82">
        <f>'外国語実績201201-201712'!N1113</f>
        <v>43</v>
      </c>
      <c r="AM114" s="104">
        <f>'外国語実績201201-201712'!N1125</f>
        <v>15</v>
      </c>
      <c r="AN114" s="104"/>
      <c r="AO114" s="88">
        <f t="shared" si="151"/>
        <v>-1</v>
      </c>
      <c r="AP114" s="89">
        <v>0</v>
      </c>
      <c r="AQ114" s="82">
        <f>'外国語実績201201-201712'!N1165</f>
        <v>0</v>
      </c>
      <c r="AR114" s="104">
        <f>'外国語実績201201-201712'!N1177</f>
        <v>0</v>
      </c>
      <c r="AS114" s="104"/>
      <c r="AT114" s="88" t="e">
        <f t="shared" si="152"/>
        <v>#DIV/0!</v>
      </c>
      <c r="AU114" s="89">
        <v>0</v>
      </c>
      <c r="AV114" s="82">
        <f>'外国語実績201201-201712'!N1217</f>
        <v>6</v>
      </c>
      <c r="AW114" s="104">
        <f>'外国語実績201201-201712'!N1229</f>
        <v>5</v>
      </c>
      <c r="AX114" s="104"/>
      <c r="AY114" s="88">
        <f t="shared" si="153"/>
        <v>-1</v>
      </c>
      <c r="AZ114" s="89">
        <v>0</v>
      </c>
      <c r="BA114" s="82">
        <f>'外国語実績201201-201712'!N1284</f>
        <v>4</v>
      </c>
      <c r="BB114" s="104">
        <f>'外国語実績201201-201712'!N1296</f>
        <v>9</v>
      </c>
      <c r="BC114" s="104"/>
      <c r="BD114" s="88">
        <f t="shared" si="154"/>
        <v>-1</v>
      </c>
    </row>
    <row r="115" spans="1:98" ht="74.25" customHeight="1" thickBot="1">
      <c r="A115" s="250" t="s">
        <v>23</v>
      </c>
      <c r="B115" s="451">
        <f>'外国語実績201201-201712'!N731</f>
        <v>3</v>
      </c>
      <c r="C115" s="449">
        <f>'外国語実績201201-201712'!N743</f>
        <v>16</v>
      </c>
      <c r="D115" s="437">
        <f>'外国語実績201201-201712'!N755</f>
        <v>0</v>
      </c>
      <c r="E115" s="437"/>
      <c r="F115" s="447" t="e">
        <f t="shared" si="144"/>
        <v>#DIV/0!</v>
      </c>
      <c r="G115" s="451">
        <v>0</v>
      </c>
      <c r="H115" s="449">
        <f>'外国語実績201201-201712'!N795</f>
        <v>0</v>
      </c>
      <c r="I115" s="437">
        <f>'外国語実績201201-201712'!N807</f>
        <v>0</v>
      </c>
      <c r="J115" s="437"/>
      <c r="K115" s="447" t="e">
        <f t="shared" si="145"/>
        <v>#DIV/0!</v>
      </c>
      <c r="L115" s="451">
        <v>35</v>
      </c>
      <c r="M115" s="449">
        <f>'外国語実績201201-201712'!N847</f>
        <v>51</v>
      </c>
      <c r="N115" s="437">
        <f>'外国語実績201201-201712'!N859</f>
        <v>29</v>
      </c>
      <c r="O115" s="437"/>
      <c r="P115" s="447">
        <f t="shared" si="146"/>
        <v>-1</v>
      </c>
      <c r="Q115" s="451">
        <v>8</v>
      </c>
      <c r="R115" s="449">
        <f>'外国語実績201201-201712'!N899</f>
        <v>19</v>
      </c>
      <c r="S115" s="437">
        <f>'外国語実績201201-201712'!N911</f>
        <v>4</v>
      </c>
      <c r="T115" s="437"/>
      <c r="U115" s="447">
        <f t="shared" si="147"/>
        <v>-1</v>
      </c>
      <c r="V115" s="451">
        <v>0</v>
      </c>
      <c r="W115" s="449">
        <f>'外国語実績201201-201712'!N958</f>
        <v>0</v>
      </c>
      <c r="X115" s="437">
        <f>'外国語実績201201-201712'!N970</f>
        <v>0</v>
      </c>
      <c r="Y115" s="437"/>
      <c r="Z115" s="447" t="e">
        <f t="shared" si="148"/>
        <v>#DIV/0!</v>
      </c>
      <c r="AA115" s="451">
        <v>35</v>
      </c>
      <c r="AB115" s="449">
        <f>'外国語実績201201-201712'!N1010</f>
        <v>67</v>
      </c>
      <c r="AC115" s="437">
        <f>'外国語実績201201-201712'!N1022</f>
        <v>25</v>
      </c>
      <c r="AD115" s="437"/>
      <c r="AE115" s="447">
        <f t="shared" si="149"/>
        <v>-1</v>
      </c>
      <c r="AF115" s="451">
        <v>26</v>
      </c>
      <c r="AG115" s="449">
        <f>'外国語実績201201-201712'!N1062</f>
        <v>25</v>
      </c>
      <c r="AH115" s="437">
        <f>'外国語実績201201-201712'!N1074</f>
        <v>6</v>
      </c>
      <c r="AI115" s="437"/>
      <c r="AJ115" s="447">
        <f t="shared" si="150"/>
        <v>-1</v>
      </c>
      <c r="AK115" s="451">
        <v>29</v>
      </c>
      <c r="AL115" s="449">
        <f>'外国語実績201201-201712'!N1114</f>
        <v>32</v>
      </c>
      <c r="AM115" s="437">
        <f>'外国語実績201201-201712'!N1126</f>
        <v>13</v>
      </c>
      <c r="AN115" s="437"/>
      <c r="AO115" s="447">
        <f t="shared" si="151"/>
        <v>-1</v>
      </c>
      <c r="AP115" s="451">
        <v>0</v>
      </c>
      <c r="AQ115" s="449">
        <f>'外国語実績201201-201712'!N1166</f>
        <v>0</v>
      </c>
      <c r="AR115" s="437">
        <f>'外国語実績201201-201712'!N1178</f>
        <v>0</v>
      </c>
      <c r="AS115" s="437"/>
      <c r="AT115" s="447" t="e">
        <f t="shared" si="152"/>
        <v>#DIV/0!</v>
      </c>
      <c r="AU115" s="451">
        <v>0</v>
      </c>
      <c r="AV115" s="449">
        <f>'外国語実績201201-201712'!N1218</f>
        <v>4</v>
      </c>
      <c r="AW115" s="437">
        <f>'外国語実績201201-201712'!N1230</f>
        <v>2</v>
      </c>
      <c r="AX115" s="437"/>
      <c r="AY115" s="447">
        <f t="shared" si="153"/>
        <v>-1</v>
      </c>
      <c r="AZ115" s="451">
        <v>0</v>
      </c>
      <c r="BA115" s="449">
        <f>'外国語実績201201-201712'!N1285</f>
        <v>4</v>
      </c>
      <c r="BB115" s="437">
        <f>'外国語実績201201-201712'!N1297</f>
        <v>1</v>
      </c>
      <c r="BC115" s="437"/>
      <c r="BD115" s="447">
        <f t="shared" si="154"/>
        <v>-1</v>
      </c>
    </row>
    <row r="116" spans="1:98" ht="74.25" customHeight="1" thickBot="1">
      <c r="A116" s="76" t="s">
        <v>5</v>
      </c>
      <c r="B116" s="90">
        <f>SUM(B104:B115)</f>
        <v>61</v>
      </c>
      <c r="C116" s="87">
        <f>SUM(C104:C115)</f>
        <v>230</v>
      </c>
      <c r="D116" s="96">
        <f t="shared" ref="D116:E116" si="155">SUM(D104:D115)</f>
        <v>360</v>
      </c>
      <c r="E116" s="96">
        <f t="shared" si="155"/>
        <v>1</v>
      </c>
      <c r="F116" s="450">
        <f t="shared" si="144"/>
        <v>-0.99722222222222223</v>
      </c>
      <c r="G116" s="90">
        <f>SUM(G104:G115)</f>
        <v>175</v>
      </c>
      <c r="H116" s="87">
        <f>SUM(H104:H115)</f>
        <v>914</v>
      </c>
      <c r="I116" s="96">
        <f t="shared" ref="I116:J116" si="156">SUM(I104:I115)</f>
        <v>1244</v>
      </c>
      <c r="J116" s="96">
        <f t="shared" si="156"/>
        <v>0</v>
      </c>
      <c r="K116" s="450">
        <f t="shared" si="145"/>
        <v>-1</v>
      </c>
      <c r="L116" s="90">
        <f>SUM(L104:L115)</f>
        <v>232</v>
      </c>
      <c r="M116" s="87">
        <f>SUM(M104:M115)</f>
        <v>565</v>
      </c>
      <c r="N116" s="96">
        <f t="shared" ref="N116:O116" si="157">SUM(N104:N115)</f>
        <v>778</v>
      </c>
      <c r="O116" s="96">
        <f t="shared" si="157"/>
        <v>15</v>
      </c>
      <c r="P116" s="450">
        <f t="shared" si="146"/>
        <v>-0.98071979434447298</v>
      </c>
      <c r="Q116" s="90">
        <f>SUM(Q104:Q115)</f>
        <v>34</v>
      </c>
      <c r="R116" s="87">
        <f>SUM(R104:R115)</f>
        <v>176</v>
      </c>
      <c r="S116" s="96">
        <f t="shared" ref="S116:T116" si="158">SUM(S104:S115)</f>
        <v>120</v>
      </c>
      <c r="T116" s="96">
        <f t="shared" si="158"/>
        <v>1</v>
      </c>
      <c r="U116" s="450">
        <f t="shared" si="147"/>
        <v>-0.9916666666666667</v>
      </c>
      <c r="V116" s="90">
        <f t="shared" ref="V116:AZ116" si="159">SUM(V104:V115)</f>
        <v>44</v>
      </c>
      <c r="W116" s="87">
        <f>SUM(W104:W115)</f>
        <v>0</v>
      </c>
      <c r="X116" s="96">
        <f t="shared" ref="X116:Y116" si="160">SUM(X104:X115)</f>
        <v>0</v>
      </c>
      <c r="Y116" s="96">
        <f t="shared" si="160"/>
        <v>0</v>
      </c>
      <c r="Z116" s="450" t="e">
        <f t="shared" si="148"/>
        <v>#DIV/0!</v>
      </c>
      <c r="AA116" s="90">
        <f t="shared" si="159"/>
        <v>287</v>
      </c>
      <c r="AB116" s="87">
        <f>SUM(AB104:AB115)</f>
        <v>731</v>
      </c>
      <c r="AC116" s="96">
        <f t="shared" ref="AC116:AD116" si="161">SUM(AC104:AC115)</f>
        <v>778</v>
      </c>
      <c r="AD116" s="96">
        <f t="shared" si="161"/>
        <v>0</v>
      </c>
      <c r="AE116" s="450">
        <f t="shared" si="149"/>
        <v>-1</v>
      </c>
      <c r="AF116" s="90">
        <f t="shared" si="159"/>
        <v>91</v>
      </c>
      <c r="AG116" s="87">
        <f>SUM(AG104:AG115)</f>
        <v>166</v>
      </c>
      <c r="AH116" s="96">
        <f t="shared" ref="AH116:AI116" si="162">SUM(AH104:AH115)</f>
        <v>210</v>
      </c>
      <c r="AI116" s="96">
        <f t="shared" si="162"/>
        <v>2</v>
      </c>
      <c r="AJ116" s="450">
        <f t="shared" si="150"/>
        <v>-0.99047619047619051</v>
      </c>
      <c r="AK116" s="90">
        <f t="shared" si="159"/>
        <v>85</v>
      </c>
      <c r="AL116" s="87">
        <f>SUM(AL104:AL115)</f>
        <v>398</v>
      </c>
      <c r="AM116" s="96">
        <f t="shared" ref="AM116:AN116" si="163">SUM(AM104:AM115)</f>
        <v>299</v>
      </c>
      <c r="AN116" s="96">
        <f t="shared" si="163"/>
        <v>6</v>
      </c>
      <c r="AO116" s="450">
        <f t="shared" si="151"/>
        <v>-0.97993311036789299</v>
      </c>
      <c r="AP116" s="90">
        <f t="shared" si="159"/>
        <v>27</v>
      </c>
      <c r="AQ116" s="87">
        <f>SUM(AQ104:AQ115)</f>
        <v>200</v>
      </c>
      <c r="AR116" s="96">
        <f t="shared" ref="AR116:AS116" si="164">SUM(AR104:AR115)</f>
        <v>233</v>
      </c>
      <c r="AS116" s="96">
        <f t="shared" si="164"/>
        <v>0</v>
      </c>
      <c r="AT116" s="450">
        <f t="shared" si="152"/>
        <v>-1</v>
      </c>
      <c r="AU116" s="90">
        <f t="shared" si="159"/>
        <v>16</v>
      </c>
      <c r="AV116" s="87">
        <f>SUM(AV104:AV115)</f>
        <v>75</v>
      </c>
      <c r="AW116" s="96">
        <f t="shared" ref="AW116:AX116" si="165">SUM(AW104:AW115)</f>
        <v>186</v>
      </c>
      <c r="AX116" s="96">
        <f t="shared" si="165"/>
        <v>2</v>
      </c>
      <c r="AY116" s="450">
        <f t="shared" si="153"/>
        <v>-0.989247311827957</v>
      </c>
      <c r="AZ116" s="90">
        <f t="shared" si="159"/>
        <v>26</v>
      </c>
      <c r="BA116" s="87">
        <f>SUM(BA104:BA115)</f>
        <v>69</v>
      </c>
      <c r="BB116" s="96">
        <f t="shared" ref="BB116:BC116" si="166">SUM(BB104:BB115)</f>
        <v>169</v>
      </c>
      <c r="BC116" s="96">
        <f t="shared" si="166"/>
        <v>0</v>
      </c>
      <c r="BD116" s="450">
        <f t="shared" si="154"/>
        <v>-1</v>
      </c>
    </row>
    <row r="117" spans="1:98" ht="20.100000000000001" customHeight="1" thickBot="1">
      <c r="A117" s="48"/>
      <c r="B117" s="48"/>
      <c r="C117" s="48"/>
      <c r="D117" s="48"/>
      <c r="E117" s="48"/>
      <c r="F117" s="49"/>
      <c r="G117" s="49"/>
      <c r="H117" s="49"/>
      <c r="I117" s="48"/>
      <c r="J117" s="48"/>
      <c r="K117" s="48"/>
      <c r="L117" s="48"/>
      <c r="M117" s="49"/>
      <c r="N117" s="48"/>
      <c r="O117" s="48"/>
      <c r="P117" s="48"/>
      <c r="Q117" s="48"/>
      <c r="R117" s="48"/>
      <c r="S117" s="48"/>
      <c r="T117" s="49"/>
      <c r="U117" s="48"/>
      <c r="V117" s="48"/>
      <c r="W117" s="48"/>
      <c r="X117" s="48"/>
      <c r="Y117" s="48"/>
      <c r="Z117" s="48"/>
      <c r="AA117" s="49"/>
      <c r="AB117" s="48"/>
      <c r="AC117" s="48"/>
      <c r="AD117" s="48"/>
      <c r="AE117" s="48"/>
      <c r="AF117" s="48"/>
      <c r="AG117" s="49"/>
      <c r="AH117" s="48"/>
      <c r="AI117" s="48"/>
      <c r="AJ117" s="48"/>
      <c r="AK117" s="49"/>
      <c r="AL117" s="49"/>
      <c r="AM117" s="49"/>
      <c r="AN117" s="50"/>
      <c r="AO117" s="34"/>
      <c r="AP117" s="34"/>
      <c r="AQ117" s="48"/>
      <c r="AR117" s="48"/>
      <c r="AS117" s="48"/>
      <c r="AT117" s="48"/>
      <c r="AU117" s="49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25"/>
    </row>
    <row r="118" spans="1:98" ht="75" customHeight="1" thickBot="1">
      <c r="A118" s="36" t="s">
        <v>1</v>
      </c>
      <c r="B118" s="462" t="s">
        <v>115</v>
      </c>
      <c r="C118" s="463"/>
      <c r="D118" s="463"/>
      <c r="E118" s="463"/>
      <c r="F118" s="464"/>
      <c r="G118" s="462" t="s">
        <v>139</v>
      </c>
      <c r="H118" s="463"/>
      <c r="I118" s="463"/>
      <c r="J118" s="463"/>
      <c r="K118" s="464"/>
      <c r="L118" s="462" t="s">
        <v>140</v>
      </c>
      <c r="M118" s="463"/>
      <c r="N118" s="463"/>
      <c r="O118" s="463"/>
      <c r="P118" s="464"/>
      <c r="Q118" s="462" t="s">
        <v>141</v>
      </c>
      <c r="R118" s="463"/>
      <c r="S118" s="463"/>
      <c r="T118" s="463"/>
      <c r="U118" s="464"/>
      <c r="V118" s="462" t="s">
        <v>114</v>
      </c>
      <c r="W118" s="463"/>
      <c r="X118" s="463"/>
      <c r="Y118" s="463"/>
      <c r="Z118" s="464"/>
      <c r="AA118" s="462" t="s">
        <v>142</v>
      </c>
      <c r="AB118" s="463"/>
      <c r="AC118" s="463"/>
      <c r="AD118" s="463"/>
      <c r="AE118" s="464"/>
      <c r="AF118" s="462" t="s">
        <v>113</v>
      </c>
      <c r="AG118" s="463"/>
      <c r="AH118" s="463"/>
      <c r="AI118" s="463"/>
      <c r="AJ118" s="464"/>
      <c r="AK118" s="462" t="s">
        <v>144</v>
      </c>
      <c r="AL118" s="463"/>
      <c r="AM118" s="463"/>
      <c r="AN118" s="463"/>
      <c r="AO118" s="464"/>
      <c r="AP118" s="462" t="s">
        <v>145</v>
      </c>
      <c r="AQ118" s="463"/>
      <c r="AR118" s="463"/>
      <c r="AS118" s="463"/>
      <c r="AT118" s="464"/>
      <c r="AU118" s="462" t="s">
        <v>112</v>
      </c>
      <c r="AV118" s="463"/>
      <c r="AW118" s="463"/>
      <c r="AX118" s="463"/>
      <c r="AY118" s="464"/>
      <c r="AZ118" s="462" t="s">
        <v>109</v>
      </c>
      <c r="BA118" s="463"/>
      <c r="BB118" s="463"/>
      <c r="BC118" s="463"/>
      <c r="BD118" s="464"/>
      <c r="BE118" s="462" t="s">
        <v>146</v>
      </c>
      <c r="BF118" s="463"/>
      <c r="BG118" s="463"/>
      <c r="BH118" s="464"/>
      <c r="BI118" s="462" t="s">
        <v>147</v>
      </c>
      <c r="BJ118" s="463"/>
      <c r="BK118" s="463"/>
      <c r="BL118" s="464"/>
      <c r="CL118" s="34"/>
      <c r="CN118" s="25"/>
      <c r="CO118" s="25"/>
      <c r="CP118" s="25"/>
      <c r="CQ118" s="25"/>
      <c r="CR118" s="25"/>
      <c r="CS118" s="25"/>
      <c r="CT118" s="25"/>
    </row>
    <row r="119" spans="1:98" ht="75" customHeight="1">
      <c r="A119" s="37" t="s">
        <v>6</v>
      </c>
      <c r="B119" s="51" t="s">
        <v>56</v>
      </c>
      <c r="C119" s="39" t="s">
        <v>111</v>
      </c>
      <c r="D119" s="39" t="s">
        <v>222</v>
      </c>
      <c r="E119" s="39" t="s">
        <v>287</v>
      </c>
      <c r="F119" s="43" t="s">
        <v>11</v>
      </c>
      <c r="G119" s="51" t="s">
        <v>56</v>
      </c>
      <c r="H119" s="39" t="s">
        <v>111</v>
      </c>
      <c r="I119" s="39" t="s">
        <v>222</v>
      </c>
      <c r="J119" s="39" t="s">
        <v>287</v>
      </c>
      <c r="K119" s="43" t="s">
        <v>11</v>
      </c>
      <c r="L119" s="51" t="s">
        <v>56</v>
      </c>
      <c r="M119" s="39" t="s">
        <v>111</v>
      </c>
      <c r="N119" s="39" t="s">
        <v>222</v>
      </c>
      <c r="O119" s="39" t="s">
        <v>287</v>
      </c>
      <c r="P119" s="43" t="s">
        <v>11</v>
      </c>
      <c r="Q119" s="51" t="s">
        <v>56</v>
      </c>
      <c r="R119" s="39" t="s">
        <v>111</v>
      </c>
      <c r="S119" s="39" t="s">
        <v>222</v>
      </c>
      <c r="T119" s="39" t="s">
        <v>287</v>
      </c>
      <c r="U119" s="43" t="s">
        <v>11</v>
      </c>
      <c r="V119" s="51" t="s">
        <v>56</v>
      </c>
      <c r="W119" s="39" t="s">
        <v>111</v>
      </c>
      <c r="X119" s="39" t="s">
        <v>222</v>
      </c>
      <c r="Y119" s="39" t="s">
        <v>287</v>
      </c>
      <c r="Z119" s="43" t="s">
        <v>11</v>
      </c>
      <c r="AA119" s="51" t="s">
        <v>56</v>
      </c>
      <c r="AB119" s="39" t="s">
        <v>111</v>
      </c>
      <c r="AC119" s="39" t="s">
        <v>222</v>
      </c>
      <c r="AD119" s="39" t="s">
        <v>287</v>
      </c>
      <c r="AE119" s="43" t="s">
        <v>11</v>
      </c>
      <c r="AF119" s="51" t="s">
        <v>56</v>
      </c>
      <c r="AG119" s="39" t="s">
        <v>111</v>
      </c>
      <c r="AH119" s="39" t="s">
        <v>222</v>
      </c>
      <c r="AI119" s="39" t="s">
        <v>287</v>
      </c>
      <c r="AJ119" s="43" t="s">
        <v>11</v>
      </c>
      <c r="AK119" s="51" t="s">
        <v>56</v>
      </c>
      <c r="AL119" s="39" t="s">
        <v>111</v>
      </c>
      <c r="AM119" s="39" t="s">
        <v>222</v>
      </c>
      <c r="AN119" s="39" t="s">
        <v>287</v>
      </c>
      <c r="AO119" s="43" t="s">
        <v>11</v>
      </c>
      <c r="AP119" s="51" t="s">
        <v>56</v>
      </c>
      <c r="AQ119" s="39" t="s">
        <v>111</v>
      </c>
      <c r="AR119" s="39" t="s">
        <v>222</v>
      </c>
      <c r="AS119" s="39" t="s">
        <v>287</v>
      </c>
      <c r="AT119" s="43" t="s">
        <v>11</v>
      </c>
      <c r="AU119" s="51" t="s">
        <v>56</v>
      </c>
      <c r="AV119" s="39" t="s">
        <v>111</v>
      </c>
      <c r="AW119" s="39" t="s">
        <v>222</v>
      </c>
      <c r="AX119" s="39" t="s">
        <v>287</v>
      </c>
      <c r="AY119" s="43" t="s">
        <v>11</v>
      </c>
      <c r="AZ119" s="51" t="s">
        <v>56</v>
      </c>
      <c r="BA119" s="39" t="s">
        <v>111</v>
      </c>
      <c r="BB119" s="39" t="s">
        <v>222</v>
      </c>
      <c r="BC119" s="39" t="s">
        <v>287</v>
      </c>
      <c r="BD119" s="43" t="s">
        <v>11</v>
      </c>
      <c r="BE119" s="51" t="s">
        <v>110</v>
      </c>
      <c r="BF119" s="39" t="s">
        <v>223</v>
      </c>
      <c r="BG119" s="39" t="s">
        <v>287</v>
      </c>
      <c r="BH119" s="43" t="s">
        <v>11</v>
      </c>
      <c r="BI119" s="51" t="s">
        <v>110</v>
      </c>
      <c r="BJ119" s="39" t="s">
        <v>223</v>
      </c>
      <c r="BK119" s="39" t="s">
        <v>287</v>
      </c>
      <c r="BL119" s="43" t="s">
        <v>11</v>
      </c>
      <c r="CL119" s="34"/>
    </row>
    <row r="120" spans="1:98" ht="75" customHeight="1">
      <c r="A120" s="199" t="s">
        <v>12</v>
      </c>
      <c r="B120" s="89">
        <v>0</v>
      </c>
      <c r="C120" s="82">
        <f>'外国語実績201201-201712'!N1326</f>
        <v>18</v>
      </c>
      <c r="D120" s="104">
        <f>'外国語実績201201-201712'!N1338</f>
        <v>28</v>
      </c>
      <c r="E120" s="104">
        <f>'外国語実績201201-201712'!N1350</f>
        <v>2</v>
      </c>
      <c r="F120" s="88">
        <f>(E120-D120)/D120</f>
        <v>-0.9285714285714286</v>
      </c>
      <c r="G120" s="89">
        <v>0</v>
      </c>
      <c r="H120" s="82">
        <f>'外国語実績201201-201712'!N1378</f>
        <v>2</v>
      </c>
      <c r="I120" s="104">
        <f>'外国語実績201201-201712'!N1390</f>
        <v>3</v>
      </c>
      <c r="J120" s="104">
        <f>'外国語実績201201-201712'!N1402</f>
        <v>0</v>
      </c>
      <c r="K120" s="88">
        <f>(J120-I120)/I120</f>
        <v>-1</v>
      </c>
      <c r="L120" s="89">
        <v>0</v>
      </c>
      <c r="M120" s="82">
        <f>'外国語実績201201-201712'!N1430</f>
        <v>0</v>
      </c>
      <c r="N120" s="104">
        <f>'外国語実績201201-201712'!N1442</f>
        <v>0</v>
      </c>
      <c r="O120" s="104">
        <f>'外国語実績201201-201712'!N1454</f>
        <v>0</v>
      </c>
      <c r="P120" s="88" t="e">
        <f>(O120-N120)/N120</f>
        <v>#DIV/0!</v>
      </c>
      <c r="Q120" s="89">
        <v>0</v>
      </c>
      <c r="R120" s="82">
        <f>'外国語実績201201-201712'!N1482</f>
        <v>0</v>
      </c>
      <c r="S120" s="104">
        <f>'外国語実績201201-201712'!N1494</f>
        <v>0</v>
      </c>
      <c r="T120" s="104">
        <f>'外国語実績201201-201712'!N1506</f>
        <v>0</v>
      </c>
      <c r="U120" s="88" t="e">
        <f>(T120-S120)/S120</f>
        <v>#DIV/0!</v>
      </c>
      <c r="V120" s="89">
        <v>0</v>
      </c>
      <c r="W120" s="82">
        <f>'外国語実績201201-201712'!N1534</f>
        <v>17</v>
      </c>
      <c r="X120" s="104">
        <f>'外国語実績201201-201712'!N1546</f>
        <v>13</v>
      </c>
      <c r="Y120" s="104">
        <f>'外国語実績201201-201712'!N1558</f>
        <v>2</v>
      </c>
      <c r="Z120" s="88">
        <f>(Y120-X120)/X120</f>
        <v>-0.84615384615384615</v>
      </c>
      <c r="AA120" s="89">
        <v>0</v>
      </c>
      <c r="AB120" s="82">
        <f>'外国語実績201201-201712'!N1601</f>
        <v>0</v>
      </c>
      <c r="AC120" s="104">
        <f>'外国語実績201201-201712'!N1613</f>
        <v>1</v>
      </c>
      <c r="AD120" s="104">
        <f>'外国語実績201201-201712'!N1625</f>
        <v>0</v>
      </c>
      <c r="AE120" s="88">
        <f>(AD120-AC120)/AC120</f>
        <v>-1</v>
      </c>
      <c r="AF120" s="89">
        <v>0</v>
      </c>
      <c r="AG120" s="82">
        <f>'外国語実績201201-201712'!N1653</f>
        <v>0</v>
      </c>
      <c r="AH120" s="104">
        <f>'外国語実績201201-201712'!N1665</f>
        <v>7</v>
      </c>
      <c r="AI120" s="104">
        <f>'外国語実績201201-201712'!N1677</f>
        <v>0</v>
      </c>
      <c r="AJ120" s="88">
        <f>(AI120-AH120)/AH120</f>
        <v>-1</v>
      </c>
      <c r="AK120" s="89">
        <v>0</v>
      </c>
      <c r="AL120" s="82">
        <f>'外国語実績201201-201712'!N1705</f>
        <v>0</v>
      </c>
      <c r="AM120" s="104">
        <f>'外国語実績201201-201712'!N1717</f>
        <v>0</v>
      </c>
      <c r="AN120" s="104">
        <f>'外国語実績201201-201712'!N1729</f>
        <v>0</v>
      </c>
      <c r="AO120" s="88" t="e">
        <f>(AN120-AM120)/AM120</f>
        <v>#DIV/0!</v>
      </c>
      <c r="AP120" s="89">
        <v>0</v>
      </c>
      <c r="AQ120" s="82">
        <f>'外国語実績201201-201712'!N1757</f>
        <v>0</v>
      </c>
      <c r="AR120" s="104">
        <f>'外国語実績201201-201712'!N1769</f>
        <v>0</v>
      </c>
      <c r="AS120" s="104">
        <f>'外国語実績201201-201712'!N1781</f>
        <v>0</v>
      </c>
      <c r="AT120" s="88" t="e">
        <f>(AS120-AR120)/AR120</f>
        <v>#DIV/0!</v>
      </c>
      <c r="AU120" s="89">
        <v>0</v>
      </c>
      <c r="AV120" s="82">
        <f>'外国語実績201201-201712'!N1797</f>
        <v>9</v>
      </c>
      <c r="AW120" s="104">
        <f>'外国語実績201201-201712'!N1809</f>
        <v>9</v>
      </c>
      <c r="AX120" s="104">
        <f>'外国語実績201201-201712'!N1821</f>
        <v>0</v>
      </c>
      <c r="AY120" s="88">
        <f>(AX120-AW120)/AW120</f>
        <v>-1</v>
      </c>
      <c r="AZ120" s="89">
        <v>0</v>
      </c>
      <c r="BA120" s="82">
        <f>'外国語実績201201-201712'!N1837</f>
        <v>29</v>
      </c>
      <c r="BB120" s="104">
        <f>'外国語実績201201-201712'!N1849</f>
        <v>355</v>
      </c>
      <c r="BC120" s="104">
        <f>'外国語実績201201-201712'!N1861</f>
        <v>0</v>
      </c>
      <c r="BD120" s="88">
        <f>(BC120-BB120)/BB120</f>
        <v>-1</v>
      </c>
      <c r="BE120" s="82">
        <f>'外国語実績201201-201712'!N1877</f>
        <v>0</v>
      </c>
      <c r="BF120" s="104">
        <f>'外国語実績201201-201712'!N1889</f>
        <v>40</v>
      </c>
      <c r="BG120" s="104">
        <f>'外国語実績201201-201712'!N1901</f>
        <v>2</v>
      </c>
      <c r="BH120" s="88">
        <f>(BG120-BF120)/BF120</f>
        <v>-0.95</v>
      </c>
      <c r="BI120" s="82">
        <f>'外国語実績201201-201712'!N1917</f>
        <v>2</v>
      </c>
      <c r="BJ120" s="104">
        <f>'外国語実績201201-201712'!N1929</f>
        <v>2</v>
      </c>
      <c r="BK120" s="104">
        <f>'外国語実績201201-201712'!N1941</f>
        <v>0</v>
      </c>
      <c r="BL120" s="88">
        <f>(BK120-BJ120)/BJ120</f>
        <v>-1</v>
      </c>
      <c r="CL120" s="34"/>
    </row>
    <row r="121" spans="1:98" ht="75" customHeight="1">
      <c r="A121" s="199" t="s">
        <v>13</v>
      </c>
      <c r="B121" s="89">
        <v>0</v>
      </c>
      <c r="C121" s="82">
        <f>'外国語実績201201-201712'!N1327</f>
        <v>22</v>
      </c>
      <c r="D121" s="104">
        <f>'外国語実績201201-201712'!N1339</f>
        <v>16</v>
      </c>
      <c r="E121" s="104">
        <f>'外国語実績201201-201712'!N1351</f>
        <v>0</v>
      </c>
      <c r="F121" s="88">
        <f t="shared" ref="F121:F132" si="167">(E121-D121)/D121</f>
        <v>-1</v>
      </c>
      <c r="G121" s="89">
        <v>0</v>
      </c>
      <c r="H121" s="82">
        <f>'外国語実績201201-201712'!N1379</f>
        <v>6</v>
      </c>
      <c r="I121" s="104">
        <f>'外国語実績201201-201712'!N1391</f>
        <v>0</v>
      </c>
      <c r="J121" s="104">
        <f>'外国語実績201201-201712'!N1403</f>
        <v>0</v>
      </c>
      <c r="K121" s="88" t="e">
        <f t="shared" ref="K121:K132" si="168">(J121-I121)/I121</f>
        <v>#DIV/0!</v>
      </c>
      <c r="L121" s="89">
        <v>0</v>
      </c>
      <c r="M121" s="82">
        <f>'外国語実績201201-201712'!N1431</f>
        <v>0</v>
      </c>
      <c r="N121" s="104">
        <f>'外国語実績201201-201712'!N1443</f>
        <v>0</v>
      </c>
      <c r="O121" s="104">
        <f>'外国語実績201201-201712'!N1455</f>
        <v>0</v>
      </c>
      <c r="P121" s="88" t="e">
        <f t="shared" ref="P121:P132" si="169">(O121-N121)/N121</f>
        <v>#DIV/0!</v>
      </c>
      <c r="Q121" s="89">
        <v>0</v>
      </c>
      <c r="R121" s="82">
        <f>'外国語実績201201-201712'!N1483</f>
        <v>0</v>
      </c>
      <c r="S121" s="104">
        <f>'外国語実績201201-201712'!N1495</f>
        <v>0</v>
      </c>
      <c r="T121" s="104">
        <f>'外国語実績201201-201712'!N1507</f>
        <v>0</v>
      </c>
      <c r="U121" s="88" t="e">
        <f t="shared" ref="U121:U132" si="170">(T121-S121)/S121</f>
        <v>#DIV/0!</v>
      </c>
      <c r="V121" s="89">
        <v>0</v>
      </c>
      <c r="W121" s="82">
        <f>'外国語実績201201-201712'!N1535</f>
        <v>5</v>
      </c>
      <c r="X121" s="104">
        <f>'外国語実績201201-201712'!N1547</f>
        <v>12</v>
      </c>
      <c r="Y121" s="104">
        <f>'外国語実績201201-201712'!N1559</f>
        <v>0</v>
      </c>
      <c r="Z121" s="88">
        <f t="shared" ref="Z121:Z132" si="171">(Y121-X121)/X121</f>
        <v>-1</v>
      </c>
      <c r="AA121" s="89">
        <v>0</v>
      </c>
      <c r="AB121" s="82">
        <f>'外国語実績201201-201712'!N1602</f>
        <v>26</v>
      </c>
      <c r="AC121" s="104">
        <f>'外国語実績201201-201712'!N1614</f>
        <v>38</v>
      </c>
      <c r="AD121" s="104">
        <f>'外国語実績201201-201712'!N1626</f>
        <v>0</v>
      </c>
      <c r="AE121" s="88">
        <f t="shared" ref="AE121:AE132" si="172">(AD121-AC121)/AC121</f>
        <v>-1</v>
      </c>
      <c r="AF121" s="89">
        <v>0</v>
      </c>
      <c r="AG121" s="82">
        <f>'外国語実績201201-201712'!N1654</f>
        <v>1</v>
      </c>
      <c r="AH121" s="104">
        <f>'外国語実績201201-201712'!N1666</f>
        <v>2</v>
      </c>
      <c r="AI121" s="104">
        <f>'外国語実績201201-201712'!N1678</f>
        <v>0</v>
      </c>
      <c r="AJ121" s="88">
        <f t="shared" ref="AJ121:AJ132" si="173">(AI121-AH121)/AH121</f>
        <v>-1</v>
      </c>
      <c r="AK121" s="89">
        <v>0</v>
      </c>
      <c r="AL121" s="82">
        <f>'外国語実績201201-201712'!N1706</f>
        <v>0</v>
      </c>
      <c r="AM121" s="104">
        <f>'外国語実績201201-201712'!N1718</f>
        <v>0</v>
      </c>
      <c r="AN121" s="104">
        <f>'外国語実績201201-201712'!N1730</f>
        <v>0</v>
      </c>
      <c r="AO121" s="88" t="e">
        <f t="shared" ref="AO121:AO132" si="174">(AN121-AM121)/AM121</f>
        <v>#DIV/0!</v>
      </c>
      <c r="AP121" s="89">
        <v>0</v>
      </c>
      <c r="AQ121" s="82">
        <f>'外国語実績201201-201712'!N1758</f>
        <v>0</v>
      </c>
      <c r="AR121" s="104">
        <f>'外国語実績201201-201712'!N1770</f>
        <v>0</v>
      </c>
      <c r="AS121" s="104">
        <f>'外国語実績201201-201712'!N1782</f>
        <v>0</v>
      </c>
      <c r="AT121" s="88" t="e">
        <f t="shared" ref="AT121:AT132" si="175">(AS121-AR121)/AR121</f>
        <v>#DIV/0!</v>
      </c>
      <c r="AU121" s="89">
        <v>0</v>
      </c>
      <c r="AV121" s="82">
        <f>'外国語実績201201-201712'!N1798</f>
        <v>2</v>
      </c>
      <c r="AW121" s="104">
        <f>'外国語実績201201-201712'!N1810</f>
        <v>15</v>
      </c>
      <c r="AX121" s="104">
        <f>'外国語実績201201-201712'!N1822</f>
        <v>0</v>
      </c>
      <c r="AY121" s="88">
        <f t="shared" ref="AY121:AY132" si="176">(AX121-AW121)/AW121</f>
        <v>-1</v>
      </c>
      <c r="AZ121" s="89">
        <v>0</v>
      </c>
      <c r="BA121" s="82">
        <f>'外国語実績201201-201712'!N1838</f>
        <v>85</v>
      </c>
      <c r="BB121" s="104">
        <f>'外国語実績201201-201712'!N1850</f>
        <v>159</v>
      </c>
      <c r="BC121" s="104">
        <f>'外国語実績201201-201712'!N1862</f>
        <v>0</v>
      </c>
      <c r="BD121" s="88">
        <f t="shared" ref="BD121:BD132" si="177">(BC121-BB121)/BB121</f>
        <v>-1</v>
      </c>
      <c r="BE121" s="82">
        <f>'外国語実績201201-201712'!N1878</f>
        <v>17</v>
      </c>
      <c r="BF121" s="104">
        <f>'外国語実績201201-201712'!N1890</f>
        <v>40</v>
      </c>
      <c r="BG121" s="104">
        <f>'外国語実績201201-201712'!N1902</f>
        <v>0</v>
      </c>
      <c r="BH121" s="88">
        <f t="shared" ref="BH121:BH132" si="178">(BG121-BF121)/BF121</f>
        <v>-1</v>
      </c>
      <c r="BI121" s="82">
        <f>'外国語実績201201-201712'!N1918</f>
        <v>1</v>
      </c>
      <c r="BJ121" s="104">
        <f>'外国語実績201201-201712'!N1930</f>
        <v>1</v>
      </c>
      <c r="BK121" s="104">
        <f>'外国語実績201201-201712'!N1942</f>
        <v>0</v>
      </c>
      <c r="BL121" s="88">
        <f t="shared" ref="BL121:BL132" si="179">(BK121-BJ121)/BJ121</f>
        <v>-1</v>
      </c>
      <c r="CL121" s="34"/>
    </row>
    <row r="122" spans="1:98" ht="75" customHeight="1">
      <c r="A122" s="217" t="s">
        <v>14</v>
      </c>
      <c r="B122" s="89">
        <v>0</v>
      </c>
      <c r="C122" s="82">
        <f>'外国語実績201201-201712'!N1328</f>
        <v>13</v>
      </c>
      <c r="D122" s="104">
        <f>'外国語実績201201-201712'!N1340</f>
        <v>40</v>
      </c>
      <c r="E122" s="104">
        <f>'外国語実績201201-201712'!N1352</f>
        <v>7</v>
      </c>
      <c r="F122" s="88">
        <f t="shared" si="167"/>
        <v>-0.82499999999999996</v>
      </c>
      <c r="G122" s="89">
        <v>0</v>
      </c>
      <c r="H122" s="82">
        <f>'外国語実績201201-201712'!N1380</f>
        <v>2</v>
      </c>
      <c r="I122" s="104">
        <f>'外国語実績201201-201712'!N1392</f>
        <v>0</v>
      </c>
      <c r="J122" s="104">
        <f>'外国語実績201201-201712'!N1404</f>
        <v>0</v>
      </c>
      <c r="K122" s="88" t="e">
        <f t="shared" si="168"/>
        <v>#DIV/0!</v>
      </c>
      <c r="L122" s="89">
        <v>0</v>
      </c>
      <c r="M122" s="82">
        <f>'外国語実績201201-201712'!N1432</f>
        <v>0</v>
      </c>
      <c r="N122" s="104">
        <f>'外国語実績201201-201712'!N1444</f>
        <v>0</v>
      </c>
      <c r="O122" s="104">
        <f>'外国語実績201201-201712'!N1456</f>
        <v>0</v>
      </c>
      <c r="P122" s="88" t="e">
        <f t="shared" si="169"/>
        <v>#DIV/0!</v>
      </c>
      <c r="Q122" s="89">
        <v>0</v>
      </c>
      <c r="R122" s="82">
        <f>'外国語実績201201-201712'!N1484</f>
        <v>0</v>
      </c>
      <c r="S122" s="104">
        <f>'外国語実績201201-201712'!N1496</f>
        <v>0</v>
      </c>
      <c r="T122" s="104">
        <f>'外国語実績201201-201712'!N1508</f>
        <v>0</v>
      </c>
      <c r="U122" s="88" t="e">
        <f t="shared" si="170"/>
        <v>#DIV/0!</v>
      </c>
      <c r="V122" s="89">
        <v>0</v>
      </c>
      <c r="W122" s="82">
        <f>'外国語実績201201-201712'!N1536</f>
        <v>3</v>
      </c>
      <c r="X122" s="104">
        <f>'外国語実績201201-201712'!N1548</f>
        <v>14</v>
      </c>
      <c r="Y122" s="104">
        <f>'外国語実績201201-201712'!N1560</f>
        <v>0</v>
      </c>
      <c r="Z122" s="88">
        <f t="shared" si="171"/>
        <v>-1</v>
      </c>
      <c r="AA122" s="89">
        <v>0</v>
      </c>
      <c r="AB122" s="82">
        <f>'外国語実績201201-201712'!N1603</f>
        <v>4</v>
      </c>
      <c r="AC122" s="104">
        <f>'外国語実績201201-201712'!N1615</f>
        <v>16</v>
      </c>
      <c r="AD122" s="104">
        <f>'外国語実績201201-201712'!N1627</f>
        <v>0</v>
      </c>
      <c r="AE122" s="88">
        <f t="shared" si="172"/>
        <v>-1</v>
      </c>
      <c r="AF122" s="89">
        <v>0</v>
      </c>
      <c r="AG122" s="82">
        <f>'外国語実績201201-201712'!N1655</f>
        <v>0</v>
      </c>
      <c r="AH122" s="104">
        <f>'外国語実績201201-201712'!N1667</f>
        <v>1</v>
      </c>
      <c r="AI122" s="104">
        <f>'外国語実績201201-201712'!N1679</f>
        <v>0</v>
      </c>
      <c r="AJ122" s="88">
        <f t="shared" si="173"/>
        <v>-1</v>
      </c>
      <c r="AK122" s="89">
        <v>0</v>
      </c>
      <c r="AL122" s="82">
        <f>'外国語実績201201-201712'!N1707</f>
        <v>0</v>
      </c>
      <c r="AM122" s="104">
        <f>'外国語実績201201-201712'!N1719</f>
        <v>0</v>
      </c>
      <c r="AN122" s="104">
        <f>'外国語実績201201-201712'!N1731</f>
        <v>0</v>
      </c>
      <c r="AO122" s="88" t="e">
        <f t="shared" si="174"/>
        <v>#DIV/0!</v>
      </c>
      <c r="AP122" s="89">
        <v>0</v>
      </c>
      <c r="AQ122" s="82">
        <f>'外国語実績201201-201712'!N1759</f>
        <v>0</v>
      </c>
      <c r="AR122" s="104">
        <f>'外国語実績201201-201712'!N1771</f>
        <v>0</v>
      </c>
      <c r="AS122" s="104">
        <f>'外国語実績201201-201712'!N1783</f>
        <v>0</v>
      </c>
      <c r="AT122" s="88" t="e">
        <f t="shared" si="175"/>
        <v>#DIV/0!</v>
      </c>
      <c r="AU122" s="89">
        <v>0</v>
      </c>
      <c r="AV122" s="82">
        <f>'外国語実績201201-201712'!N1799</f>
        <v>8</v>
      </c>
      <c r="AW122" s="104">
        <f>'外国語実績201201-201712'!N1811</f>
        <v>16</v>
      </c>
      <c r="AX122" s="104">
        <f>'外国語実績201201-201712'!N1823</f>
        <v>0</v>
      </c>
      <c r="AY122" s="88">
        <f t="shared" si="176"/>
        <v>-1</v>
      </c>
      <c r="AZ122" s="89">
        <v>0</v>
      </c>
      <c r="BA122" s="82">
        <f>'外国語実績201201-201712'!N1839</f>
        <v>31</v>
      </c>
      <c r="BB122" s="104">
        <f>'外国語実績201201-201712'!N1851</f>
        <v>94</v>
      </c>
      <c r="BC122" s="104">
        <f>'外国語実績201201-201712'!N1863</f>
        <v>0</v>
      </c>
      <c r="BD122" s="88">
        <f t="shared" si="177"/>
        <v>-1</v>
      </c>
      <c r="BE122" s="82">
        <f>'外国語実績201201-201712'!N1879</f>
        <v>23</v>
      </c>
      <c r="BF122" s="104">
        <f>'外国語実績201201-201712'!N1891</f>
        <v>15</v>
      </c>
      <c r="BG122" s="104">
        <f>'外国語実績201201-201712'!N1903</f>
        <v>0</v>
      </c>
      <c r="BH122" s="88">
        <f t="shared" si="178"/>
        <v>-1</v>
      </c>
      <c r="BI122" s="82">
        <f>'外国語実績201201-201712'!N1919</f>
        <v>3</v>
      </c>
      <c r="BJ122" s="104">
        <f>'外国語実績201201-201712'!N1931</f>
        <v>0</v>
      </c>
      <c r="BK122" s="104">
        <f>'外国語実績201201-201712'!N1943</f>
        <v>0</v>
      </c>
      <c r="BL122" s="88" t="e">
        <f t="shared" si="179"/>
        <v>#DIV/0!</v>
      </c>
      <c r="CL122" s="34"/>
    </row>
    <row r="123" spans="1:98" ht="75" customHeight="1">
      <c r="A123" s="225" t="s">
        <v>15</v>
      </c>
      <c r="B123" s="89">
        <v>1</v>
      </c>
      <c r="C123" s="82">
        <f>'外国語実績201201-201712'!N1329</f>
        <v>32</v>
      </c>
      <c r="D123" s="104">
        <f>'外国語実績201201-201712'!N1341</f>
        <v>21</v>
      </c>
      <c r="E123" s="104">
        <f>'外国語実績201201-201712'!N1353</f>
        <v>0</v>
      </c>
      <c r="F123" s="88">
        <f t="shared" si="167"/>
        <v>-1</v>
      </c>
      <c r="G123" s="89">
        <v>4</v>
      </c>
      <c r="H123" s="82">
        <f>'外国語実績201201-201712'!N1381</f>
        <v>5</v>
      </c>
      <c r="I123" s="104">
        <f>'外国語実績201201-201712'!N1393</f>
        <v>5</v>
      </c>
      <c r="J123" s="104">
        <f>'外国語実績201201-201712'!N1405</f>
        <v>0</v>
      </c>
      <c r="K123" s="88">
        <f t="shared" si="168"/>
        <v>-1</v>
      </c>
      <c r="L123" s="89">
        <v>0</v>
      </c>
      <c r="M123" s="82">
        <f>'外国語実績201201-201712'!N1433</f>
        <v>25</v>
      </c>
      <c r="N123" s="104">
        <f>'外国語実績201201-201712'!N1445</f>
        <v>8</v>
      </c>
      <c r="O123" s="104">
        <f>'外国語実績201201-201712'!N1457</f>
        <v>0</v>
      </c>
      <c r="P123" s="88">
        <f t="shared" si="169"/>
        <v>-1</v>
      </c>
      <c r="Q123" s="89">
        <v>0</v>
      </c>
      <c r="R123" s="82">
        <f>'外国語実績201201-201712'!N1485</f>
        <v>0</v>
      </c>
      <c r="S123" s="104">
        <f>'外国語実績201201-201712'!N1497</f>
        <v>0</v>
      </c>
      <c r="T123" s="104">
        <f>'外国語実績201201-201712'!N1509</f>
        <v>0</v>
      </c>
      <c r="U123" s="88" t="e">
        <f t="shared" si="170"/>
        <v>#DIV/0!</v>
      </c>
      <c r="V123" s="89">
        <v>0</v>
      </c>
      <c r="W123" s="82">
        <f>'外国語実績201201-201712'!N1537</f>
        <v>12</v>
      </c>
      <c r="X123" s="104">
        <f>'外国語実績201201-201712'!N1549</f>
        <v>14</v>
      </c>
      <c r="Y123" s="104">
        <f>'外国語実績201201-201712'!N1561</f>
        <v>0</v>
      </c>
      <c r="Z123" s="88">
        <f t="shared" si="171"/>
        <v>-1</v>
      </c>
      <c r="AA123" s="89">
        <v>0</v>
      </c>
      <c r="AB123" s="82">
        <f>'外国語実績201201-201712'!N1604</f>
        <v>8</v>
      </c>
      <c r="AC123" s="104">
        <f>'外国語実績201201-201712'!N1616</f>
        <v>23</v>
      </c>
      <c r="AD123" s="104">
        <f>'外国語実績201201-201712'!N1628</f>
        <v>0</v>
      </c>
      <c r="AE123" s="88">
        <f t="shared" si="172"/>
        <v>-1</v>
      </c>
      <c r="AF123" s="89">
        <v>0</v>
      </c>
      <c r="AG123" s="82">
        <f>'外国語実績201201-201712'!N1656</f>
        <v>2</v>
      </c>
      <c r="AH123" s="104">
        <f>'外国語実績201201-201712'!N1668</f>
        <v>0</v>
      </c>
      <c r="AI123" s="104">
        <f>'外国語実績201201-201712'!N1680</f>
        <v>0</v>
      </c>
      <c r="AJ123" s="88" t="e">
        <f t="shared" si="173"/>
        <v>#DIV/0!</v>
      </c>
      <c r="AK123" s="89">
        <v>0</v>
      </c>
      <c r="AL123" s="82">
        <f>'外国語実績201201-201712'!N1708</f>
        <v>0</v>
      </c>
      <c r="AM123" s="104">
        <f>'外国語実績201201-201712'!N1720</f>
        <v>0</v>
      </c>
      <c r="AN123" s="104">
        <f>'外国語実績201201-201712'!N1732</f>
        <v>0</v>
      </c>
      <c r="AO123" s="88" t="e">
        <f t="shared" si="174"/>
        <v>#DIV/0!</v>
      </c>
      <c r="AP123" s="89">
        <v>0</v>
      </c>
      <c r="AQ123" s="82">
        <f>'外国語実績201201-201712'!N1760</f>
        <v>0</v>
      </c>
      <c r="AR123" s="104">
        <f>'外国語実績201201-201712'!N1772</f>
        <v>0</v>
      </c>
      <c r="AS123" s="104">
        <f>'外国語実績201201-201712'!N1784</f>
        <v>0</v>
      </c>
      <c r="AT123" s="88" t="e">
        <f t="shared" si="175"/>
        <v>#DIV/0!</v>
      </c>
      <c r="AU123" s="89">
        <v>0</v>
      </c>
      <c r="AV123" s="82">
        <f>'外国語実績201201-201712'!N1800</f>
        <v>15</v>
      </c>
      <c r="AW123" s="104">
        <f>'外国語実績201201-201712'!N1812</f>
        <v>13</v>
      </c>
      <c r="AX123" s="104">
        <f>'外国語実績201201-201712'!N1824</f>
        <v>0</v>
      </c>
      <c r="AY123" s="88">
        <f t="shared" si="176"/>
        <v>-1</v>
      </c>
      <c r="AZ123" s="89">
        <v>0</v>
      </c>
      <c r="BA123" s="82">
        <f>'外国語実績201201-201712'!N1840</f>
        <v>70</v>
      </c>
      <c r="BB123" s="104">
        <f>'外国語実績201201-201712'!N1852</f>
        <v>126</v>
      </c>
      <c r="BC123" s="104">
        <f>'外国語実績201201-201712'!N1864</f>
        <v>0</v>
      </c>
      <c r="BD123" s="88">
        <f t="shared" si="177"/>
        <v>-1</v>
      </c>
      <c r="BE123" s="82">
        <f>'外国語実績201201-201712'!N1880</f>
        <v>28</v>
      </c>
      <c r="BF123" s="104">
        <f>'外国語実績201201-201712'!N1892</f>
        <v>34</v>
      </c>
      <c r="BG123" s="104">
        <f>'外国語実績201201-201712'!N1904</f>
        <v>0</v>
      </c>
      <c r="BH123" s="88">
        <f t="shared" si="178"/>
        <v>-1</v>
      </c>
      <c r="BI123" s="82">
        <f>'外国語実績201201-201712'!N1920</f>
        <v>0</v>
      </c>
      <c r="BJ123" s="104">
        <f>'外国語実績201201-201712'!N1932</f>
        <v>0</v>
      </c>
      <c r="BK123" s="104">
        <f>'外国語実績201201-201712'!N1944</f>
        <v>0</v>
      </c>
      <c r="BL123" s="88" t="e">
        <f t="shared" si="179"/>
        <v>#DIV/0!</v>
      </c>
      <c r="CL123" s="34"/>
    </row>
    <row r="124" spans="1:98" ht="75" customHeight="1">
      <c r="A124" s="199" t="s">
        <v>16</v>
      </c>
      <c r="B124" s="89">
        <v>1</v>
      </c>
      <c r="C124" s="82">
        <f>'外国語実績201201-201712'!N1330</f>
        <v>22</v>
      </c>
      <c r="D124" s="104">
        <f>'外国語実績201201-201712'!N1342</f>
        <v>31</v>
      </c>
      <c r="E124" s="104">
        <f>'外国語実績201201-201712'!N1354</f>
        <v>0</v>
      </c>
      <c r="F124" s="88">
        <f t="shared" si="167"/>
        <v>-1</v>
      </c>
      <c r="G124" s="89">
        <v>6</v>
      </c>
      <c r="H124" s="82">
        <f>'外国語実績201201-201712'!N1382</f>
        <v>6</v>
      </c>
      <c r="I124" s="104">
        <f>'外国語実績201201-201712'!N1394</f>
        <v>5</v>
      </c>
      <c r="J124" s="104">
        <f>'外国語実績201201-201712'!N1406</f>
        <v>0</v>
      </c>
      <c r="K124" s="88">
        <f t="shared" si="168"/>
        <v>-1</v>
      </c>
      <c r="L124" s="89">
        <v>2</v>
      </c>
      <c r="M124" s="82">
        <f>'外国語実績201201-201712'!N1434</f>
        <v>35</v>
      </c>
      <c r="N124" s="104">
        <f>'外国語実績201201-201712'!N1446</f>
        <v>12</v>
      </c>
      <c r="O124" s="104">
        <f>'外国語実績201201-201712'!N1458</f>
        <v>0</v>
      </c>
      <c r="P124" s="88">
        <f t="shared" si="169"/>
        <v>-1</v>
      </c>
      <c r="Q124" s="89">
        <v>0</v>
      </c>
      <c r="R124" s="82">
        <f>'外国語実績201201-201712'!N1486</f>
        <v>0</v>
      </c>
      <c r="S124" s="104">
        <f>'外国語実績201201-201712'!N1498</f>
        <v>0</v>
      </c>
      <c r="T124" s="104">
        <f>'外国語実績201201-201712'!N1510</f>
        <v>0</v>
      </c>
      <c r="U124" s="88" t="e">
        <f t="shared" si="170"/>
        <v>#DIV/0!</v>
      </c>
      <c r="V124" s="89">
        <v>0</v>
      </c>
      <c r="W124" s="82">
        <f>'外国語実績201201-201712'!N1538</f>
        <v>8</v>
      </c>
      <c r="X124" s="104">
        <f>'外国語実績201201-201712'!N1550</f>
        <v>24</v>
      </c>
      <c r="Y124" s="104">
        <f>'外国語実績201201-201712'!N1562</f>
        <v>0</v>
      </c>
      <c r="Z124" s="88">
        <f t="shared" si="171"/>
        <v>-1</v>
      </c>
      <c r="AA124" s="89">
        <v>0</v>
      </c>
      <c r="AB124" s="82">
        <f>'外国語実績201201-201712'!N1605</f>
        <v>5</v>
      </c>
      <c r="AC124" s="104">
        <f>'外国語実績201201-201712'!N1617</f>
        <v>9</v>
      </c>
      <c r="AD124" s="104">
        <f>'外国語実績201201-201712'!N1629</f>
        <v>0</v>
      </c>
      <c r="AE124" s="88">
        <f t="shared" si="172"/>
        <v>-1</v>
      </c>
      <c r="AF124" s="89">
        <v>0</v>
      </c>
      <c r="AG124" s="82">
        <f>'外国語実績201201-201712'!N1657</f>
        <v>4</v>
      </c>
      <c r="AH124" s="104">
        <f>'外国語実績201201-201712'!N1669</f>
        <v>5</v>
      </c>
      <c r="AI124" s="104">
        <f>'外国語実績201201-201712'!N1681</f>
        <v>0</v>
      </c>
      <c r="AJ124" s="88">
        <f t="shared" si="173"/>
        <v>-1</v>
      </c>
      <c r="AK124" s="89">
        <v>0</v>
      </c>
      <c r="AL124" s="82">
        <f>'外国語実績201201-201712'!N1709</f>
        <v>0</v>
      </c>
      <c r="AM124" s="104">
        <f>'外国語実績201201-201712'!N1721</f>
        <v>0</v>
      </c>
      <c r="AN124" s="104">
        <f>'外国語実績201201-201712'!N1733</f>
        <v>0</v>
      </c>
      <c r="AO124" s="88" t="e">
        <f t="shared" si="174"/>
        <v>#DIV/0!</v>
      </c>
      <c r="AP124" s="89">
        <v>0</v>
      </c>
      <c r="AQ124" s="82">
        <f>'外国語実績201201-201712'!N1761</f>
        <v>0</v>
      </c>
      <c r="AR124" s="104">
        <f>'外国語実績201201-201712'!N1773</f>
        <v>0</v>
      </c>
      <c r="AS124" s="104">
        <f>'外国語実績201201-201712'!N1785</f>
        <v>0</v>
      </c>
      <c r="AT124" s="88" t="e">
        <f t="shared" si="175"/>
        <v>#DIV/0!</v>
      </c>
      <c r="AU124" s="89">
        <v>0</v>
      </c>
      <c r="AV124" s="82">
        <f>'外国語実績201201-201712'!N1801</f>
        <v>24</v>
      </c>
      <c r="AW124" s="104">
        <f>'外国語実績201201-201712'!N1813</f>
        <v>11</v>
      </c>
      <c r="AX124" s="104">
        <f>'外国語実績201201-201712'!N1825</f>
        <v>0</v>
      </c>
      <c r="AY124" s="88">
        <f t="shared" si="176"/>
        <v>-1</v>
      </c>
      <c r="AZ124" s="89">
        <v>0</v>
      </c>
      <c r="BA124" s="82">
        <f>'外国語実績201201-201712'!N1841</f>
        <v>75</v>
      </c>
      <c r="BB124" s="104">
        <f>'外国語実績201201-201712'!N1853</f>
        <v>143</v>
      </c>
      <c r="BC124" s="104">
        <f>'外国語実績201201-201712'!N1865</f>
        <v>0</v>
      </c>
      <c r="BD124" s="88">
        <f t="shared" si="177"/>
        <v>-1</v>
      </c>
      <c r="BE124" s="82">
        <f>'外国語実績201201-201712'!N1881</f>
        <v>12</v>
      </c>
      <c r="BF124" s="104">
        <f>'外国語実績201201-201712'!N1893</f>
        <v>41</v>
      </c>
      <c r="BG124" s="104">
        <f>'外国語実績201201-201712'!N1905</f>
        <v>0</v>
      </c>
      <c r="BH124" s="88">
        <f t="shared" si="178"/>
        <v>-1</v>
      </c>
      <c r="BI124" s="82">
        <f>'外国語実績201201-201712'!N1921</f>
        <v>0</v>
      </c>
      <c r="BJ124" s="104">
        <f>'外国語実績201201-201712'!N1933</f>
        <v>0</v>
      </c>
      <c r="BK124" s="104">
        <f>'外国語実績201201-201712'!N1945</f>
        <v>0</v>
      </c>
      <c r="BL124" s="88" t="e">
        <f t="shared" si="179"/>
        <v>#DIV/0!</v>
      </c>
      <c r="CL124" s="34"/>
    </row>
    <row r="125" spans="1:98" ht="75" customHeight="1">
      <c r="A125" s="199" t="s">
        <v>17</v>
      </c>
      <c r="B125" s="89">
        <v>0</v>
      </c>
      <c r="C125" s="82">
        <f>'外国語実績201201-201712'!N1331</f>
        <v>7</v>
      </c>
      <c r="D125" s="104">
        <f>'外国語実績201201-201712'!N1343</f>
        <v>22</v>
      </c>
      <c r="E125" s="104">
        <f>'外国語実績201201-201712'!N1355</f>
        <v>0</v>
      </c>
      <c r="F125" s="88">
        <f t="shared" si="167"/>
        <v>-1</v>
      </c>
      <c r="G125" s="89">
        <v>1</v>
      </c>
      <c r="H125" s="82">
        <f>'外国語実績201201-201712'!N1383</f>
        <v>6</v>
      </c>
      <c r="I125" s="104">
        <f>'外国語実績201201-201712'!N1395</f>
        <v>3</v>
      </c>
      <c r="J125" s="104">
        <f>'外国語実績201201-201712'!N1407</f>
        <v>0</v>
      </c>
      <c r="K125" s="88">
        <f t="shared" si="168"/>
        <v>-1</v>
      </c>
      <c r="L125" s="89">
        <v>7</v>
      </c>
      <c r="M125" s="82">
        <f>'外国語実績201201-201712'!N1435</f>
        <v>19</v>
      </c>
      <c r="N125" s="104">
        <f>'外国語実績201201-201712'!N1447</f>
        <v>18</v>
      </c>
      <c r="O125" s="104">
        <f>'外国語実績201201-201712'!N1459</f>
        <v>0</v>
      </c>
      <c r="P125" s="88">
        <f t="shared" si="169"/>
        <v>-1</v>
      </c>
      <c r="Q125" s="89">
        <v>2</v>
      </c>
      <c r="R125" s="82">
        <f>'外国語実績201201-201712'!N1487</f>
        <v>0</v>
      </c>
      <c r="S125" s="104">
        <f>'外国語実績201201-201712'!N1499</f>
        <v>0</v>
      </c>
      <c r="T125" s="104">
        <f>'外国語実績201201-201712'!N1511</f>
        <v>0</v>
      </c>
      <c r="U125" s="88" t="e">
        <f t="shared" si="170"/>
        <v>#DIV/0!</v>
      </c>
      <c r="V125" s="89">
        <v>1</v>
      </c>
      <c r="W125" s="82">
        <f>'外国語実績201201-201712'!N1539</f>
        <v>25</v>
      </c>
      <c r="X125" s="104">
        <f>'外国語実績201201-201712'!N1551</f>
        <v>13</v>
      </c>
      <c r="Y125" s="104">
        <f>'外国語実績201201-201712'!N1563</f>
        <v>0</v>
      </c>
      <c r="Z125" s="88">
        <f t="shared" si="171"/>
        <v>-1</v>
      </c>
      <c r="AA125" s="89">
        <v>1</v>
      </c>
      <c r="AB125" s="82">
        <f>'外国語実績201201-201712'!N1606</f>
        <v>17</v>
      </c>
      <c r="AC125" s="104">
        <f>'外国語実績201201-201712'!N1618</f>
        <v>10</v>
      </c>
      <c r="AD125" s="104">
        <f>'外国語実績201201-201712'!N1630</f>
        <v>0</v>
      </c>
      <c r="AE125" s="88">
        <f t="shared" si="172"/>
        <v>-1</v>
      </c>
      <c r="AF125" s="89">
        <v>0</v>
      </c>
      <c r="AG125" s="82">
        <f>'外国語実績201201-201712'!N1658</f>
        <v>0</v>
      </c>
      <c r="AH125" s="104">
        <f>'外国語実績201201-201712'!N1670</f>
        <v>1</v>
      </c>
      <c r="AI125" s="104">
        <f>'外国語実績201201-201712'!N1682</f>
        <v>0</v>
      </c>
      <c r="AJ125" s="88">
        <f t="shared" si="173"/>
        <v>-1</v>
      </c>
      <c r="AK125" s="89">
        <v>0</v>
      </c>
      <c r="AL125" s="82">
        <f>'外国語実績201201-201712'!N1710</f>
        <v>0</v>
      </c>
      <c r="AM125" s="104">
        <f>'外国語実績201201-201712'!N1722</f>
        <v>0</v>
      </c>
      <c r="AN125" s="104">
        <f>'外国語実績201201-201712'!N1734</f>
        <v>0</v>
      </c>
      <c r="AO125" s="88" t="e">
        <f t="shared" si="174"/>
        <v>#DIV/0!</v>
      </c>
      <c r="AP125" s="89">
        <v>0</v>
      </c>
      <c r="AQ125" s="82">
        <f>'外国語実績201201-201712'!N1762</f>
        <v>0</v>
      </c>
      <c r="AR125" s="104">
        <f>'外国語実績201201-201712'!N1774</f>
        <v>0</v>
      </c>
      <c r="AS125" s="104">
        <f>'外国語実績201201-201712'!N1786</f>
        <v>0</v>
      </c>
      <c r="AT125" s="88" t="e">
        <f t="shared" si="175"/>
        <v>#DIV/0!</v>
      </c>
      <c r="AU125" s="89">
        <v>0</v>
      </c>
      <c r="AV125" s="82">
        <f>'外国語実績201201-201712'!N1802</f>
        <v>5</v>
      </c>
      <c r="AW125" s="104">
        <f>'外国語実績201201-201712'!N1814</f>
        <v>7</v>
      </c>
      <c r="AX125" s="104">
        <f>'外国語実績201201-201712'!N1826</f>
        <v>0</v>
      </c>
      <c r="AY125" s="88">
        <f t="shared" si="176"/>
        <v>-1</v>
      </c>
      <c r="AZ125" s="89">
        <v>0</v>
      </c>
      <c r="BA125" s="82">
        <f>'外国語実績201201-201712'!N1842</f>
        <v>53</v>
      </c>
      <c r="BB125" s="104">
        <f>'外国語実績201201-201712'!N1854</f>
        <v>96</v>
      </c>
      <c r="BC125" s="104">
        <f>'外国語実績201201-201712'!N1866</f>
        <v>0</v>
      </c>
      <c r="BD125" s="88">
        <f t="shared" si="177"/>
        <v>-1</v>
      </c>
      <c r="BE125" s="82">
        <f>'外国語実績201201-201712'!N1882</f>
        <v>18</v>
      </c>
      <c r="BF125" s="104">
        <f>'外国語実績201201-201712'!N1894</f>
        <v>33</v>
      </c>
      <c r="BG125" s="104">
        <f>'外国語実績201201-201712'!N1906</f>
        <v>0</v>
      </c>
      <c r="BH125" s="88">
        <f t="shared" si="178"/>
        <v>-1</v>
      </c>
      <c r="BI125" s="82">
        <f>'外国語実績201201-201712'!N1922</f>
        <v>0</v>
      </c>
      <c r="BJ125" s="104">
        <f>'外国語実績201201-201712'!N1934</f>
        <v>0</v>
      </c>
      <c r="BK125" s="104">
        <f>'外国語実績201201-201712'!N1946</f>
        <v>0</v>
      </c>
      <c r="BL125" s="88" t="e">
        <f t="shared" si="179"/>
        <v>#DIV/0!</v>
      </c>
      <c r="CL125" s="34"/>
    </row>
    <row r="126" spans="1:98" ht="75" customHeight="1">
      <c r="A126" s="199" t="s">
        <v>18</v>
      </c>
      <c r="B126" s="89">
        <v>3</v>
      </c>
      <c r="C126" s="82">
        <f>'外国語実績201201-201712'!N1332</f>
        <v>22</v>
      </c>
      <c r="D126" s="104">
        <f>'外国語実績201201-201712'!N1344</f>
        <v>59</v>
      </c>
      <c r="E126" s="104">
        <f>'外国語実績201201-201712'!N1356</f>
        <v>0</v>
      </c>
      <c r="F126" s="88">
        <f t="shared" si="167"/>
        <v>-1</v>
      </c>
      <c r="G126" s="89">
        <v>4</v>
      </c>
      <c r="H126" s="82">
        <f>'外国語実績201201-201712'!N1384</f>
        <v>6</v>
      </c>
      <c r="I126" s="104">
        <f>'外国語実績201201-201712'!N1396</f>
        <v>1</v>
      </c>
      <c r="J126" s="104">
        <f>'外国語実績201201-201712'!N1408</f>
        <v>0</v>
      </c>
      <c r="K126" s="88">
        <f t="shared" si="168"/>
        <v>-1</v>
      </c>
      <c r="L126" s="89">
        <v>17</v>
      </c>
      <c r="M126" s="82">
        <f>'外国語実績201201-201712'!N1436</f>
        <v>7</v>
      </c>
      <c r="N126" s="104">
        <f>'外国語実績201201-201712'!N1448</f>
        <v>20</v>
      </c>
      <c r="O126" s="104">
        <f>'外国語実績201201-201712'!N1460</f>
        <v>0</v>
      </c>
      <c r="P126" s="88">
        <f t="shared" si="169"/>
        <v>-1</v>
      </c>
      <c r="Q126" s="89">
        <v>0</v>
      </c>
      <c r="R126" s="82">
        <f>'外国語実績201201-201712'!N1488</f>
        <v>0</v>
      </c>
      <c r="S126" s="104">
        <f>'外国語実績201201-201712'!N1500</f>
        <v>0</v>
      </c>
      <c r="T126" s="104">
        <f>'外国語実績201201-201712'!N1512</f>
        <v>0</v>
      </c>
      <c r="U126" s="88" t="e">
        <f t="shared" si="170"/>
        <v>#DIV/0!</v>
      </c>
      <c r="V126" s="89">
        <v>5</v>
      </c>
      <c r="W126" s="82">
        <f>'外国語実績201201-201712'!N1540</f>
        <v>10</v>
      </c>
      <c r="X126" s="104">
        <f>'外国語実績201201-201712'!N1552</f>
        <v>3</v>
      </c>
      <c r="Y126" s="104">
        <f>'外国語実績201201-201712'!N1564</f>
        <v>0</v>
      </c>
      <c r="Z126" s="88">
        <f t="shared" si="171"/>
        <v>-1</v>
      </c>
      <c r="AA126" s="89">
        <v>0</v>
      </c>
      <c r="AB126" s="82">
        <f>'外国語実績201201-201712'!N1607</f>
        <v>50</v>
      </c>
      <c r="AC126" s="104">
        <f>'外国語実績201201-201712'!N1619</f>
        <v>28</v>
      </c>
      <c r="AD126" s="104">
        <f>'外国語実績201201-201712'!N1631</f>
        <v>0</v>
      </c>
      <c r="AE126" s="88">
        <f t="shared" si="172"/>
        <v>-1</v>
      </c>
      <c r="AF126" s="89">
        <v>0</v>
      </c>
      <c r="AG126" s="82">
        <f>'外国語実績201201-201712'!N1659</f>
        <v>3</v>
      </c>
      <c r="AH126" s="104">
        <f>'外国語実績201201-201712'!N1671</f>
        <v>0</v>
      </c>
      <c r="AI126" s="104">
        <f>'外国語実績201201-201712'!N1683</f>
        <v>0</v>
      </c>
      <c r="AJ126" s="88" t="e">
        <f t="shared" si="173"/>
        <v>#DIV/0!</v>
      </c>
      <c r="AK126" s="89">
        <v>0</v>
      </c>
      <c r="AL126" s="82">
        <f>'外国語実績201201-201712'!N1711</f>
        <v>0</v>
      </c>
      <c r="AM126" s="104">
        <f>'外国語実績201201-201712'!N1723</f>
        <v>0</v>
      </c>
      <c r="AN126" s="104">
        <f>'外国語実績201201-201712'!N1735</f>
        <v>0</v>
      </c>
      <c r="AO126" s="88" t="e">
        <f t="shared" si="174"/>
        <v>#DIV/0!</v>
      </c>
      <c r="AP126" s="89">
        <v>0</v>
      </c>
      <c r="AQ126" s="82">
        <f>'外国語実績201201-201712'!N1763</f>
        <v>0</v>
      </c>
      <c r="AR126" s="104">
        <f>'外国語実績201201-201712'!N1775</f>
        <v>0</v>
      </c>
      <c r="AS126" s="104">
        <f>'外国語実績201201-201712'!N1787</f>
        <v>0</v>
      </c>
      <c r="AT126" s="88" t="e">
        <f t="shared" si="175"/>
        <v>#DIV/0!</v>
      </c>
      <c r="AU126" s="89">
        <v>0</v>
      </c>
      <c r="AV126" s="82">
        <f>'外国語実績201201-201712'!N1803</f>
        <v>3</v>
      </c>
      <c r="AW126" s="104">
        <f>'外国語実績201201-201712'!N1815</f>
        <v>14</v>
      </c>
      <c r="AX126" s="104">
        <f>'外国語実績201201-201712'!N1827</f>
        <v>0</v>
      </c>
      <c r="AY126" s="88">
        <f t="shared" si="176"/>
        <v>-1</v>
      </c>
      <c r="AZ126" s="89">
        <v>0</v>
      </c>
      <c r="BA126" s="82">
        <f>'外国語実績201201-201712'!N1843</f>
        <v>148</v>
      </c>
      <c r="BB126" s="104">
        <f>'外国語実績201201-201712'!N1855</f>
        <v>182</v>
      </c>
      <c r="BC126" s="104">
        <f>'外国語実績201201-201712'!N1867</f>
        <v>0</v>
      </c>
      <c r="BD126" s="88">
        <f t="shared" si="177"/>
        <v>-1</v>
      </c>
      <c r="BE126" s="82">
        <f>'外国語実績201201-201712'!N1883</f>
        <v>10</v>
      </c>
      <c r="BF126" s="104">
        <f>'外国語実績201201-201712'!N1895</f>
        <v>41</v>
      </c>
      <c r="BG126" s="104">
        <f>'外国語実績201201-201712'!N1907</f>
        <v>0</v>
      </c>
      <c r="BH126" s="88">
        <f t="shared" si="178"/>
        <v>-1</v>
      </c>
      <c r="BI126" s="82">
        <f>'外国語実績201201-201712'!N1923</f>
        <v>1</v>
      </c>
      <c r="BJ126" s="104">
        <f>'外国語実績201201-201712'!N1935</f>
        <v>0</v>
      </c>
      <c r="BK126" s="104">
        <f>'外国語実績201201-201712'!N1947</f>
        <v>0</v>
      </c>
      <c r="BL126" s="88" t="e">
        <f t="shared" si="179"/>
        <v>#DIV/0!</v>
      </c>
      <c r="CL126" s="34"/>
    </row>
    <row r="127" spans="1:98" ht="75" customHeight="1">
      <c r="A127" s="199" t="s">
        <v>19</v>
      </c>
      <c r="B127" s="89">
        <v>6</v>
      </c>
      <c r="C127" s="82">
        <f>'外国語実績201201-201712'!N1333</f>
        <v>32</v>
      </c>
      <c r="D127" s="104">
        <f>'外国語実績201201-201712'!N1345</f>
        <v>26</v>
      </c>
      <c r="E127" s="104">
        <f>'外国語実績201201-201712'!N1357</f>
        <v>0</v>
      </c>
      <c r="F127" s="88">
        <f t="shared" si="167"/>
        <v>-1</v>
      </c>
      <c r="G127" s="89">
        <v>10</v>
      </c>
      <c r="H127" s="82">
        <f>'外国語実績201201-201712'!N1385</f>
        <v>10</v>
      </c>
      <c r="I127" s="104">
        <f>'外国語実績201201-201712'!N1397</f>
        <v>4</v>
      </c>
      <c r="J127" s="104">
        <f>'外国語実績201201-201712'!N1409</f>
        <v>0</v>
      </c>
      <c r="K127" s="88">
        <f t="shared" si="168"/>
        <v>-1</v>
      </c>
      <c r="L127" s="89">
        <v>0</v>
      </c>
      <c r="M127" s="82">
        <f>'外国語実績201201-201712'!N1437</f>
        <v>0</v>
      </c>
      <c r="N127" s="104">
        <f>'外国語実績201201-201712'!N1449</f>
        <v>0</v>
      </c>
      <c r="O127" s="104">
        <f>'外国語実績201201-201712'!N1461</f>
        <v>0</v>
      </c>
      <c r="P127" s="88" t="e">
        <f t="shared" si="169"/>
        <v>#DIV/0!</v>
      </c>
      <c r="Q127" s="89">
        <v>0</v>
      </c>
      <c r="R127" s="82">
        <f>'外国語実績201201-201712'!N1489</f>
        <v>0</v>
      </c>
      <c r="S127" s="104">
        <f>'外国語実績201201-201712'!N1501</f>
        <v>0</v>
      </c>
      <c r="T127" s="104">
        <f>'外国語実績201201-201712'!N1513</f>
        <v>0</v>
      </c>
      <c r="U127" s="88" t="e">
        <f t="shared" si="170"/>
        <v>#DIV/0!</v>
      </c>
      <c r="V127" s="89">
        <v>24</v>
      </c>
      <c r="W127" s="82">
        <f>'外国語実績201201-201712'!N1541</f>
        <v>16</v>
      </c>
      <c r="X127" s="104">
        <f>'外国語実績201201-201712'!N1553</f>
        <v>23</v>
      </c>
      <c r="Y127" s="104">
        <f>'外国語実績201201-201712'!N1565</f>
        <v>0</v>
      </c>
      <c r="Z127" s="88">
        <f t="shared" si="171"/>
        <v>-1</v>
      </c>
      <c r="AA127" s="89">
        <v>0</v>
      </c>
      <c r="AB127" s="82">
        <f>'外国語実績201201-201712'!N1608</f>
        <v>7</v>
      </c>
      <c r="AC127" s="104">
        <f>'外国語実績201201-201712'!N1620</f>
        <v>12</v>
      </c>
      <c r="AD127" s="104">
        <f>'外国語実績201201-201712'!N1632</f>
        <v>0</v>
      </c>
      <c r="AE127" s="88">
        <f t="shared" si="172"/>
        <v>-1</v>
      </c>
      <c r="AF127" s="89">
        <v>3</v>
      </c>
      <c r="AG127" s="82">
        <f>'外国語実績201201-201712'!N1660</f>
        <v>6</v>
      </c>
      <c r="AH127" s="104">
        <f>'外国語実績201201-201712'!N1672</f>
        <v>0</v>
      </c>
      <c r="AI127" s="104">
        <f>'外国語実績201201-201712'!N1684</f>
        <v>0</v>
      </c>
      <c r="AJ127" s="88" t="e">
        <f t="shared" si="173"/>
        <v>#DIV/0!</v>
      </c>
      <c r="AK127" s="89">
        <v>0</v>
      </c>
      <c r="AL127" s="82">
        <f>'外国語実績201201-201712'!N1712</f>
        <v>0</v>
      </c>
      <c r="AM127" s="104">
        <f>'外国語実績201201-201712'!N1724</f>
        <v>0</v>
      </c>
      <c r="AN127" s="104">
        <f>'外国語実績201201-201712'!N1736</f>
        <v>0</v>
      </c>
      <c r="AO127" s="88" t="e">
        <f t="shared" si="174"/>
        <v>#DIV/0!</v>
      </c>
      <c r="AP127" s="89">
        <v>0</v>
      </c>
      <c r="AQ127" s="82">
        <f>'外国語実績201201-201712'!N1764</f>
        <v>0</v>
      </c>
      <c r="AR127" s="104">
        <f>'外国語実績201201-201712'!N1776</f>
        <v>0</v>
      </c>
      <c r="AS127" s="104">
        <f>'外国語実績201201-201712'!N1788</f>
        <v>0</v>
      </c>
      <c r="AT127" s="88" t="e">
        <f t="shared" si="175"/>
        <v>#DIV/0!</v>
      </c>
      <c r="AU127" s="89">
        <v>0</v>
      </c>
      <c r="AV127" s="82">
        <f>'外国語実績201201-201712'!N1804</f>
        <v>9</v>
      </c>
      <c r="AW127" s="104">
        <f>'外国語実績201201-201712'!N1816</f>
        <v>9</v>
      </c>
      <c r="AX127" s="104">
        <f>'外国語実績201201-201712'!N1828</f>
        <v>0</v>
      </c>
      <c r="AY127" s="88">
        <f t="shared" si="176"/>
        <v>-1</v>
      </c>
      <c r="AZ127" s="89">
        <v>0</v>
      </c>
      <c r="BA127" s="82">
        <f>'外国語実績201201-201712'!N1844</f>
        <v>228</v>
      </c>
      <c r="BB127" s="104">
        <f>'外国語実績201201-201712'!N1856</f>
        <v>329</v>
      </c>
      <c r="BC127" s="104">
        <f>'外国語実績201201-201712'!N1868</f>
        <v>0</v>
      </c>
      <c r="BD127" s="88">
        <f t="shared" si="177"/>
        <v>-1</v>
      </c>
      <c r="BE127" s="82">
        <f>'外国語実績201201-201712'!N1884</f>
        <v>30</v>
      </c>
      <c r="BF127" s="104">
        <f>'外国語実績201201-201712'!N1896</f>
        <v>40</v>
      </c>
      <c r="BG127" s="104">
        <f>'外国語実績201201-201712'!N1908</f>
        <v>0</v>
      </c>
      <c r="BH127" s="88">
        <f t="shared" si="178"/>
        <v>-1</v>
      </c>
      <c r="BI127" s="82">
        <f>'外国語実績201201-201712'!N1924</f>
        <v>2</v>
      </c>
      <c r="BJ127" s="104">
        <f>'外国語実績201201-201712'!N1936</f>
        <v>0</v>
      </c>
      <c r="BK127" s="104">
        <f>'外国語実績201201-201712'!N1948</f>
        <v>0</v>
      </c>
      <c r="BL127" s="88" t="e">
        <f t="shared" si="179"/>
        <v>#DIV/0!</v>
      </c>
      <c r="CL127" s="34"/>
    </row>
    <row r="128" spans="1:98" ht="75" customHeight="1">
      <c r="A128" s="199" t="s">
        <v>20</v>
      </c>
      <c r="B128" s="89">
        <v>24</v>
      </c>
      <c r="C128" s="82">
        <f>'外国語実績201201-201712'!N1334</f>
        <v>30</v>
      </c>
      <c r="D128" s="104">
        <f>'外国語実績201201-201712'!N1346</f>
        <v>43</v>
      </c>
      <c r="E128" s="104">
        <f>'外国語実績201201-201712'!N1358</f>
        <v>0</v>
      </c>
      <c r="F128" s="88">
        <f t="shared" si="167"/>
        <v>-1</v>
      </c>
      <c r="G128" s="89">
        <v>2</v>
      </c>
      <c r="H128" s="82">
        <f>'外国語実績201201-201712'!N1386</f>
        <v>2</v>
      </c>
      <c r="I128" s="104">
        <f>'外国語実績201201-201712'!N1398</f>
        <v>0</v>
      </c>
      <c r="J128" s="104">
        <f>'外国語実績201201-201712'!N1410</f>
        <v>0</v>
      </c>
      <c r="K128" s="88" t="e">
        <f t="shared" si="168"/>
        <v>#DIV/0!</v>
      </c>
      <c r="L128" s="89">
        <v>0</v>
      </c>
      <c r="M128" s="82">
        <f>'外国語実績201201-201712'!N1438</f>
        <v>0</v>
      </c>
      <c r="N128" s="104">
        <f>'外国語実績201201-201712'!N1450</f>
        <v>0</v>
      </c>
      <c r="O128" s="104">
        <f>'外国語実績201201-201712'!N1462</f>
        <v>0</v>
      </c>
      <c r="P128" s="88" t="e">
        <f t="shared" si="169"/>
        <v>#DIV/0!</v>
      </c>
      <c r="Q128" s="89">
        <v>0</v>
      </c>
      <c r="R128" s="82">
        <f>'外国語実績201201-201712'!N1490</f>
        <v>0</v>
      </c>
      <c r="S128" s="104">
        <f>'外国語実績201201-201712'!N1502</f>
        <v>0</v>
      </c>
      <c r="T128" s="104">
        <f>'外国語実績201201-201712'!N1514</f>
        <v>0</v>
      </c>
      <c r="U128" s="88" t="e">
        <f t="shared" si="170"/>
        <v>#DIV/0!</v>
      </c>
      <c r="V128" s="89">
        <v>15</v>
      </c>
      <c r="W128" s="82">
        <f>'外国語実績201201-201712'!N1542</f>
        <v>20</v>
      </c>
      <c r="X128" s="104">
        <f>'外国語実績201201-201712'!N1554</f>
        <v>24</v>
      </c>
      <c r="Y128" s="104">
        <f>'外国語実績201201-201712'!N1566</f>
        <v>0</v>
      </c>
      <c r="Z128" s="88">
        <f t="shared" si="171"/>
        <v>-1</v>
      </c>
      <c r="AA128" s="89">
        <v>0</v>
      </c>
      <c r="AB128" s="82">
        <f>'外国語実績201201-201712'!N1609</f>
        <v>0</v>
      </c>
      <c r="AC128" s="104">
        <f>'外国語実績201201-201712'!N1621</f>
        <v>0</v>
      </c>
      <c r="AD128" s="104">
        <f>'外国語実績201201-201712'!N1633</f>
        <v>0</v>
      </c>
      <c r="AE128" s="88" t="e">
        <f t="shared" si="172"/>
        <v>#DIV/0!</v>
      </c>
      <c r="AF128" s="89">
        <v>2</v>
      </c>
      <c r="AG128" s="82">
        <f>'外国語実績201201-201712'!N1661</f>
        <v>0</v>
      </c>
      <c r="AH128" s="104">
        <f>'外国語実績201201-201712'!N1673</f>
        <v>1</v>
      </c>
      <c r="AI128" s="104">
        <f>'外国語実績201201-201712'!N1685</f>
        <v>0</v>
      </c>
      <c r="AJ128" s="88">
        <f t="shared" si="173"/>
        <v>-1</v>
      </c>
      <c r="AK128" s="89">
        <v>0</v>
      </c>
      <c r="AL128" s="82">
        <f>'外国語実績201201-201712'!N1713</f>
        <v>0</v>
      </c>
      <c r="AM128" s="104">
        <f>'外国語実績201201-201712'!N1725</f>
        <v>0</v>
      </c>
      <c r="AN128" s="104">
        <f>'外国語実績201201-201712'!N1737</f>
        <v>0</v>
      </c>
      <c r="AO128" s="88" t="e">
        <f t="shared" si="174"/>
        <v>#DIV/0!</v>
      </c>
      <c r="AP128" s="89">
        <v>9</v>
      </c>
      <c r="AQ128" s="82">
        <f>'外国語実績201201-201712'!N1765</f>
        <v>0</v>
      </c>
      <c r="AR128" s="104">
        <f>'外国語実績201201-201712'!N1777</f>
        <v>6</v>
      </c>
      <c r="AS128" s="104">
        <f>'外国語実績201201-201712'!N1789</f>
        <v>0</v>
      </c>
      <c r="AT128" s="88">
        <f t="shared" si="175"/>
        <v>-1</v>
      </c>
      <c r="AU128" s="89">
        <v>0</v>
      </c>
      <c r="AV128" s="82">
        <f>'外国語実績201201-201712'!N1805</f>
        <v>13</v>
      </c>
      <c r="AW128" s="104">
        <f>'外国語実績201201-201712'!N1817</f>
        <v>20</v>
      </c>
      <c r="AX128" s="104">
        <f>'外国語実績201201-201712'!N1829</f>
        <v>0</v>
      </c>
      <c r="AY128" s="88">
        <f t="shared" si="176"/>
        <v>-1</v>
      </c>
      <c r="AZ128" s="89">
        <v>0</v>
      </c>
      <c r="BA128" s="82">
        <f>'外国語実績201201-201712'!N1845</f>
        <v>328</v>
      </c>
      <c r="BB128" s="104">
        <f>'外国語実績201201-201712'!N1857</f>
        <v>436</v>
      </c>
      <c r="BC128" s="104">
        <f>'外国語実績201201-201712'!N1869</f>
        <v>0</v>
      </c>
      <c r="BD128" s="88">
        <f t="shared" si="177"/>
        <v>-1</v>
      </c>
      <c r="BE128" s="82">
        <f>'外国語実績201201-201712'!N1885</f>
        <v>30</v>
      </c>
      <c r="BF128" s="104">
        <f>'外国語実績201201-201712'!N1897</f>
        <v>56</v>
      </c>
      <c r="BG128" s="104">
        <f>'外国語実績201201-201712'!N1909</f>
        <v>0</v>
      </c>
      <c r="BH128" s="88">
        <f t="shared" si="178"/>
        <v>-1</v>
      </c>
      <c r="BI128" s="82">
        <f>'外国語実績201201-201712'!N1925</f>
        <v>0</v>
      </c>
      <c r="BJ128" s="104">
        <f>'外国語実績201201-201712'!N1937</f>
        <v>1</v>
      </c>
      <c r="BK128" s="104">
        <f>'外国語実績201201-201712'!N1949</f>
        <v>0</v>
      </c>
      <c r="BL128" s="88">
        <f t="shared" si="179"/>
        <v>-1</v>
      </c>
      <c r="CL128" s="34"/>
    </row>
    <row r="129" spans="1:90" ht="75" customHeight="1">
      <c r="A129" s="199" t="s">
        <v>21</v>
      </c>
      <c r="B129" s="89">
        <v>38</v>
      </c>
      <c r="C129" s="82">
        <f>'外国語実績201201-201712'!N1335</f>
        <v>42</v>
      </c>
      <c r="D129" s="104">
        <f>'外国語実績201201-201712'!N1347</f>
        <v>30</v>
      </c>
      <c r="E129" s="104"/>
      <c r="F129" s="88">
        <f t="shared" si="167"/>
        <v>-1</v>
      </c>
      <c r="G129" s="89">
        <v>0</v>
      </c>
      <c r="H129" s="82">
        <f>'外国語実績201201-201712'!N1387</f>
        <v>3</v>
      </c>
      <c r="I129" s="104">
        <f>'外国語実績201201-201712'!N1399</f>
        <v>2</v>
      </c>
      <c r="J129" s="104"/>
      <c r="K129" s="88">
        <f t="shared" si="168"/>
        <v>-1</v>
      </c>
      <c r="L129" s="89">
        <v>0</v>
      </c>
      <c r="M129" s="82">
        <f>'外国語実績201201-201712'!N1439</f>
        <v>0</v>
      </c>
      <c r="N129" s="104">
        <f>'外国語実績201201-201712'!N1451</f>
        <v>0</v>
      </c>
      <c r="O129" s="104"/>
      <c r="P129" s="88" t="e">
        <f t="shared" si="169"/>
        <v>#DIV/0!</v>
      </c>
      <c r="Q129" s="89">
        <v>0</v>
      </c>
      <c r="R129" s="82">
        <f>'外国語実績201201-201712'!N1491</f>
        <v>0</v>
      </c>
      <c r="S129" s="104">
        <f>'外国語実績201201-201712'!N1503</f>
        <v>0</v>
      </c>
      <c r="T129" s="104"/>
      <c r="U129" s="88" t="e">
        <f t="shared" si="170"/>
        <v>#DIV/0!</v>
      </c>
      <c r="V129" s="89">
        <v>10</v>
      </c>
      <c r="W129" s="82">
        <f>'外国語実績201201-201712'!N1543</f>
        <v>18</v>
      </c>
      <c r="X129" s="104">
        <f>'外国語実績201201-201712'!N1555</f>
        <v>7</v>
      </c>
      <c r="Y129" s="104"/>
      <c r="Z129" s="88">
        <f t="shared" si="171"/>
        <v>-1</v>
      </c>
      <c r="AA129" s="89">
        <v>0</v>
      </c>
      <c r="AB129" s="82">
        <f>'外国語実績201201-201712'!N1610</f>
        <v>0</v>
      </c>
      <c r="AC129" s="104">
        <f>'外国語実績201201-201712'!N1622</f>
        <v>0</v>
      </c>
      <c r="AD129" s="104"/>
      <c r="AE129" s="88" t="e">
        <f t="shared" si="172"/>
        <v>#DIV/0!</v>
      </c>
      <c r="AF129" s="89">
        <v>1</v>
      </c>
      <c r="AG129" s="82">
        <f>'外国語実績201201-201712'!N1662</f>
        <v>2</v>
      </c>
      <c r="AH129" s="104">
        <f>'外国語実績201201-201712'!N1674</f>
        <v>0</v>
      </c>
      <c r="AI129" s="104"/>
      <c r="AJ129" s="88" t="e">
        <f t="shared" si="173"/>
        <v>#DIV/0!</v>
      </c>
      <c r="AK129" s="89">
        <v>33</v>
      </c>
      <c r="AL129" s="82">
        <f>'外国語実績201201-201712'!N1714</f>
        <v>58</v>
      </c>
      <c r="AM129" s="104">
        <f>'外国語実績201201-201712'!N1726</f>
        <v>0</v>
      </c>
      <c r="AN129" s="104"/>
      <c r="AO129" s="88" t="e">
        <f t="shared" si="174"/>
        <v>#DIV/0!</v>
      </c>
      <c r="AP129" s="89">
        <v>21</v>
      </c>
      <c r="AQ129" s="82">
        <f>'外国語実績201201-201712'!N1766</f>
        <v>11</v>
      </c>
      <c r="AR129" s="104">
        <f>'外国語実績201201-201712'!N1778</f>
        <v>16</v>
      </c>
      <c r="AS129" s="104"/>
      <c r="AT129" s="88">
        <f t="shared" si="175"/>
        <v>-1</v>
      </c>
      <c r="AU129" s="89">
        <v>3</v>
      </c>
      <c r="AV129" s="82">
        <f>'外国語実績201201-201712'!N1806</f>
        <v>12</v>
      </c>
      <c r="AW129" s="104">
        <f>'外国語実績201201-201712'!N1818</f>
        <v>21</v>
      </c>
      <c r="AX129" s="104"/>
      <c r="AY129" s="88">
        <f t="shared" si="176"/>
        <v>-1</v>
      </c>
      <c r="AZ129" s="89">
        <v>0</v>
      </c>
      <c r="BA129" s="82">
        <f>'外国語実績201201-201712'!N1846</f>
        <v>268</v>
      </c>
      <c r="BB129" s="104">
        <f>'外国語実績201201-201712'!N1858</f>
        <v>432</v>
      </c>
      <c r="BC129" s="104"/>
      <c r="BD129" s="88">
        <f t="shared" si="177"/>
        <v>-1</v>
      </c>
      <c r="BE129" s="82">
        <f>'外国語実績201201-201712'!N1886</f>
        <v>28</v>
      </c>
      <c r="BF129" s="104">
        <f>'外国語実績201201-201712'!N1898</f>
        <v>28</v>
      </c>
      <c r="BG129" s="104"/>
      <c r="BH129" s="88">
        <f t="shared" si="178"/>
        <v>-1</v>
      </c>
      <c r="BI129" s="82">
        <f>'外国語実績201201-201712'!N1926</f>
        <v>0</v>
      </c>
      <c r="BJ129" s="104">
        <f>'外国語実績201201-201712'!N1938</f>
        <v>0</v>
      </c>
      <c r="BK129" s="104"/>
      <c r="BL129" s="88" t="e">
        <f t="shared" si="179"/>
        <v>#DIV/0!</v>
      </c>
      <c r="CL129" s="34"/>
    </row>
    <row r="130" spans="1:90" ht="75" customHeight="1">
      <c r="A130" s="247" t="s">
        <v>22</v>
      </c>
      <c r="B130" s="89">
        <v>20</v>
      </c>
      <c r="C130" s="82">
        <f>'外国語実績201201-201712'!N1336</f>
        <v>7</v>
      </c>
      <c r="D130" s="104">
        <f>'外国語実績201201-201712'!N1348</f>
        <v>27</v>
      </c>
      <c r="E130" s="104"/>
      <c r="F130" s="88">
        <f t="shared" si="167"/>
        <v>-1</v>
      </c>
      <c r="G130" s="89">
        <v>0</v>
      </c>
      <c r="H130" s="82">
        <f>'外国語実績201201-201712'!N1388</f>
        <v>0</v>
      </c>
      <c r="I130" s="104">
        <f>'外国語実績201201-201712'!N1400</f>
        <v>0</v>
      </c>
      <c r="J130" s="104"/>
      <c r="K130" s="88" t="e">
        <f t="shared" si="168"/>
        <v>#DIV/0!</v>
      </c>
      <c r="L130" s="89">
        <v>0</v>
      </c>
      <c r="M130" s="82">
        <f>'外国語実績201201-201712'!N1440</f>
        <v>0</v>
      </c>
      <c r="N130" s="104">
        <f>'外国語実績201201-201712'!N1452</f>
        <v>0</v>
      </c>
      <c r="O130" s="104"/>
      <c r="P130" s="88" t="e">
        <f t="shared" si="169"/>
        <v>#DIV/0!</v>
      </c>
      <c r="Q130" s="89">
        <v>0</v>
      </c>
      <c r="R130" s="82">
        <f>'外国語実績201201-201712'!N1492</f>
        <v>0</v>
      </c>
      <c r="S130" s="104">
        <f>'外国語実績201201-201712'!N1504</f>
        <v>0</v>
      </c>
      <c r="T130" s="104"/>
      <c r="U130" s="88" t="e">
        <f t="shared" si="170"/>
        <v>#DIV/0!</v>
      </c>
      <c r="V130" s="89">
        <v>24</v>
      </c>
      <c r="W130" s="82">
        <f>'外国語実績201201-201712'!N1544</f>
        <v>9</v>
      </c>
      <c r="X130" s="104">
        <f>'外国語実績201201-201712'!N1556</f>
        <v>9</v>
      </c>
      <c r="Y130" s="104"/>
      <c r="Z130" s="88">
        <f t="shared" si="171"/>
        <v>-1</v>
      </c>
      <c r="AA130" s="89">
        <v>0</v>
      </c>
      <c r="AB130" s="82">
        <f>'外国語実績201201-201712'!N1611</f>
        <v>0</v>
      </c>
      <c r="AC130" s="104">
        <f>'外国語実績201201-201712'!N1623</f>
        <v>0</v>
      </c>
      <c r="AD130" s="104"/>
      <c r="AE130" s="88" t="e">
        <f t="shared" si="172"/>
        <v>#DIV/0!</v>
      </c>
      <c r="AF130" s="89">
        <v>1</v>
      </c>
      <c r="AG130" s="82">
        <f>'外国語実績201201-201712'!N1663</f>
        <v>2</v>
      </c>
      <c r="AH130" s="104">
        <f>'外国語実績201201-201712'!N1675</f>
        <v>2</v>
      </c>
      <c r="AI130" s="104"/>
      <c r="AJ130" s="88">
        <f t="shared" si="173"/>
        <v>-1</v>
      </c>
      <c r="AK130" s="89">
        <v>48</v>
      </c>
      <c r="AL130" s="82">
        <f>'外国語実績201201-201712'!N1715</f>
        <v>46</v>
      </c>
      <c r="AM130" s="104">
        <f>'外国語実績201201-201712'!N1727</f>
        <v>0</v>
      </c>
      <c r="AN130" s="104"/>
      <c r="AO130" s="88" t="e">
        <f t="shared" si="174"/>
        <v>#DIV/0!</v>
      </c>
      <c r="AP130" s="89">
        <v>25</v>
      </c>
      <c r="AQ130" s="82">
        <f>'外国語実績201201-201712'!N1767</f>
        <v>20</v>
      </c>
      <c r="AR130" s="104">
        <f>'外国語実績201201-201712'!N1779</f>
        <v>11</v>
      </c>
      <c r="AS130" s="104"/>
      <c r="AT130" s="88">
        <f t="shared" si="175"/>
        <v>-1</v>
      </c>
      <c r="AU130" s="89">
        <v>0</v>
      </c>
      <c r="AV130" s="82">
        <f>'外国語実績201201-201712'!N1807</f>
        <v>15</v>
      </c>
      <c r="AW130" s="104">
        <f>'外国語実績201201-201712'!N1819</f>
        <v>5</v>
      </c>
      <c r="AX130" s="104"/>
      <c r="AY130" s="88">
        <f t="shared" si="176"/>
        <v>-1</v>
      </c>
      <c r="AZ130" s="89">
        <v>0</v>
      </c>
      <c r="BA130" s="82">
        <f>'外国語実績201201-201712'!N1847</f>
        <v>413</v>
      </c>
      <c r="BB130" s="104">
        <f>'外国語実績201201-201712'!N1859</f>
        <v>333</v>
      </c>
      <c r="BC130" s="104"/>
      <c r="BD130" s="88">
        <f t="shared" si="177"/>
        <v>-1</v>
      </c>
      <c r="BE130" s="82">
        <f>'外国語実績201201-201712'!N1887</f>
        <v>14</v>
      </c>
      <c r="BF130" s="104">
        <f>'外国語実績201201-201712'!N1899</f>
        <v>16</v>
      </c>
      <c r="BG130" s="104"/>
      <c r="BH130" s="88">
        <f t="shared" si="178"/>
        <v>-1</v>
      </c>
      <c r="BI130" s="82">
        <f>'外国語実績201201-201712'!N1927</f>
        <v>0</v>
      </c>
      <c r="BJ130" s="104">
        <f>'外国語実績201201-201712'!N1939</f>
        <v>0</v>
      </c>
      <c r="BK130" s="104"/>
      <c r="BL130" s="88" t="e">
        <f t="shared" si="179"/>
        <v>#DIV/0!</v>
      </c>
      <c r="CL130" s="34"/>
    </row>
    <row r="131" spans="1:90" ht="75" customHeight="1" thickBot="1">
      <c r="A131" s="250" t="s">
        <v>23</v>
      </c>
      <c r="B131" s="451">
        <v>24</v>
      </c>
      <c r="C131" s="449">
        <f>'外国語実績201201-201712'!N1337</f>
        <v>24</v>
      </c>
      <c r="D131" s="437">
        <f>'外国語実績201201-201712'!N1349</f>
        <v>4</v>
      </c>
      <c r="E131" s="437"/>
      <c r="F131" s="447">
        <f t="shared" si="167"/>
        <v>-1</v>
      </c>
      <c r="G131" s="451">
        <v>5</v>
      </c>
      <c r="H131" s="449">
        <f>'外国語実績201201-201712'!N1389</f>
        <v>1</v>
      </c>
      <c r="I131" s="437">
        <f>'外国語実績201201-201712'!N1401</f>
        <v>0</v>
      </c>
      <c r="J131" s="437"/>
      <c r="K131" s="447" t="e">
        <f t="shared" si="168"/>
        <v>#DIV/0!</v>
      </c>
      <c r="L131" s="451">
        <v>0</v>
      </c>
      <c r="M131" s="449">
        <f>'外国語実績201201-201712'!N1441</f>
        <v>0</v>
      </c>
      <c r="N131" s="437">
        <f>'外国語実績201201-201712'!N1453</f>
        <v>0</v>
      </c>
      <c r="O131" s="437"/>
      <c r="P131" s="447" t="e">
        <f t="shared" si="169"/>
        <v>#DIV/0!</v>
      </c>
      <c r="Q131" s="451">
        <v>0</v>
      </c>
      <c r="R131" s="449">
        <f>'外国語実績201201-201712'!N1493</f>
        <v>0</v>
      </c>
      <c r="S131" s="437">
        <f>'外国語実績201201-201712'!N1505</f>
        <v>0</v>
      </c>
      <c r="T131" s="437"/>
      <c r="U131" s="447" t="e">
        <f t="shared" si="170"/>
        <v>#DIV/0!</v>
      </c>
      <c r="V131" s="451">
        <v>17</v>
      </c>
      <c r="W131" s="449">
        <f>'外国語実績201201-201712'!N1545</f>
        <v>18</v>
      </c>
      <c r="X131" s="437">
        <f>'外国語実績201201-201712'!N1557</f>
        <v>1</v>
      </c>
      <c r="Y131" s="437"/>
      <c r="Z131" s="447">
        <f t="shared" si="171"/>
        <v>-1</v>
      </c>
      <c r="AA131" s="451">
        <v>0</v>
      </c>
      <c r="AB131" s="449">
        <f>'外国語実績201201-201712'!N1612</f>
        <v>0</v>
      </c>
      <c r="AC131" s="437">
        <f>'外国語実績201201-201712'!N1624</f>
        <v>0</v>
      </c>
      <c r="AD131" s="437"/>
      <c r="AE131" s="447" t="e">
        <f t="shared" si="172"/>
        <v>#DIV/0!</v>
      </c>
      <c r="AF131" s="451">
        <v>0</v>
      </c>
      <c r="AG131" s="449">
        <f>'外国語実績201201-201712'!N1664</f>
        <v>7</v>
      </c>
      <c r="AH131" s="437">
        <f>'外国語実績201201-201712'!N1676</f>
        <v>1</v>
      </c>
      <c r="AI131" s="437"/>
      <c r="AJ131" s="447">
        <f t="shared" si="173"/>
        <v>-1</v>
      </c>
      <c r="AK131" s="451">
        <v>3</v>
      </c>
      <c r="AL131" s="449">
        <f>'外国語実績201201-201712'!N1716</f>
        <v>1</v>
      </c>
      <c r="AM131" s="437">
        <f>'外国語実績201201-201712'!N1728</f>
        <v>0</v>
      </c>
      <c r="AN131" s="437"/>
      <c r="AO131" s="447" t="e">
        <f t="shared" si="174"/>
        <v>#DIV/0!</v>
      </c>
      <c r="AP131" s="451">
        <v>10</v>
      </c>
      <c r="AQ131" s="449">
        <f>'外国語実績201201-201712'!N1768</f>
        <v>6</v>
      </c>
      <c r="AR131" s="437">
        <f>'外国語実績201201-201712'!N1780</f>
        <v>1</v>
      </c>
      <c r="AS131" s="437"/>
      <c r="AT131" s="447">
        <f t="shared" si="175"/>
        <v>-1</v>
      </c>
      <c r="AU131" s="451">
        <v>0</v>
      </c>
      <c r="AV131" s="449">
        <f>'外国語実績201201-201712'!N1808</f>
        <v>6</v>
      </c>
      <c r="AW131" s="437">
        <f>'外国語実績201201-201712'!N1820</f>
        <v>2</v>
      </c>
      <c r="AX131" s="437"/>
      <c r="AY131" s="447">
        <f t="shared" si="176"/>
        <v>-1</v>
      </c>
      <c r="AZ131" s="451">
        <v>4</v>
      </c>
      <c r="BA131" s="449">
        <f>'外国語実績201201-201712'!N1848</f>
        <v>186</v>
      </c>
      <c r="BB131" s="437">
        <f>'外国語実績201201-201712'!N1860</f>
        <v>27</v>
      </c>
      <c r="BC131" s="437"/>
      <c r="BD131" s="447">
        <f t="shared" si="177"/>
        <v>-1</v>
      </c>
      <c r="BE131" s="449">
        <f>'外国語実績201201-201712'!N1888</f>
        <v>20</v>
      </c>
      <c r="BF131" s="437">
        <f>'外国語実績201201-201712'!N1900</f>
        <v>12</v>
      </c>
      <c r="BG131" s="437"/>
      <c r="BH131" s="447">
        <f t="shared" si="178"/>
        <v>-1</v>
      </c>
      <c r="BI131" s="449">
        <f>'外国語実績201201-201712'!N1928</f>
        <v>0</v>
      </c>
      <c r="BJ131" s="437">
        <f>'外国語実績201201-201712'!N1940</f>
        <v>0</v>
      </c>
      <c r="BK131" s="437"/>
      <c r="BL131" s="447" t="e">
        <f t="shared" si="179"/>
        <v>#DIV/0!</v>
      </c>
      <c r="CL131" s="34"/>
    </row>
    <row r="132" spans="1:90" ht="75" customHeight="1" thickBot="1">
      <c r="A132" s="76" t="s">
        <v>5</v>
      </c>
      <c r="B132" s="90">
        <f>SUM(B120:B131)</f>
        <v>117</v>
      </c>
      <c r="C132" s="87">
        <f>SUM(C120:C131)</f>
        <v>271</v>
      </c>
      <c r="D132" s="96">
        <f t="shared" ref="D132:E132" si="180">SUM(D120:D131)</f>
        <v>347</v>
      </c>
      <c r="E132" s="96">
        <f t="shared" si="180"/>
        <v>9</v>
      </c>
      <c r="F132" s="450">
        <f t="shared" si="167"/>
        <v>-0.97406340057636887</v>
      </c>
      <c r="G132" s="90">
        <f>SUM(G120:G131)</f>
        <v>32</v>
      </c>
      <c r="H132" s="87">
        <f>SUM(H120:H131)</f>
        <v>49</v>
      </c>
      <c r="I132" s="96">
        <f t="shared" ref="I132:J132" si="181">SUM(I120:I131)</f>
        <v>23</v>
      </c>
      <c r="J132" s="96">
        <f t="shared" si="181"/>
        <v>0</v>
      </c>
      <c r="K132" s="450">
        <f t="shared" si="168"/>
        <v>-1</v>
      </c>
      <c r="L132" s="90">
        <f>SUM(L120:L131)</f>
        <v>26</v>
      </c>
      <c r="M132" s="87">
        <f>SUM(M120:M131)</f>
        <v>86</v>
      </c>
      <c r="N132" s="96">
        <f t="shared" ref="N132:O132" si="182">SUM(N120:N131)</f>
        <v>58</v>
      </c>
      <c r="O132" s="96">
        <f t="shared" si="182"/>
        <v>0</v>
      </c>
      <c r="P132" s="450">
        <f t="shared" si="169"/>
        <v>-1</v>
      </c>
      <c r="Q132" s="90">
        <f t="shared" ref="Q132:AZ132" si="183">SUM(Q120:Q131)</f>
        <v>2</v>
      </c>
      <c r="R132" s="87">
        <f>SUM(R120:R131)</f>
        <v>0</v>
      </c>
      <c r="S132" s="96">
        <f t="shared" ref="S132:T132" si="184">SUM(S120:S131)</f>
        <v>0</v>
      </c>
      <c r="T132" s="96">
        <f t="shared" si="184"/>
        <v>0</v>
      </c>
      <c r="U132" s="450" t="e">
        <f t="shared" si="170"/>
        <v>#DIV/0!</v>
      </c>
      <c r="V132" s="90">
        <f t="shared" si="183"/>
        <v>96</v>
      </c>
      <c r="W132" s="87">
        <f>SUM(W120:W131)</f>
        <v>161</v>
      </c>
      <c r="X132" s="96">
        <f t="shared" ref="X132:Y132" si="185">SUM(X120:X131)</f>
        <v>157</v>
      </c>
      <c r="Y132" s="96">
        <f t="shared" si="185"/>
        <v>2</v>
      </c>
      <c r="Z132" s="450">
        <f t="shared" si="171"/>
        <v>-0.98726114649681529</v>
      </c>
      <c r="AA132" s="90">
        <f t="shared" si="183"/>
        <v>1</v>
      </c>
      <c r="AB132" s="87">
        <f>SUM(AB120:AB131)</f>
        <v>117</v>
      </c>
      <c r="AC132" s="96">
        <f t="shared" ref="AC132:AD132" si="186">SUM(AC120:AC131)</f>
        <v>137</v>
      </c>
      <c r="AD132" s="96">
        <f t="shared" si="186"/>
        <v>0</v>
      </c>
      <c r="AE132" s="450">
        <f t="shared" si="172"/>
        <v>-1</v>
      </c>
      <c r="AF132" s="90">
        <f t="shared" si="183"/>
        <v>7</v>
      </c>
      <c r="AG132" s="87">
        <f>SUM(AG120:AG131)</f>
        <v>27</v>
      </c>
      <c r="AH132" s="96">
        <f t="shared" ref="AH132:AI132" si="187">SUM(AH120:AH131)</f>
        <v>20</v>
      </c>
      <c r="AI132" s="96">
        <f t="shared" si="187"/>
        <v>0</v>
      </c>
      <c r="AJ132" s="450">
        <f t="shared" si="173"/>
        <v>-1</v>
      </c>
      <c r="AK132" s="90">
        <f t="shared" si="183"/>
        <v>84</v>
      </c>
      <c r="AL132" s="87">
        <f>SUM(AL120:AL131)</f>
        <v>105</v>
      </c>
      <c r="AM132" s="96">
        <f t="shared" ref="AM132:AN132" si="188">SUM(AM120:AM131)</f>
        <v>0</v>
      </c>
      <c r="AN132" s="96">
        <f t="shared" si="188"/>
        <v>0</v>
      </c>
      <c r="AO132" s="450" t="e">
        <f t="shared" si="174"/>
        <v>#DIV/0!</v>
      </c>
      <c r="AP132" s="90">
        <f t="shared" si="183"/>
        <v>65</v>
      </c>
      <c r="AQ132" s="87">
        <f>SUM(AQ120:AQ131)</f>
        <v>37</v>
      </c>
      <c r="AR132" s="96">
        <f t="shared" ref="AR132:AS132" si="189">SUM(AR120:AR131)</f>
        <v>34</v>
      </c>
      <c r="AS132" s="96">
        <f t="shared" si="189"/>
        <v>0</v>
      </c>
      <c r="AT132" s="450">
        <f t="shared" si="175"/>
        <v>-1</v>
      </c>
      <c r="AU132" s="90">
        <f t="shared" si="183"/>
        <v>3</v>
      </c>
      <c r="AV132" s="87">
        <f>SUM(AV120:AV131)</f>
        <v>121</v>
      </c>
      <c r="AW132" s="96">
        <f t="shared" ref="AW132:AX132" si="190">SUM(AW120:AW131)</f>
        <v>142</v>
      </c>
      <c r="AX132" s="96">
        <f t="shared" si="190"/>
        <v>0</v>
      </c>
      <c r="AY132" s="450">
        <f t="shared" si="176"/>
        <v>-1</v>
      </c>
      <c r="AZ132" s="90">
        <f t="shared" si="183"/>
        <v>4</v>
      </c>
      <c r="BA132" s="87">
        <f>SUM(BA120:BA131)</f>
        <v>1914</v>
      </c>
      <c r="BB132" s="96">
        <f t="shared" ref="BB132:BC132" si="191">SUM(BB120:BB131)</f>
        <v>2712</v>
      </c>
      <c r="BC132" s="96">
        <f t="shared" si="191"/>
        <v>0</v>
      </c>
      <c r="BD132" s="450">
        <f t="shared" si="177"/>
        <v>-1</v>
      </c>
      <c r="BE132" s="87">
        <f>SUM(BE120:BE131)</f>
        <v>230</v>
      </c>
      <c r="BF132" s="96">
        <f t="shared" ref="BF132:BG132" si="192">SUM(BF120:BF131)</f>
        <v>396</v>
      </c>
      <c r="BG132" s="96">
        <f t="shared" si="192"/>
        <v>2</v>
      </c>
      <c r="BH132" s="450">
        <f t="shared" si="178"/>
        <v>-0.99494949494949492</v>
      </c>
      <c r="BI132" s="87">
        <f>SUM(BI120:BI131)</f>
        <v>9</v>
      </c>
      <c r="BJ132" s="96">
        <f t="shared" ref="BJ132:BK132" si="193">SUM(BJ120:BJ131)</f>
        <v>4</v>
      </c>
      <c r="BK132" s="96">
        <f t="shared" si="193"/>
        <v>0</v>
      </c>
      <c r="BL132" s="450">
        <f t="shared" si="179"/>
        <v>-1</v>
      </c>
      <c r="CL132" s="34"/>
    </row>
    <row r="133" spans="1:90" ht="20.100000000000001" customHeight="1" thickBot="1">
      <c r="A133" s="30"/>
      <c r="B133" s="30"/>
      <c r="C133" s="30"/>
      <c r="D133" s="30"/>
      <c r="E133" s="30"/>
      <c r="F133" s="31"/>
      <c r="G133" s="31"/>
      <c r="H133" s="31"/>
      <c r="I133" s="30"/>
      <c r="J133" s="30"/>
      <c r="K133" s="30"/>
      <c r="L133" s="30"/>
      <c r="M133" s="31"/>
      <c r="N133" s="30"/>
      <c r="O133" s="30"/>
      <c r="P133" s="30"/>
      <c r="Q133" s="30"/>
      <c r="R133" s="30"/>
      <c r="S133" s="30"/>
      <c r="T133" s="31"/>
      <c r="U133" s="30"/>
      <c r="V133" s="30"/>
      <c r="W133" s="30"/>
      <c r="X133" s="30"/>
      <c r="Y133" s="30"/>
      <c r="Z133" s="30"/>
      <c r="AA133" s="31"/>
      <c r="AB133" s="30"/>
      <c r="AC133" s="30"/>
      <c r="AD133" s="30"/>
      <c r="AE133" s="30"/>
      <c r="AF133" s="30"/>
      <c r="AG133" s="31"/>
      <c r="AH133" s="30"/>
      <c r="AI133" s="30"/>
      <c r="AJ133" s="30"/>
      <c r="AK133" s="31"/>
      <c r="AL133" s="31"/>
      <c r="AM133" s="31"/>
      <c r="AN133" s="31"/>
      <c r="AO133" s="30"/>
      <c r="AP133" s="30"/>
      <c r="AQ133" s="30"/>
      <c r="AR133" s="30"/>
      <c r="AS133" s="30"/>
      <c r="AT133" s="30"/>
      <c r="AU133" s="31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</row>
    <row r="134" spans="1:90" ht="75" customHeight="1" thickBot="1">
      <c r="A134" s="36" t="s">
        <v>1</v>
      </c>
      <c r="B134" s="462" t="s">
        <v>148</v>
      </c>
      <c r="C134" s="463"/>
      <c r="D134" s="463"/>
      <c r="E134" s="464"/>
      <c r="F134" s="462" t="s">
        <v>149</v>
      </c>
      <c r="G134" s="463"/>
      <c r="H134" s="463"/>
      <c r="I134" s="464"/>
      <c r="J134" s="462" t="s">
        <v>162</v>
      </c>
      <c r="K134" s="463"/>
      <c r="L134" s="463"/>
      <c r="M134" s="464"/>
      <c r="N134" s="462" t="s">
        <v>172</v>
      </c>
      <c r="O134" s="463"/>
      <c r="P134" s="463"/>
      <c r="Q134" s="464"/>
      <c r="R134" s="462" t="s">
        <v>174</v>
      </c>
      <c r="S134" s="463"/>
      <c r="T134" s="463"/>
      <c r="U134" s="464"/>
      <c r="V134" s="462" t="s">
        <v>179</v>
      </c>
      <c r="W134" s="463"/>
      <c r="X134" s="463"/>
      <c r="Y134" s="464"/>
      <c r="Z134" s="462" t="s">
        <v>187</v>
      </c>
      <c r="AA134" s="463"/>
      <c r="AB134" s="463"/>
      <c r="AC134" s="464"/>
      <c r="AD134" s="462" t="s">
        <v>190</v>
      </c>
      <c r="AE134" s="463"/>
      <c r="AF134" s="463"/>
      <c r="AG134" s="464"/>
      <c r="AH134" s="462" t="s">
        <v>197</v>
      </c>
      <c r="AI134" s="463"/>
      <c r="AJ134" s="463"/>
      <c r="AK134" s="464"/>
      <c r="AL134" s="462" t="s">
        <v>199</v>
      </c>
      <c r="AM134" s="463"/>
      <c r="AN134" s="463"/>
      <c r="AO134" s="464"/>
      <c r="AP134" s="462" t="s">
        <v>207</v>
      </c>
      <c r="AQ134" s="463"/>
      <c r="AR134" s="463"/>
      <c r="AS134" s="464"/>
      <c r="AT134" s="462" t="s">
        <v>196</v>
      </c>
      <c r="AU134" s="463"/>
      <c r="AV134" s="463"/>
      <c r="AW134" s="464"/>
      <c r="AX134" s="462" t="s">
        <v>213</v>
      </c>
      <c r="AY134" s="463"/>
      <c r="AZ134" s="463"/>
      <c r="BA134" s="464"/>
      <c r="BB134" s="462" t="s">
        <v>211</v>
      </c>
      <c r="BC134" s="463"/>
      <c r="BD134" s="463"/>
      <c r="BE134" s="464"/>
      <c r="BF134" s="462" t="s">
        <v>210</v>
      </c>
      <c r="BG134" s="463"/>
      <c r="BH134" s="463"/>
      <c r="BI134" s="464"/>
      <c r="BJ134" s="462" t="s">
        <v>212</v>
      </c>
      <c r="BK134" s="463"/>
      <c r="BL134" s="463"/>
      <c r="BM134" s="464"/>
      <c r="BN134" s="30"/>
      <c r="BO134" s="30"/>
      <c r="BP134" s="30"/>
      <c r="BY134" s="30"/>
      <c r="BZ134" s="30"/>
    </row>
    <row r="135" spans="1:90" ht="75" customHeight="1">
      <c r="A135" s="37" t="s">
        <v>6</v>
      </c>
      <c r="B135" s="51" t="s">
        <v>110</v>
      </c>
      <c r="C135" s="39" t="s">
        <v>223</v>
      </c>
      <c r="D135" s="39" t="s">
        <v>287</v>
      </c>
      <c r="E135" s="43" t="s">
        <v>11</v>
      </c>
      <c r="F135" s="51" t="s">
        <v>110</v>
      </c>
      <c r="G135" s="39" t="s">
        <v>223</v>
      </c>
      <c r="H135" s="39" t="s">
        <v>287</v>
      </c>
      <c r="I135" s="43" t="s">
        <v>11</v>
      </c>
      <c r="J135" s="51" t="s">
        <v>110</v>
      </c>
      <c r="K135" s="39" t="s">
        <v>223</v>
      </c>
      <c r="L135" s="39" t="s">
        <v>287</v>
      </c>
      <c r="M135" s="43" t="s">
        <v>11</v>
      </c>
      <c r="N135" s="51" t="s">
        <v>110</v>
      </c>
      <c r="O135" s="39" t="s">
        <v>223</v>
      </c>
      <c r="P135" s="39" t="s">
        <v>287</v>
      </c>
      <c r="Q135" s="43" t="s">
        <v>11</v>
      </c>
      <c r="R135" s="51" t="s">
        <v>110</v>
      </c>
      <c r="S135" s="39" t="s">
        <v>223</v>
      </c>
      <c r="T135" s="39" t="s">
        <v>287</v>
      </c>
      <c r="U135" s="43" t="s">
        <v>11</v>
      </c>
      <c r="V135" s="51" t="s">
        <v>110</v>
      </c>
      <c r="W135" s="39" t="s">
        <v>223</v>
      </c>
      <c r="X135" s="39" t="s">
        <v>287</v>
      </c>
      <c r="Y135" s="43" t="s">
        <v>11</v>
      </c>
      <c r="Z135" s="51" t="s">
        <v>110</v>
      </c>
      <c r="AA135" s="39" t="s">
        <v>223</v>
      </c>
      <c r="AB135" s="39" t="s">
        <v>287</v>
      </c>
      <c r="AC135" s="43" t="s">
        <v>11</v>
      </c>
      <c r="AD135" s="51" t="s">
        <v>110</v>
      </c>
      <c r="AE135" s="39" t="s">
        <v>223</v>
      </c>
      <c r="AF135" s="39" t="s">
        <v>287</v>
      </c>
      <c r="AG135" s="43" t="s">
        <v>11</v>
      </c>
      <c r="AH135" s="51" t="s">
        <v>110</v>
      </c>
      <c r="AI135" s="39" t="s">
        <v>223</v>
      </c>
      <c r="AJ135" s="39" t="s">
        <v>287</v>
      </c>
      <c r="AK135" s="43" t="s">
        <v>11</v>
      </c>
      <c r="AL135" s="51" t="s">
        <v>110</v>
      </c>
      <c r="AM135" s="39" t="s">
        <v>223</v>
      </c>
      <c r="AN135" s="39" t="s">
        <v>287</v>
      </c>
      <c r="AO135" s="43" t="s">
        <v>11</v>
      </c>
      <c r="AP135" s="51" t="s">
        <v>110</v>
      </c>
      <c r="AQ135" s="39" t="s">
        <v>223</v>
      </c>
      <c r="AR135" s="39" t="s">
        <v>287</v>
      </c>
      <c r="AS135" s="43" t="s">
        <v>11</v>
      </c>
      <c r="AT135" s="51" t="s">
        <v>110</v>
      </c>
      <c r="AU135" s="39" t="s">
        <v>223</v>
      </c>
      <c r="AV135" s="39" t="s">
        <v>287</v>
      </c>
      <c r="AW135" s="43" t="s">
        <v>11</v>
      </c>
      <c r="AX135" s="51" t="s">
        <v>110</v>
      </c>
      <c r="AY135" s="39" t="s">
        <v>223</v>
      </c>
      <c r="AZ135" s="39" t="s">
        <v>287</v>
      </c>
      <c r="BA135" s="43" t="s">
        <v>11</v>
      </c>
      <c r="BB135" s="51" t="s">
        <v>110</v>
      </c>
      <c r="BC135" s="39" t="s">
        <v>223</v>
      </c>
      <c r="BD135" s="39" t="s">
        <v>287</v>
      </c>
      <c r="BE135" s="43" t="s">
        <v>11</v>
      </c>
      <c r="BF135" s="51" t="s">
        <v>110</v>
      </c>
      <c r="BG135" s="39" t="s">
        <v>223</v>
      </c>
      <c r="BH135" s="39" t="s">
        <v>287</v>
      </c>
      <c r="BI135" s="43" t="s">
        <v>11</v>
      </c>
      <c r="BJ135" s="51" t="s">
        <v>110</v>
      </c>
      <c r="BK135" s="39" t="s">
        <v>223</v>
      </c>
      <c r="BL135" s="39" t="s">
        <v>287</v>
      </c>
      <c r="BM135" s="43" t="s">
        <v>11</v>
      </c>
      <c r="BN135" s="30"/>
      <c r="BO135" s="30"/>
      <c r="BP135" s="30"/>
    </row>
    <row r="136" spans="1:90" ht="75" customHeight="1">
      <c r="A136" s="71" t="s">
        <v>12</v>
      </c>
      <c r="B136" s="82">
        <f>'外国語実績201201-201712'!N1969</f>
        <v>1</v>
      </c>
      <c r="C136" s="104">
        <f>'外国語実績201201-201712'!N1981</f>
        <v>0</v>
      </c>
      <c r="D136" s="104">
        <f>'外国語実績201201-201712'!N1993</f>
        <v>0</v>
      </c>
      <c r="E136" s="88" t="e">
        <f>(D136-C136)/C136</f>
        <v>#DIV/0!</v>
      </c>
      <c r="F136" s="82">
        <f>'外国語実績201201-201712'!N2009</f>
        <v>0</v>
      </c>
      <c r="G136" s="104">
        <f>'外国語実績201201-201712'!N2021</f>
        <v>19</v>
      </c>
      <c r="H136" s="104">
        <f>'外国語実績201201-201712'!N2033</f>
        <v>0</v>
      </c>
      <c r="I136" s="88">
        <f>(H136-G136)/G136</f>
        <v>-1</v>
      </c>
      <c r="J136" s="82">
        <f>'外国語実績201201-201712'!N2049</f>
        <v>0</v>
      </c>
      <c r="K136" s="104">
        <f>'外国語実績201201-201712'!N2061</f>
        <v>0</v>
      </c>
      <c r="L136" s="104">
        <f>'外国語実績201201-201712'!N2073</f>
        <v>0</v>
      </c>
      <c r="M136" s="88" t="e">
        <f>(L136-K136)/K136</f>
        <v>#DIV/0!</v>
      </c>
      <c r="N136" s="82">
        <f>'外国語実績201201-201712'!N2089</f>
        <v>0</v>
      </c>
      <c r="O136" s="104">
        <f>'外国語実績201201-201712'!N2101</f>
        <v>0</v>
      </c>
      <c r="P136" s="104">
        <f>'外国語実績201201-201712'!N2113</f>
        <v>0</v>
      </c>
      <c r="Q136" s="88" t="e">
        <f>(P136-O136)/O136</f>
        <v>#DIV/0!</v>
      </c>
      <c r="R136" s="82">
        <f>'外国語実績201201-201712'!N2129</f>
        <v>0</v>
      </c>
      <c r="S136" s="104">
        <f>'外国語実績201201-201712'!N2141</f>
        <v>0</v>
      </c>
      <c r="T136" s="104">
        <f>'外国語実績201201-201712'!N2153</f>
        <v>0</v>
      </c>
      <c r="U136" s="88" t="e">
        <f>(T136-S136)/S136</f>
        <v>#DIV/0!</v>
      </c>
      <c r="V136" s="82"/>
      <c r="W136" s="104">
        <f>'外国語実績201201-201712'!N2194</f>
        <v>0</v>
      </c>
      <c r="X136" s="104">
        <f>'外国語実績201201-201712'!N2206</f>
        <v>2</v>
      </c>
      <c r="Y136" s="88" t="e">
        <f>(X136-W136)/W136</f>
        <v>#DIV/0!</v>
      </c>
      <c r="Z136" s="82"/>
      <c r="AA136" s="104">
        <f>'外国語実績201201-201712'!N2236</f>
        <v>0</v>
      </c>
      <c r="AB136" s="104">
        <f>'外国語実績201201-201712'!N2248</f>
        <v>0</v>
      </c>
      <c r="AC136" s="88" t="e">
        <f>(AB136-AA136)/AA136</f>
        <v>#DIV/0!</v>
      </c>
      <c r="AD136" s="82"/>
      <c r="AE136" s="104">
        <f>'外国語実績201201-201712'!N2265</f>
        <v>9</v>
      </c>
      <c r="AF136" s="104">
        <f>'外国語実績201201-201712'!N2277</f>
        <v>0</v>
      </c>
      <c r="AG136" s="88">
        <f>(AF136-AE136)/AE136</f>
        <v>-1</v>
      </c>
      <c r="AH136" s="82"/>
      <c r="AI136" s="104">
        <f>'外国語実績201201-201712'!N2293</f>
        <v>0</v>
      </c>
      <c r="AJ136" s="104">
        <f>'外国語実績201201-201712'!N2305</f>
        <v>0</v>
      </c>
      <c r="AK136" s="88" t="e">
        <f>(AJ136-AI136)/AI136</f>
        <v>#DIV/0!</v>
      </c>
      <c r="AL136" s="82"/>
      <c r="AM136" s="104">
        <f>'外国語実績201201-201712'!N2328</f>
        <v>3</v>
      </c>
      <c r="AN136" s="104">
        <f>'外国語実績201201-201712'!N2340</f>
        <v>0</v>
      </c>
      <c r="AO136" s="88">
        <f>(AN136-AM136)/AM136</f>
        <v>-1</v>
      </c>
      <c r="AP136" s="82"/>
      <c r="AQ136" s="104">
        <f>'外国語実績201201-201712'!N2356</f>
        <v>1</v>
      </c>
      <c r="AR136" s="104">
        <f>'外国語実績201201-201712'!N2368</f>
        <v>0</v>
      </c>
      <c r="AS136" s="88">
        <f>(AR136-AQ136)/AQ136</f>
        <v>-1</v>
      </c>
      <c r="AT136" s="82"/>
      <c r="AU136" s="104">
        <f>'外国語実績201201-201712'!N2384</f>
        <v>0</v>
      </c>
      <c r="AV136" s="104">
        <f>'外国語実績201201-201712'!N2396</f>
        <v>0</v>
      </c>
      <c r="AW136" s="88" t="e">
        <f>(AV136-AU136)/AU136</f>
        <v>#DIV/0!</v>
      </c>
      <c r="AX136" s="82"/>
      <c r="AY136" s="104">
        <f>'外国語実績201201-201712'!N2412</f>
        <v>3</v>
      </c>
      <c r="AZ136" s="104">
        <f>'外国語実績201201-201712'!N2424</f>
        <v>0</v>
      </c>
      <c r="BA136" s="88">
        <f>(AZ136-AY136)/AY136</f>
        <v>-1</v>
      </c>
      <c r="BB136" s="82"/>
      <c r="BC136" s="104">
        <f>'外国語実績201201-201712'!N2440</f>
        <v>4</v>
      </c>
      <c r="BD136" s="104">
        <f>'外国語実績201201-201712'!N2452</f>
        <v>0</v>
      </c>
      <c r="BE136" s="88">
        <f>(BD136-BC136)/BC136</f>
        <v>-1</v>
      </c>
      <c r="BF136" s="82"/>
      <c r="BG136" s="104">
        <f>'外国語実績201201-201712'!N2468</f>
        <v>2</v>
      </c>
      <c r="BH136" s="104">
        <f>'外国語実績201201-201712'!N2480</f>
        <v>0</v>
      </c>
      <c r="BI136" s="88">
        <f>(BH136-BG136)/BG136</f>
        <v>-1</v>
      </c>
      <c r="BJ136" s="82"/>
      <c r="BK136" s="104">
        <f>'外国語実績201201-201712'!N2499</f>
        <v>2</v>
      </c>
      <c r="BL136" s="104">
        <f>'外国語実績201201-201712'!N2511</f>
        <v>0</v>
      </c>
      <c r="BM136" s="88">
        <f>(BL136-BK136)/BK136</f>
        <v>-1</v>
      </c>
      <c r="BN136" s="30"/>
      <c r="BO136" s="30"/>
      <c r="BP136" s="30"/>
    </row>
    <row r="137" spans="1:90" ht="75" customHeight="1">
      <c r="A137" s="71" t="s">
        <v>13</v>
      </c>
      <c r="B137" s="82">
        <f>'外国語実績201201-201712'!N1970</f>
        <v>1</v>
      </c>
      <c r="C137" s="104">
        <f>'外国語実績201201-201712'!N1982</f>
        <v>2</v>
      </c>
      <c r="D137" s="104">
        <f>'外国語実績201201-201712'!N1994</f>
        <v>0</v>
      </c>
      <c r="E137" s="88">
        <f t="shared" ref="E137:E148" si="194">(D137-C137)/C137</f>
        <v>-1</v>
      </c>
      <c r="F137" s="82">
        <f>'外国語実績201201-201712'!N2010</f>
        <v>9</v>
      </c>
      <c r="G137" s="104">
        <f>'外国語実績201201-201712'!N2022</f>
        <v>27</v>
      </c>
      <c r="H137" s="104">
        <f>'外国語実績201201-201712'!N2034</f>
        <v>0</v>
      </c>
      <c r="I137" s="88">
        <f t="shared" ref="I137:I148" si="195">(H137-G137)/G137</f>
        <v>-1</v>
      </c>
      <c r="J137" s="82">
        <f>'外国語実績201201-201712'!N2050</f>
        <v>0</v>
      </c>
      <c r="K137" s="104">
        <f>'外国語実績201201-201712'!N2062</f>
        <v>0</v>
      </c>
      <c r="L137" s="104">
        <f>'外国語実績201201-201712'!N2074</f>
        <v>0</v>
      </c>
      <c r="M137" s="88" t="e">
        <f t="shared" ref="M137:M148" si="196">(L137-K137)/K137</f>
        <v>#DIV/0!</v>
      </c>
      <c r="N137" s="82">
        <f>'外国語実績201201-201712'!N2090</f>
        <v>0</v>
      </c>
      <c r="O137" s="104">
        <f>'外国語実績201201-201712'!N2102</f>
        <v>0</v>
      </c>
      <c r="P137" s="104">
        <f>'外国語実績201201-201712'!N2114</f>
        <v>0</v>
      </c>
      <c r="Q137" s="88" t="e">
        <f t="shared" ref="Q137:Q148" si="197">(P137-O137)/O137</f>
        <v>#DIV/0!</v>
      </c>
      <c r="R137" s="82">
        <f>'外国語実績201201-201712'!N2130</f>
        <v>0</v>
      </c>
      <c r="S137" s="104">
        <f>'外国語実績201201-201712'!N2142</f>
        <v>0</v>
      </c>
      <c r="T137" s="104">
        <f>'外国語実績201201-201712'!N2154</f>
        <v>0</v>
      </c>
      <c r="U137" s="88" t="e">
        <f t="shared" ref="U137:U148" si="198">(T137-S137)/S137</f>
        <v>#DIV/0!</v>
      </c>
      <c r="V137" s="82"/>
      <c r="W137" s="104">
        <f>'外国語実績201201-201712'!N2195</f>
        <v>0</v>
      </c>
      <c r="X137" s="104">
        <f>'外国語実績201201-201712'!N2207</f>
        <v>0</v>
      </c>
      <c r="Y137" s="88" t="e">
        <f t="shared" ref="Y137:Y148" si="199">(X137-W137)/W137</f>
        <v>#DIV/0!</v>
      </c>
      <c r="Z137" s="82"/>
      <c r="AA137" s="104">
        <f>'外国語実績201201-201712'!N2237</f>
        <v>0</v>
      </c>
      <c r="AB137" s="104">
        <f>'外国語実績201201-201712'!N2249</f>
        <v>0</v>
      </c>
      <c r="AC137" s="88" t="e">
        <f t="shared" ref="AC137:AC148" si="200">(AB137-AA137)/AA137</f>
        <v>#DIV/0!</v>
      </c>
      <c r="AD137" s="82"/>
      <c r="AE137" s="104">
        <f>'外国語実績201201-201712'!N2266</f>
        <v>2</v>
      </c>
      <c r="AF137" s="104">
        <f>'外国語実績201201-201712'!N2278</f>
        <v>0</v>
      </c>
      <c r="AG137" s="88">
        <f t="shared" ref="AG137:AG148" si="201">(AF137-AE137)/AE137</f>
        <v>-1</v>
      </c>
      <c r="AH137" s="82"/>
      <c r="AI137" s="104">
        <f>'外国語実績201201-201712'!N2294</f>
        <v>0</v>
      </c>
      <c r="AJ137" s="104">
        <f>'外国語実績201201-201712'!N2306</f>
        <v>0</v>
      </c>
      <c r="AK137" s="88" t="e">
        <f t="shared" ref="AK137:AK148" si="202">(AJ137-AI137)/AI137</f>
        <v>#DIV/0!</v>
      </c>
      <c r="AL137" s="82"/>
      <c r="AM137" s="104">
        <f>'外国語実績201201-201712'!N2329</f>
        <v>2</v>
      </c>
      <c r="AN137" s="104">
        <f>'外国語実績201201-201712'!N2341</f>
        <v>0</v>
      </c>
      <c r="AO137" s="88">
        <f t="shared" ref="AO137:AO148" si="203">(AN137-AM137)/AM137</f>
        <v>-1</v>
      </c>
      <c r="AP137" s="82"/>
      <c r="AQ137" s="104">
        <f>'外国語実績201201-201712'!N2357</f>
        <v>0</v>
      </c>
      <c r="AR137" s="104">
        <f>'外国語実績201201-201712'!N2369</f>
        <v>0</v>
      </c>
      <c r="AS137" s="88" t="e">
        <f t="shared" ref="AS137:AS148" si="204">(AR137-AQ137)/AQ137</f>
        <v>#DIV/0!</v>
      </c>
      <c r="AT137" s="82"/>
      <c r="AU137" s="104">
        <f>'外国語実績201201-201712'!N2385</f>
        <v>2</v>
      </c>
      <c r="AV137" s="104">
        <f>'外国語実績201201-201712'!N2397</f>
        <v>0</v>
      </c>
      <c r="AW137" s="88">
        <f t="shared" ref="AW137:AW148" si="205">(AV137-AU137)/AU137</f>
        <v>-1</v>
      </c>
      <c r="AX137" s="82"/>
      <c r="AY137" s="104">
        <f>'外国語実績201201-201712'!N2413</f>
        <v>0</v>
      </c>
      <c r="AZ137" s="104">
        <f>'外国語実績201201-201712'!N2425</f>
        <v>0</v>
      </c>
      <c r="BA137" s="88" t="e">
        <f t="shared" ref="BA137:BA148" si="206">(AZ137-AY137)/AY137</f>
        <v>#DIV/0!</v>
      </c>
      <c r="BB137" s="82"/>
      <c r="BC137" s="104">
        <f>'外国語実績201201-201712'!N2441</f>
        <v>2</v>
      </c>
      <c r="BD137" s="104">
        <f>'外国語実績201201-201712'!N2453</f>
        <v>0</v>
      </c>
      <c r="BE137" s="88">
        <f t="shared" ref="BE137:BE148" si="207">(BD137-BC137)/BC137</f>
        <v>-1</v>
      </c>
      <c r="BF137" s="82"/>
      <c r="BG137" s="104">
        <f>'外国語実績201201-201712'!N2469</f>
        <v>1</v>
      </c>
      <c r="BH137" s="104">
        <f>'外国語実績201201-201712'!N2481</f>
        <v>0</v>
      </c>
      <c r="BI137" s="88">
        <f t="shared" ref="BI137:BI148" si="208">(BH137-BG137)/BG137</f>
        <v>-1</v>
      </c>
      <c r="BJ137" s="82"/>
      <c r="BK137" s="104">
        <f>'外国語実績201201-201712'!N2500</f>
        <v>0</v>
      </c>
      <c r="BL137" s="104">
        <f>'外国語実績201201-201712'!N2512</f>
        <v>0</v>
      </c>
      <c r="BM137" s="88" t="e">
        <f t="shared" ref="BM137:BM148" si="209">(BL137-BK137)/BK137</f>
        <v>#DIV/0!</v>
      </c>
      <c r="BN137" s="30"/>
      <c r="BO137" s="30"/>
      <c r="BP137" s="30"/>
    </row>
    <row r="138" spans="1:90" ht="75" customHeight="1">
      <c r="A138" s="72" t="s">
        <v>14</v>
      </c>
      <c r="B138" s="82">
        <f>'外国語実績201201-201712'!N1971</f>
        <v>0</v>
      </c>
      <c r="C138" s="104">
        <f>'外国語実績201201-201712'!N1983</f>
        <v>0</v>
      </c>
      <c r="D138" s="104">
        <f>'外国語実績201201-201712'!N1995</f>
        <v>2</v>
      </c>
      <c r="E138" s="88" t="e">
        <f t="shared" si="194"/>
        <v>#DIV/0!</v>
      </c>
      <c r="F138" s="82">
        <f>'外国語実績201201-201712'!N2011</f>
        <v>0</v>
      </c>
      <c r="G138" s="104">
        <f>'外国語実績201201-201712'!N2023</f>
        <v>30</v>
      </c>
      <c r="H138" s="104">
        <f>'外国語実績201201-201712'!N2035</f>
        <v>0</v>
      </c>
      <c r="I138" s="88">
        <f t="shared" si="195"/>
        <v>-1</v>
      </c>
      <c r="J138" s="82">
        <f>'外国語実績201201-201712'!N2051</f>
        <v>14</v>
      </c>
      <c r="K138" s="104">
        <f>'外国語実績201201-201712'!N2063</f>
        <v>7</v>
      </c>
      <c r="L138" s="104">
        <f>'外国語実績201201-201712'!N2075</f>
        <v>0</v>
      </c>
      <c r="M138" s="88">
        <f t="shared" si="196"/>
        <v>-1</v>
      </c>
      <c r="N138" s="82">
        <f>'外国語実績201201-201712'!N2091</f>
        <v>1</v>
      </c>
      <c r="O138" s="104">
        <f>'外国語実績201201-201712'!N2103</f>
        <v>0</v>
      </c>
      <c r="P138" s="104">
        <f>'外国語実績201201-201712'!N2115</f>
        <v>0</v>
      </c>
      <c r="Q138" s="88" t="e">
        <f t="shared" si="197"/>
        <v>#DIV/0!</v>
      </c>
      <c r="R138" s="82">
        <f>'外国語実績201201-201712'!N2131</f>
        <v>0</v>
      </c>
      <c r="S138" s="104">
        <f>'外国語実績201201-201712'!N2143</f>
        <v>0</v>
      </c>
      <c r="T138" s="104">
        <f>'外国語実績201201-201712'!N2155</f>
        <v>0</v>
      </c>
      <c r="U138" s="88" t="e">
        <f t="shared" si="198"/>
        <v>#DIV/0!</v>
      </c>
      <c r="V138" s="82"/>
      <c r="W138" s="104">
        <f>'外国語実績201201-201712'!N2196</f>
        <v>1</v>
      </c>
      <c r="X138" s="104">
        <f>'外国語実績201201-201712'!N2208</f>
        <v>0</v>
      </c>
      <c r="Y138" s="88">
        <f t="shared" si="199"/>
        <v>-1</v>
      </c>
      <c r="Z138" s="82"/>
      <c r="AA138" s="104">
        <f>'外国語実績201201-201712'!N2238</f>
        <v>0</v>
      </c>
      <c r="AB138" s="104">
        <f>'外国語実績201201-201712'!N2250</f>
        <v>0</v>
      </c>
      <c r="AC138" s="88" t="e">
        <f t="shared" si="200"/>
        <v>#DIV/0!</v>
      </c>
      <c r="AD138" s="82"/>
      <c r="AE138" s="104">
        <f>'外国語実績201201-201712'!N2267</f>
        <v>9</v>
      </c>
      <c r="AF138" s="104">
        <f>'外国語実績201201-201712'!N2279</f>
        <v>0</v>
      </c>
      <c r="AG138" s="88">
        <f t="shared" si="201"/>
        <v>-1</v>
      </c>
      <c r="AH138" s="82"/>
      <c r="AI138" s="104">
        <f>'外国語実績201201-201712'!N2295</f>
        <v>4</v>
      </c>
      <c r="AJ138" s="104">
        <f>'外国語実績201201-201712'!N2307</f>
        <v>1</v>
      </c>
      <c r="AK138" s="88">
        <f t="shared" si="202"/>
        <v>-0.75</v>
      </c>
      <c r="AL138" s="82"/>
      <c r="AM138" s="104">
        <f>'外国語実績201201-201712'!N2330</f>
        <v>3</v>
      </c>
      <c r="AN138" s="104">
        <f>'外国語実績201201-201712'!N2342</f>
        <v>0</v>
      </c>
      <c r="AO138" s="88">
        <f t="shared" si="203"/>
        <v>-1</v>
      </c>
      <c r="AP138" s="82"/>
      <c r="AQ138" s="104">
        <f>'外国語実績201201-201712'!N2358</f>
        <v>4</v>
      </c>
      <c r="AR138" s="104">
        <f>'外国語実績201201-201712'!N2370</f>
        <v>0</v>
      </c>
      <c r="AS138" s="88">
        <f t="shared" si="204"/>
        <v>-1</v>
      </c>
      <c r="AT138" s="82"/>
      <c r="AU138" s="104">
        <f>'外国語実績201201-201712'!N2386</f>
        <v>3</v>
      </c>
      <c r="AV138" s="104">
        <f>'外国語実績201201-201712'!N2398</f>
        <v>0</v>
      </c>
      <c r="AW138" s="88">
        <f t="shared" si="205"/>
        <v>-1</v>
      </c>
      <c r="AX138" s="82"/>
      <c r="AY138" s="104">
        <f>'外国語実績201201-201712'!N2414</f>
        <v>1</v>
      </c>
      <c r="AZ138" s="104">
        <f>'外国語実績201201-201712'!N2426</f>
        <v>0</v>
      </c>
      <c r="BA138" s="88">
        <f t="shared" si="206"/>
        <v>-1</v>
      </c>
      <c r="BB138" s="82"/>
      <c r="BC138" s="104">
        <f>'外国語実績201201-201712'!N2442</f>
        <v>0</v>
      </c>
      <c r="BD138" s="104">
        <f>'外国語実績201201-201712'!N2454</f>
        <v>0</v>
      </c>
      <c r="BE138" s="88" t="e">
        <f t="shared" si="207"/>
        <v>#DIV/0!</v>
      </c>
      <c r="BF138" s="82"/>
      <c r="BG138" s="104">
        <f>'外国語実績201201-201712'!N2470</f>
        <v>1</v>
      </c>
      <c r="BH138" s="104">
        <f>'外国語実績201201-201712'!N2482</f>
        <v>0</v>
      </c>
      <c r="BI138" s="88">
        <f t="shared" si="208"/>
        <v>-1</v>
      </c>
      <c r="BJ138" s="82"/>
      <c r="BK138" s="104">
        <f>'外国語実績201201-201712'!N2501</f>
        <v>0</v>
      </c>
      <c r="BL138" s="104">
        <f>'外国語実績201201-201712'!N2513</f>
        <v>0</v>
      </c>
      <c r="BM138" s="88" t="e">
        <f t="shared" si="209"/>
        <v>#DIV/0!</v>
      </c>
      <c r="BN138" s="30"/>
      <c r="BO138" s="30"/>
      <c r="BP138" s="30"/>
    </row>
    <row r="139" spans="1:90" ht="75" customHeight="1">
      <c r="A139" s="73" t="s">
        <v>15</v>
      </c>
      <c r="B139" s="82">
        <f>'外国語実績201201-201712'!N1972</f>
        <v>5</v>
      </c>
      <c r="C139" s="104">
        <f>'外国語実績201201-201712'!N1984</f>
        <v>4</v>
      </c>
      <c r="D139" s="104">
        <f>'外国語実績201201-201712'!N1996</f>
        <v>0</v>
      </c>
      <c r="E139" s="88">
        <f t="shared" si="194"/>
        <v>-1</v>
      </c>
      <c r="F139" s="82">
        <f>'外国語実績201201-201712'!N2012</f>
        <v>2</v>
      </c>
      <c r="G139" s="104">
        <f>'外国語実績201201-201712'!N2024</f>
        <v>5</v>
      </c>
      <c r="H139" s="104">
        <f>'外国語実績201201-201712'!N2036</f>
        <v>0</v>
      </c>
      <c r="I139" s="88">
        <f t="shared" si="195"/>
        <v>-1</v>
      </c>
      <c r="J139" s="82">
        <f>'外国語実績201201-201712'!N2052</f>
        <v>12</v>
      </c>
      <c r="K139" s="104">
        <f>'外国語実績201201-201712'!N2064</f>
        <v>0</v>
      </c>
      <c r="L139" s="104">
        <f>'外国語実績201201-201712'!N2076</f>
        <v>0</v>
      </c>
      <c r="M139" s="88" t="e">
        <f t="shared" si="196"/>
        <v>#DIV/0!</v>
      </c>
      <c r="N139" s="82">
        <f>'外国語実績201201-201712'!N2092</f>
        <v>0</v>
      </c>
      <c r="O139" s="104">
        <f>'外国語実績201201-201712'!N2104</f>
        <v>0</v>
      </c>
      <c r="P139" s="104">
        <f>'外国語実績201201-201712'!N2116</f>
        <v>0</v>
      </c>
      <c r="Q139" s="88" t="e">
        <f t="shared" si="197"/>
        <v>#DIV/0!</v>
      </c>
      <c r="R139" s="82">
        <f>'外国語実績201201-201712'!N2132</f>
        <v>1</v>
      </c>
      <c r="S139" s="104">
        <f>'外国語実績201201-201712'!N2144</f>
        <v>1</v>
      </c>
      <c r="T139" s="104">
        <f>'外国語実績201201-201712'!N2156</f>
        <v>0</v>
      </c>
      <c r="U139" s="88">
        <f t="shared" si="198"/>
        <v>-1</v>
      </c>
      <c r="V139" s="82">
        <f>'外国語実績201201-201712'!N2185</f>
        <v>1</v>
      </c>
      <c r="W139" s="104">
        <f>'外国語実績201201-201712'!N2197</f>
        <v>0</v>
      </c>
      <c r="X139" s="104">
        <f>'外国語実績201201-201712'!N2209</f>
        <v>0</v>
      </c>
      <c r="Y139" s="88" t="e">
        <f t="shared" si="199"/>
        <v>#DIV/0!</v>
      </c>
      <c r="Z139" s="82"/>
      <c r="AA139" s="104">
        <f>'外国語実績201201-201712'!N2239</f>
        <v>0</v>
      </c>
      <c r="AB139" s="104">
        <f>'外国語実績201201-201712'!N2251</f>
        <v>0</v>
      </c>
      <c r="AC139" s="88" t="e">
        <f t="shared" si="200"/>
        <v>#DIV/0!</v>
      </c>
      <c r="AD139" s="82"/>
      <c r="AE139" s="104">
        <f>'外国語実績201201-201712'!N2268</f>
        <v>4</v>
      </c>
      <c r="AF139" s="104">
        <f>'外国語実績201201-201712'!N2280</f>
        <v>0</v>
      </c>
      <c r="AG139" s="88">
        <f t="shared" si="201"/>
        <v>-1</v>
      </c>
      <c r="AH139" s="82"/>
      <c r="AI139" s="104">
        <f>'外国語実績201201-201712'!N2296</f>
        <v>3</v>
      </c>
      <c r="AJ139" s="104">
        <f>'外国語実績201201-201712'!N2308</f>
        <v>0</v>
      </c>
      <c r="AK139" s="88">
        <f t="shared" si="202"/>
        <v>-1</v>
      </c>
      <c r="AL139" s="82"/>
      <c r="AM139" s="104">
        <f>'外国語実績201201-201712'!N2331</f>
        <v>2</v>
      </c>
      <c r="AN139" s="104">
        <f>'外国語実績201201-201712'!N2343</f>
        <v>0</v>
      </c>
      <c r="AO139" s="88">
        <f t="shared" si="203"/>
        <v>-1</v>
      </c>
      <c r="AP139" s="82"/>
      <c r="AQ139" s="104">
        <f>'外国語実績201201-201712'!N2359</f>
        <v>8</v>
      </c>
      <c r="AR139" s="104">
        <f>'外国語実績201201-201712'!N2371</f>
        <v>0</v>
      </c>
      <c r="AS139" s="88">
        <f t="shared" si="204"/>
        <v>-1</v>
      </c>
      <c r="AT139" s="82"/>
      <c r="AU139" s="104">
        <f>'外国語実績201201-201712'!N2387</f>
        <v>2</v>
      </c>
      <c r="AV139" s="104">
        <f>'外国語実績201201-201712'!N2399</f>
        <v>0</v>
      </c>
      <c r="AW139" s="88">
        <f t="shared" si="205"/>
        <v>-1</v>
      </c>
      <c r="AX139" s="82"/>
      <c r="AY139" s="104">
        <f>'外国語実績201201-201712'!N2415</f>
        <v>3</v>
      </c>
      <c r="AZ139" s="104">
        <f>'外国語実績201201-201712'!N2427</f>
        <v>0</v>
      </c>
      <c r="BA139" s="88">
        <f t="shared" si="206"/>
        <v>-1</v>
      </c>
      <c r="BB139" s="82"/>
      <c r="BC139" s="104">
        <f>'外国語実績201201-201712'!N2443</f>
        <v>0</v>
      </c>
      <c r="BD139" s="104">
        <f>'外国語実績201201-201712'!N2455</f>
        <v>0</v>
      </c>
      <c r="BE139" s="88" t="e">
        <f t="shared" si="207"/>
        <v>#DIV/0!</v>
      </c>
      <c r="BF139" s="82"/>
      <c r="BG139" s="104">
        <f>'外国語実績201201-201712'!N2471</f>
        <v>0</v>
      </c>
      <c r="BH139" s="104">
        <f>'外国語実績201201-201712'!N2483</f>
        <v>0</v>
      </c>
      <c r="BI139" s="88" t="e">
        <f t="shared" si="208"/>
        <v>#DIV/0!</v>
      </c>
      <c r="BJ139" s="82"/>
      <c r="BK139" s="104">
        <f>'外国語実績201201-201712'!N2502</f>
        <v>0</v>
      </c>
      <c r="BL139" s="104">
        <f>'外国語実績201201-201712'!N2514</f>
        <v>0</v>
      </c>
      <c r="BM139" s="88" t="e">
        <f t="shared" si="209"/>
        <v>#DIV/0!</v>
      </c>
      <c r="BN139" s="30"/>
      <c r="BO139" s="30"/>
      <c r="BP139" s="30"/>
    </row>
    <row r="140" spans="1:90" ht="75" customHeight="1">
      <c r="A140" s="71" t="s">
        <v>16</v>
      </c>
      <c r="B140" s="82">
        <f>'外国語実績201201-201712'!N1973</f>
        <v>0</v>
      </c>
      <c r="C140" s="104">
        <f>'外国語実績201201-201712'!N1985</f>
        <v>3</v>
      </c>
      <c r="D140" s="104">
        <f>'外国語実績201201-201712'!N1997</f>
        <v>0</v>
      </c>
      <c r="E140" s="88">
        <f t="shared" si="194"/>
        <v>-1</v>
      </c>
      <c r="F140" s="82">
        <f>'外国語実績201201-201712'!N2013</f>
        <v>2</v>
      </c>
      <c r="G140" s="104">
        <f>'外国語実績201201-201712'!N2025</f>
        <v>9</v>
      </c>
      <c r="H140" s="104">
        <f>'外国語実績201201-201712'!N2037</f>
        <v>0</v>
      </c>
      <c r="I140" s="88">
        <f t="shared" si="195"/>
        <v>-1</v>
      </c>
      <c r="J140" s="82">
        <f>'外国語実績201201-201712'!N2053</f>
        <v>19</v>
      </c>
      <c r="K140" s="104">
        <f>'外国語実績201201-201712'!N2065</f>
        <v>1</v>
      </c>
      <c r="L140" s="104">
        <f>'外国語実績201201-201712'!N2077</f>
        <v>0</v>
      </c>
      <c r="M140" s="88">
        <f t="shared" si="196"/>
        <v>-1</v>
      </c>
      <c r="N140" s="82">
        <f>'外国語実績201201-201712'!N2093</f>
        <v>0</v>
      </c>
      <c r="O140" s="104">
        <f>'外国語実績201201-201712'!N2105</f>
        <v>0</v>
      </c>
      <c r="P140" s="104">
        <f>'外国語実績201201-201712'!N2117</f>
        <v>0</v>
      </c>
      <c r="Q140" s="88" t="e">
        <f t="shared" si="197"/>
        <v>#DIV/0!</v>
      </c>
      <c r="R140" s="82">
        <f>'外国語実績201201-201712'!N2133</f>
        <v>3</v>
      </c>
      <c r="S140" s="104">
        <f>'外国語実績201201-201712'!N2145</f>
        <v>2</v>
      </c>
      <c r="T140" s="104">
        <f>'外国語実績201201-201712'!N2157</f>
        <v>0</v>
      </c>
      <c r="U140" s="88">
        <f t="shared" si="198"/>
        <v>-1</v>
      </c>
      <c r="V140" s="82">
        <f>'外国語実績201201-201712'!N2186</f>
        <v>0</v>
      </c>
      <c r="W140" s="104">
        <f>'外国語実績201201-201712'!N2198</f>
        <v>1</v>
      </c>
      <c r="X140" s="104">
        <f>'外国語実績201201-201712'!N2210</f>
        <v>0</v>
      </c>
      <c r="Y140" s="88">
        <f t="shared" si="199"/>
        <v>-1</v>
      </c>
      <c r="Z140" s="82"/>
      <c r="AA140" s="104">
        <f>'外国語実績201201-201712'!N2240</f>
        <v>0</v>
      </c>
      <c r="AB140" s="104">
        <f>'外国語実績201201-201712'!N2252</f>
        <v>0</v>
      </c>
      <c r="AC140" s="88" t="e">
        <f t="shared" si="200"/>
        <v>#DIV/0!</v>
      </c>
      <c r="AD140" s="82"/>
      <c r="AE140" s="104">
        <f>'外国語実績201201-201712'!N2269</f>
        <v>8</v>
      </c>
      <c r="AF140" s="104">
        <f>'外国語実績201201-201712'!N2281</f>
        <v>0</v>
      </c>
      <c r="AG140" s="88">
        <f t="shared" si="201"/>
        <v>-1</v>
      </c>
      <c r="AH140" s="82"/>
      <c r="AI140" s="104">
        <f>'外国語実績201201-201712'!N2297</f>
        <v>4</v>
      </c>
      <c r="AJ140" s="104">
        <f>'外国語実績201201-201712'!N2309</f>
        <v>0</v>
      </c>
      <c r="AK140" s="88">
        <f t="shared" si="202"/>
        <v>-1</v>
      </c>
      <c r="AL140" s="82"/>
      <c r="AM140" s="104">
        <f>'外国語実績201201-201712'!N2332</f>
        <v>3</v>
      </c>
      <c r="AN140" s="104">
        <f>'外国語実績201201-201712'!N2344</f>
        <v>0</v>
      </c>
      <c r="AO140" s="88">
        <f t="shared" si="203"/>
        <v>-1</v>
      </c>
      <c r="AP140" s="82"/>
      <c r="AQ140" s="104">
        <f>'外国語実績201201-201712'!N2360</f>
        <v>4</v>
      </c>
      <c r="AR140" s="104">
        <f>'外国語実績201201-201712'!N2372</f>
        <v>0</v>
      </c>
      <c r="AS140" s="88">
        <f t="shared" si="204"/>
        <v>-1</v>
      </c>
      <c r="AT140" s="82"/>
      <c r="AU140" s="104">
        <f>'外国語実績201201-201712'!N2388</f>
        <v>4</v>
      </c>
      <c r="AV140" s="104">
        <f>'外国語実績201201-201712'!N2400</f>
        <v>0</v>
      </c>
      <c r="AW140" s="88">
        <f t="shared" si="205"/>
        <v>-1</v>
      </c>
      <c r="AX140" s="82"/>
      <c r="AY140" s="104">
        <f>'外国語実績201201-201712'!N2416</f>
        <v>3</v>
      </c>
      <c r="AZ140" s="104">
        <f>'外国語実績201201-201712'!N2428</f>
        <v>0</v>
      </c>
      <c r="BA140" s="88">
        <f t="shared" si="206"/>
        <v>-1</v>
      </c>
      <c r="BB140" s="82"/>
      <c r="BC140" s="104">
        <f>'外国語実績201201-201712'!N2444</f>
        <v>6</v>
      </c>
      <c r="BD140" s="104">
        <f>'外国語実績201201-201712'!N2456</f>
        <v>0</v>
      </c>
      <c r="BE140" s="88">
        <f t="shared" si="207"/>
        <v>-1</v>
      </c>
      <c r="BF140" s="82"/>
      <c r="BG140" s="104">
        <f>'外国語実績201201-201712'!N2472</f>
        <v>2</v>
      </c>
      <c r="BH140" s="104">
        <f>'外国語実績201201-201712'!N2484</f>
        <v>0</v>
      </c>
      <c r="BI140" s="88">
        <f t="shared" si="208"/>
        <v>-1</v>
      </c>
      <c r="BJ140" s="82"/>
      <c r="BK140" s="104">
        <f>'外国語実績201201-201712'!N2503</f>
        <v>0</v>
      </c>
      <c r="BL140" s="104">
        <f>'外国語実績201201-201712'!N2515</f>
        <v>0</v>
      </c>
      <c r="BM140" s="88" t="e">
        <f t="shared" si="209"/>
        <v>#DIV/0!</v>
      </c>
      <c r="BN140" s="30"/>
      <c r="BO140" s="30"/>
      <c r="BP140" s="30"/>
    </row>
    <row r="141" spans="1:90" ht="75" customHeight="1">
      <c r="A141" s="71" t="s">
        <v>17</v>
      </c>
      <c r="B141" s="82">
        <f>'外国語実績201201-201712'!N1974</f>
        <v>0</v>
      </c>
      <c r="C141" s="104">
        <f>'外国語実績201201-201712'!N1986</f>
        <v>0</v>
      </c>
      <c r="D141" s="104">
        <f>'外国語実績201201-201712'!N1998</f>
        <v>0</v>
      </c>
      <c r="E141" s="88" t="e">
        <f t="shared" si="194"/>
        <v>#DIV/0!</v>
      </c>
      <c r="F141" s="82">
        <f>'外国語実績201201-201712'!N2014</f>
        <v>0</v>
      </c>
      <c r="G141" s="104">
        <f>'外国語実績201201-201712'!N2026</f>
        <v>13</v>
      </c>
      <c r="H141" s="104">
        <f>'外国語実績201201-201712'!N2038</f>
        <v>0</v>
      </c>
      <c r="I141" s="88">
        <f t="shared" si="195"/>
        <v>-1</v>
      </c>
      <c r="J141" s="82">
        <f>'外国語実績201201-201712'!N2054</f>
        <v>0</v>
      </c>
      <c r="K141" s="104">
        <f>'外国語実績201201-201712'!N2066</f>
        <v>0</v>
      </c>
      <c r="L141" s="104">
        <f>'外国語実績201201-201712'!N2078</f>
        <v>0</v>
      </c>
      <c r="M141" s="88" t="e">
        <f t="shared" si="196"/>
        <v>#DIV/0!</v>
      </c>
      <c r="N141" s="82">
        <f>'外国語実績201201-201712'!N2094</f>
        <v>0</v>
      </c>
      <c r="O141" s="104">
        <f>'外国語実績201201-201712'!N2106</f>
        <v>0</v>
      </c>
      <c r="P141" s="104">
        <f>'外国語実績201201-201712'!N2118</f>
        <v>0</v>
      </c>
      <c r="Q141" s="88" t="e">
        <f t="shared" si="197"/>
        <v>#DIV/0!</v>
      </c>
      <c r="R141" s="82">
        <f>'外国語実績201201-201712'!N2134</f>
        <v>2</v>
      </c>
      <c r="S141" s="104">
        <f>'外国語実績201201-201712'!N2146</f>
        <v>0</v>
      </c>
      <c r="T141" s="104">
        <f>'外国語実績201201-201712'!N2158</f>
        <v>0</v>
      </c>
      <c r="U141" s="88" t="e">
        <f t="shared" si="198"/>
        <v>#DIV/0!</v>
      </c>
      <c r="V141" s="82">
        <f>'外国語実績201201-201712'!N2187</f>
        <v>0</v>
      </c>
      <c r="W141" s="104">
        <f>'外国語実績201201-201712'!N2199</f>
        <v>0</v>
      </c>
      <c r="X141" s="104">
        <f>'外国語実績201201-201712'!N2211</f>
        <v>0</v>
      </c>
      <c r="Y141" s="88" t="e">
        <f t="shared" si="199"/>
        <v>#DIV/0!</v>
      </c>
      <c r="Z141" s="82"/>
      <c r="AA141" s="104">
        <f>'外国語実績201201-201712'!N2241</f>
        <v>0</v>
      </c>
      <c r="AB141" s="104">
        <f>'外国語実績201201-201712'!N2253</f>
        <v>0</v>
      </c>
      <c r="AC141" s="88" t="e">
        <f t="shared" si="200"/>
        <v>#DIV/0!</v>
      </c>
      <c r="AD141" s="82"/>
      <c r="AE141" s="104">
        <f>'外国語実績201201-201712'!N2270</f>
        <v>4</v>
      </c>
      <c r="AF141" s="104">
        <f>'外国語実績201201-201712'!N2282</f>
        <v>0</v>
      </c>
      <c r="AG141" s="88">
        <f t="shared" si="201"/>
        <v>-1</v>
      </c>
      <c r="AH141" s="82"/>
      <c r="AI141" s="104">
        <f>'外国語実績201201-201712'!N2298</f>
        <v>2</v>
      </c>
      <c r="AJ141" s="104">
        <f>'外国語実績201201-201712'!N2310</f>
        <v>0</v>
      </c>
      <c r="AK141" s="88">
        <f t="shared" si="202"/>
        <v>-1</v>
      </c>
      <c r="AL141" s="82"/>
      <c r="AM141" s="104">
        <f>'外国語実績201201-201712'!N2333</f>
        <v>1</v>
      </c>
      <c r="AN141" s="104">
        <f>'外国語実績201201-201712'!N2345</f>
        <v>0</v>
      </c>
      <c r="AO141" s="88">
        <f t="shared" si="203"/>
        <v>-1</v>
      </c>
      <c r="AP141" s="82"/>
      <c r="AQ141" s="104">
        <f>'外国語実績201201-201712'!N2361</f>
        <v>1</v>
      </c>
      <c r="AR141" s="104">
        <f>'外国語実績201201-201712'!N2373</f>
        <v>0</v>
      </c>
      <c r="AS141" s="88">
        <f t="shared" si="204"/>
        <v>-1</v>
      </c>
      <c r="AT141" s="82"/>
      <c r="AU141" s="104">
        <f>'外国語実績201201-201712'!N2389</f>
        <v>3</v>
      </c>
      <c r="AV141" s="104">
        <f>'外国語実績201201-201712'!N2401</f>
        <v>0</v>
      </c>
      <c r="AW141" s="88">
        <f t="shared" si="205"/>
        <v>-1</v>
      </c>
      <c r="AX141" s="82"/>
      <c r="AY141" s="104">
        <f>'外国語実績201201-201712'!N2417</f>
        <v>3</v>
      </c>
      <c r="AZ141" s="104">
        <f>'外国語実績201201-201712'!N2429</f>
        <v>0</v>
      </c>
      <c r="BA141" s="88">
        <f t="shared" si="206"/>
        <v>-1</v>
      </c>
      <c r="BB141" s="82"/>
      <c r="BC141" s="104">
        <f>'外国語実績201201-201712'!N2445</f>
        <v>1</v>
      </c>
      <c r="BD141" s="104">
        <f>'外国語実績201201-201712'!N2457</f>
        <v>0</v>
      </c>
      <c r="BE141" s="88">
        <f t="shared" si="207"/>
        <v>-1</v>
      </c>
      <c r="BF141" s="82"/>
      <c r="BG141" s="104">
        <f>'外国語実績201201-201712'!N2473</f>
        <v>0</v>
      </c>
      <c r="BH141" s="104">
        <f>'外国語実績201201-201712'!N2485</f>
        <v>0</v>
      </c>
      <c r="BI141" s="88" t="e">
        <f t="shared" si="208"/>
        <v>#DIV/0!</v>
      </c>
      <c r="BJ141" s="82"/>
      <c r="BK141" s="104">
        <f>'外国語実績201201-201712'!N2504</f>
        <v>0</v>
      </c>
      <c r="BL141" s="104">
        <f>'外国語実績201201-201712'!N2516</f>
        <v>0</v>
      </c>
      <c r="BM141" s="88" t="e">
        <f t="shared" si="209"/>
        <v>#DIV/0!</v>
      </c>
      <c r="BN141" s="30"/>
      <c r="BO141" s="30"/>
      <c r="BP141" s="30"/>
    </row>
    <row r="142" spans="1:90" ht="75" customHeight="1">
      <c r="A142" s="71" t="s">
        <v>18</v>
      </c>
      <c r="B142" s="82">
        <f>'外国語実績201201-201712'!N1975</f>
        <v>0</v>
      </c>
      <c r="C142" s="104">
        <f>'外国語実績201201-201712'!N1987</f>
        <v>6</v>
      </c>
      <c r="D142" s="104">
        <f>'外国語実績201201-201712'!N1999</f>
        <v>0</v>
      </c>
      <c r="E142" s="88">
        <f t="shared" si="194"/>
        <v>-1</v>
      </c>
      <c r="F142" s="82">
        <f>'外国語実績201201-201712'!N2015</f>
        <v>11</v>
      </c>
      <c r="G142" s="104">
        <f>'外国語実績201201-201712'!N2027</f>
        <v>24</v>
      </c>
      <c r="H142" s="104">
        <f>'外国語実績201201-201712'!N2039</f>
        <v>0</v>
      </c>
      <c r="I142" s="88">
        <f t="shared" si="195"/>
        <v>-1</v>
      </c>
      <c r="J142" s="82">
        <f>'外国語実績201201-201712'!N2055</f>
        <v>2</v>
      </c>
      <c r="K142" s="104">
        <f>'外国語実績201201-201712'!N2067</f>
        <v>15</v>
      </c>
      <c r="L142" s="104">
        <f>'外国語実績201201-201712'!N2079</f>
        <v>0</v>
      </c>
      <c r="M142" s="88">
        <f t="shared" si="196"/>
        <v>-1</v>
      </c>
      <c r="N142" s="82">
        <f>'外国語実績201201-201712'!N2095</f>
        <v>0</v>
      </c>
      <c r="O142" s="104">
        <f>'外国語実績201201-201712'!N2107</f>
        <v>0</v>
      </c>
      <c r="P142" s="104">
        <f>'外国語実績201201-201712'!N2119</f>
        <v>0</v>
      </c>
      <c r="Q142" s="88" t="e">
        <f t="shared" si="197"/>
        <v>#DIV/0!</v>
      </c>
      <c r="R142" s="82">
        <f>'外国語実績201201-201712'!N2135</f>
        <v>15</v>
      </c>
      <c r="S142" s="104">
        <f>'外国語実績201201-201712'!N2147</f>
        <v>3</v>
      </c>
      <c r="T142" s="104">
        <f>'外国語実績201201-201712'!N2159</f>
        <v>0</v>
      </c>
      <c r="U142" s="88">
        <f t="shared" si="198"/>
        <v>-1</v>
      </c>
      <c r="V142" s="82">
        <f>'外国語実績201201-201712'!N2188</f>
        <v>0</v>
      </c>
      <c r="W142" s="104">
        <f>'外国語実績201201-201712'!N2200</f>
        <v>1</v>
      </c>
      <c r="X142" s="104">
        <f>'外国語実績201201-201712'!N2212</f>
        <v>0</v>
      </c>
      <c r="Y142" s="88">
        <f t="shared" si="199"/>
        <v>-1</v>
      </c>
      <c r="Z142" s="82">
        <f>'外国語実績201201-201712'!N2230</f>
        <v>1</v>
      </c>
      <c r="AA142" s="104">
        <f>'外国語実績201201-201712'!N2242</f>
        <v>2</v>
      </c>
      <c r="AB142" s="104">
        <f>'外国語実績201201-201712'!N2254</f>
        <v>0</v>
      </c>
      <c r="AC142" s="88">
        <f t="shared" si="200"/>
        <v>-1</v>
      </c>
      <c r="AD142" s="82"/>
      <c r="AE142" s="104">
        <f>'外国語実績201201-201712'!N2271</f>
        <v>6</v>
      </c>
      <c r="AF142" s="104">
        <f>'外国語実績201201-201712'!N2283</f>
        <v>0</v>
      </c>
      <c r="AG142" s="88">
        <f t="shared" si="201"/>
        <v>-1</v>
      </c>
      <c r="AH142" s="82"/>
      <c r="AI142" s="104">
        <f>'外国語実績201201-201712'!N2299</f>
        <v>4</v>
      </c>
      <c r="AJ142" s="104">
        <f>'外国語実績201201-201712'!N2311</f>
        <v>0</v>
      </c>
      <c r="AK142" s="88">
        <f t="shared" si="202"/>
        <v>-1</v>
      </c>
      <c r="AL142" s="82"/>
      <c r="AM142" s="104">
        <f>'外国語実績201201-201712'!N2334</f>
        <v>2</v>
      </c>
      <c r="AN142" s="104">
        <f>'外国語実績201201-201712'!N2346</f>
        <v>0</v>
      </c>
      <c r="AO142" s="88">
        <f t="shared" si="203"/>
        <v>-1</v>
      </c>
      <c r="AP142" s="82"/>
      <c r="AQ142" s="104">
        <f>'外国語実績201201-201712'!N2362</f>
        <v>0</v>
      </c>
      <c r="AR142" s="104">
        <f>'外国語実績201201-201712'!N2374</f>
        <v>0</v>
      </c>
      <c r="AS142" s="88" t="e">
        <f t="shared" si="204"/>
        <v>#DIV/0!</v>
      </c>
      <c r="AT142" s="82"/>
      <c r="AU142" s="104">
        <f>'外国語実績201201-201712'!N2390</f>
        <v>9</v>
      </c>
      <c r="AV142" s="104">
        <f>'外国語実績201201-201712'!N2402</f>
        <v>0</v>
      </c>
      <c r="AW142" s="88">
        <f t="shared" si="205"/>
        <v>-1</v>
      </c>
      <c r="AX142" s="82"/>
      <c r="AY142" s="104">
        <f>'外国語実績201201-201712'!N2418</f>
        <v>5</v>
      </c>
      <c r="AZ142" s="104">
        <f>'外国語実績201201-201712'!N2430</f>
        <v>0</v>
      </c>
      <c r="BA142" s="88">
        <f t="shared" si="206"/>
        <v>-1</v>
      </c>
      <c r="BB142" s="82"/>
      <c r="BC142" s="104">
        <f>'外国語実績201201-201712'!N2446</f>
        <v>7</v>
      </c>
      <c r="BD142" s="104">
        <f>'外国語実績201201-201712'!N2458</f>
        <v>0</v>
      </c>
      <c r="BE142" s="88">
        <f t="shared" si="207"/>
        <v>-1</v>
      </c>
      <c r="BF142" s="82"/>
      <c r="BG142" s="104">
        <f>'外国語実績201201-201712'!N2474</f>
        <v>2</v>
      </c>
      <c r="BH142" s="104">
        <f>'外国語実績201201-201712'!N2486</f>
        <v>0</v>
      </c>
      <c r="BI142" s="88">
        <f t="shared" si="208"/>
        <v>-1</v>
      </c>
      <c r="BJ142" s="82"/>
      <c r="BK142" s="104">
        <f>'外国語実績201201-201712'!N2505</f>
        <v>0</v>
      </c>
      <c r="BL142" s="104">
        <f>'外国語実績201201-201712'!N2517</f>
        <v>0</v>
      </c>
      <c r="BM142" s="88" t="e">
        <f t="shared" si="209"/>
        <v>#DIV/0!</v>
      </c>
      <c r="BN142" s="30"/>
      <c r="BO142" s="30"/>
      <c r="BP142" s="30"/>
    </row>
    <row r="143" spans="1:90" ht="75" customHeight="1">
      <c r="A143" s="71" t="s">
        <v>19</v>
      </c>
      <c r="B143" s="82">
        <f>'外国語実績201201-201712'!N1976</f>
        <v>4</v>
      </c>
      <c r="C143" s="104">
        <f>'外国語実績201201-201712'!N1988</f>
        <v>2</v>
      </c>
      <c r="D143" s="104">
        <f>'外国語実績201201-201712'!N2000</f>
        <v>0</v>
      </c>
      <c r="E143" s="88">
        <f t="shared" si="194"/>
        <v>-1</v>
      </c>
      <c r="F143" s="82">
        <f>'外国語実績201201-201712'!N2016</f>
        <v>0</v>
      </c>
      <c r="G143" s="104">
        <f>'外国語実績201201-201712'!N2028</f>
        <v>0</v>
      </c>
      <c r="H143" s="104">
        <f>'外国語実績201201-201712'!N2040</f>
        <v>0</v>
      </c>
      <c r="I143" s="88" t="e">
        <f t="shared" si="195"/>
        <v>#DIV/0!</v>
      </c>
      <c r="J143" s="82">
        <f>'外国語実績201201-201712'!N2056</f>
        <v>0</v>
      </c>
      <c r="K143" s="104">
        <f>'外国語実績201201-201712'!N2068</f>
        <v>8</v>
      </c>
      <c r="L143" s="104">
        <f>'外国語実績201201-201712'!N2080</f>
        <v>0</v>
      </c>
      <c r="M143" s="88">
        <f t="shared" si="196"/>
        <v>-1</v>
      </c>
      <c r="N143" s="82">
        <f>'外国語実績201201-201712'!N2096</f>
        <v>0</v>
      </c>
      <c r="O143" s="104">
        <f>'外国語実績201201-201712'!N2108</f>
        <v>0</v>
      </c>
      <c r="P143" s="104">
        <f>'外国語実績201201-201712'!N2120</f>
        <v>0</v>
      </c>
      <c r="Q143" s="88" t="e">
        <f t="shared" si="197"/>
        <v>#DIV/0!</v>
      </c>
      <c r="R143" s="82">
        <f>'外国語実績201201-201712'!N2136</f>
        <v>0</v>
      </c>
      <c r="S143" s="104">
        <f>'外国語実績201201-201712'!N2148</f>
        <v>0</v>
      </c>
      <c r="T143" s="104">
        <f>'外国語実績201201-201712'!N2160</f>
        <v>0</v>
      </c>
      <c r="U143" s="88" t="e">
        <f t="shared" si="198"/>
        <v>#DIV/0!</v>
      </c>
      <c r="V143" s="82">
        <f>'外国語実績201201-201712'!N2189</f>
        <v>5</v>
      </c>
      <c r="W143" s="104">
        <f>'外国語実績201201-201712'!N2201</f>
        <v>12</v>
      </c>
      <c r="X143" s="104">
        <f>'外国語実績201201-201712'!N2213</f>
        <v>0</v>
      </c>
      <c r="Y143" s="88">
        <f t="shared" si="199"/>
        <v>-1</v>
      </c>
      <c r="Z143" s="82">
        <f>'外国語実績201201-201712'!N2231</f>
        <v>2</v>
      </c>
      <c r="AA143" s="104">
        <f>'外国語実績201201-201712'!N2243</f>
        <v>0</v>
      </c>
      <c r="AB143" s="104">
        <f>'外国語実績201201-201712'!N2255</f>
        <v>0</v>
      </c>
      <c r="AC143" s="88" t="e">
        <f t="shared" si="200"/>
        <v>#DIV/0!</v>
      </c>
      <c r="AD143" s="82"/>
      <c r="AE143" s="104">
        <f>'外国語実績201201-201712'!N2272</f>
        <v>14</v>
      </c>
      <c r="AF143" s="104">
        <f>'外国語実績201201-201712'!N2284</f>
        <v>0</v>
      </c>
      <c r="AG143" s="88">
        <f t="shared" si="201"/>
        <v>-1</v>
      </c>
      <c r="AH143" s="82"/>
      <c r="AI143" s="104">
        <f>'外国語実績201201-201712'!N2300</f>
        <v>1</v>
      </c>
      <c r="AJ143" s="104">
        <f>'外国語実績201201-201712'!N2312</f>
        <v>0</v>
      </c>
      <c r="AK143" s="88">
        <f t="shared" si="202"/>
        <v>-1</v>
      </c>
      <c r="AL143" s="82"/>
      <c r="AM143" s="104">
        <f>'外国語実績201201-201712'!N2335</f>
        <v>1</v>
      </c>
      <c r="AN143" s="104">
        <f>'外国語実績201201-201712'!N2347</f>
        <v>0</v>
      </c>
      <c r="AO143" s="88">
        <f t="shared" si="203"/>
        <v>-1</v>
      </c>
      <c r="AP143" s="82"/>
      <c r="AQ143" s="104">
        <f>'外国語実績201201-201712'!N2363</f>
        <v>3</v>
      </c>
      <c r="AR143" s="104">
        <f>'外国語実績201201-201712'!N2375</f>
        <v>0</v>
      </c>
      <c r="AS143" s="88">
        <f t="shared" si="204"/>
        <v>-1</v>
      </c>
      <c r="AT143" s="82"/>
      <c r="AU143" s="104">
        <f>'外国語実績201201-201712'!N2391</f>
        <v>2</v>
      </c>
      <c r="AV143" s="104">
        <f>'外国語実績201201-201712'!N2403</f>
        <v>0</v>
      </c>
      <c r="AW143" s="88">
        <f t="shared" si="205"/>
        <v>-1</v>
      </c>
      <c r="AX143" s="82"/>
      <c r="AY143" s="104">
        <f>'外国語実績201201-201712'!N2419</f>
        <v>0</v>
      </c>
      <c r="AZ143" s="104">
        <f>'外国語実績201201-201712'!N2431</f>
        <v>0</v>
      </c>
      <c r="BA143" s="88" t="e">
        <f t="shared" si="206"/>
        <v>#DIV/0!</v>
      </c>
      <c r="BB143" s="82"/>
      <c r="BC143" s="104">
        <f>'外国語実績201201-201712'!N2447</f>
        <v>9</v>
      </c>
      <c r="BD143" s="104">
        <f>'外国語実績201201-201712'!N2459</f>
        <v>0</v>
      </c>
      <c r="BE143" s="88">
        <f t="shared" si="207"/>
        <v>-1</v>
      </c>
      <c r="BF143" s="82"/>
      <c r="BG143" s="104">
        <f>'外国語実績201201-201712'!N2475</f>
        <v>0</v>
      </c>
      <c r="BH143" s="104">
        <f>'外国語実績201201-201712'!N2487</f>
        <v>0</v>
      </c>
      <c r="BI143" s="88" t="e">
        <f t="shared" si="208"/>
        <v>#DIV/0!</v>
      </c>
      <c r="BJ143" s="82"/>
      <c r="BK143" s="104">
        <f>'外国語実績201201-201712'!N2506</f>
        <v>0</v>
      </c>
      <c r="BL143" s="104">
        <f>'外国語実績201201-201712'!N2518</f>
        <v>0</v>
      </c>
      <c r="BM143" s="88" t="e">
        <f t="shared" si="209"/>
        <v>#DIV/0!</v>
      </c>
      <c r="BN143" s="30"/>
      <c r="BO143" s="30"/>
      <c r="BP143" s="30"/>
    </row>
    <row r="144" spans="1:90" ht="75" customHeight="1">
      <c r="A144" s="71" t="s">
        <v>20</v>
      </c>
      <c r="B144" s="82">
        <f>'外国語実績201201-201712'!N1977</f>
        <v>2</v>
      </c>
      <c r="C144" s="104">
        <f>'外国語実績201201-201712'!N1989</f>
        <v>2</v>
      </c>
      <c r="D144" s="104">
        <f>'外国語実績201201-201712'!N2001</f>
        <v>0</v>
      </c>
      <c r="E144" s="88">
        <f t="shared" si="194"/>
        <v>-1</v>
      </c>
      <c r="F144" s="82">
        <f>'外国語実績201201-201712'!N2017</f>
        <v>0</v>
      </c>
      <c r="G144" s="104">
        <f>'外国語実績201201-201712'!N2029</f>
        <v>0</v>
      </c>
      <c r="H144" s="104">
        <f>'外国語実績201201-201712'!N2041</f>
        <v>0</v>
      </c>
      <c r="I144" s="88" t="e">
        <f t="shared" si="195"/>
        <v>#DIV/0!</v>
      </c>
      <c r="J144" s="82">
        <f>'外国語実績201201-201712'!N2057</f>
        <v>22</v>
      </c>
      <c r="K144" s="104">
        <f>'外国語実績201201-201712'!N2069</f>
        <v>2</v>
      </c>
      <c r="L144" s="104">
        <f>'外国語実績201201-201712'!N2081</f>
        <v>0</v>
      </c>
      <c r="M144" s="88">
        <f t="shared" si="196"/>
        <v>-1</v>
      </c>
      <c r="N144" s="82">
        <f>'外国語実績201201-201712'!N2097</f>
        <v>0</v>
      </c>
      <c r="O144" s="104">
        <f>'外国語実績201201-201712'!N2109</f>
        <v>0</v>
      </c>
      <c r="P144" s="104">
        <f>'外国語実績201201-201712'!N2121</f>
        <v>0</v>
      </c>
      <c r="Q144" s="88" t="e">
        <f t="shared" si="197"/>
        <v>#DIV/0!</v>
      </c>
      <c r="R144" s="82">
        <f>'外国語実績201201-201712'!N2137</f>
        <v>0</v>
      </c>
      <c r="S144" s="104">
        <f>'外国語実績201201-201712'!N2149</f>
        <v>0</v>
      </c>
      <c r="T144" s="104">
        <f>'外国語実績201201-201712'!N2161</f>
        <v>0</v>
      </c>
      <c r="U144" s="88" t="e">
        <f t="shared" si="198"/>
        <v>#DIV/0!</v>
      </c>
      <c r="V144" s="82">
        <f>'外国語実績201201-201712'!N2190</f>
        <v>0</v>
      </c>
      <c r="W144" s="104">
        <f>'外国語実績201201-201712'!N2202</f>
        <v>8</v>
      </c>
      <c r="X144" s="104">
        <f>'外国語実績201201-201712'!N2214</f>
        <v>0</v>
      </c>
      <c r="Y144" s="88">
        <f t="shared" si="199"/>
        <v>-1</v>
      </c>
      <c r="Z144" s="82">
        <f>'外国語実績201201-201712'!N2232</f>
        <v>0</v>
      </c>
      <c r="AA144" s="104">
        <f>'外国語実績201201-201712'!N2244</f>
        <v>0</v>
      </c>
      <c r="AB144" s="104">
        <f>'外国語実績201201-201712'!N2256</f>
        <v>0</v>
      </c>
      <c r="AC144" s="88" t="e">
        <f t="shared" si="200"/>
        <v>#DIV/0!</v>
      </c>
      <c r="AD144" s="82"/>
      <c r="AE144" s="104">
        <f>'外国語実績201201-201712'!N2273</f>
        <v>16</v>
      </c>
      <c r="AF144" s="104">
        <f>'外国語実績201201-201712'!N2285</f>
        <v>0</v>
      </c>
      <c r="AG144" s="88">
        <f t="shared" si="201"/>
        <v>-1</v>
      </c>
      <c r="AH144" s="82"/>
      <c r="AI144" s="104">
        <f>'外国語実績201201-201712'!N2301</f>
        <v>0</v>
      </c>
      <c r="AJ144" s="104">
        <f>'外国語実績201201-201712'!N2313</f>
        <v>0</v>
      </c>
      <c r="AK144" s="88" t="e">
        <f t="shared" si="202"/>
        <v>#DIV/0!</v>
      </c>
      <c r="AL144" s="82"/>
      <c r="AM144" s="104">
        <f>'外国語実績201201-201712'!N2336</f>
        <v>2</v>
      </c>
      <c r="AN144" s="104">
        <f>'外国語実績201201-201712'!N2348</f>
        <v>0</v>
      </c>
      <c r="AO144" s="88">
        <f t="shared" si="203"/>
        <v>-1</v>
      </c>
      <c r="AP144" s="82"/>
      <c r="AQ144" s="104">
        <f>'外国語実績201201-201712'!N2364</f>
        <v>0</v>
      </c>
      <c r="AR144" s="104">
        <f>'外国語実績201201-201712'!N2376</f>
        <v>0</v>
      </c>
      <c r="AS144" s="88" t="e">
        <f t="shared" si="204"/>
        <v>#DIV/0!</v>
      </c>
      <c r="AT144" s="82"/>
      <c r="AU144" s="104">
        <f>'外国語実績201201-201712'!N2392</f>
        <v>6</v>
      </c>
      <c r="AV144" s="104">
        <f>'外国語実績201201-201712'!N2404</f>
        <v>0</v>
      </c>
      <c r="AW144" s="88">
        <f t="shared" si="205"/>
        <v>-1</v>
      </c>
      <c r="AX144" s="82"/>
      <c r="AY144" s="104">
        <f>'外国語実績201201-201712'!N2420</f>
        <v>3</v>
      </c>
      <c r="AZ144" s="104">
        <f>'外国語実績201201-201712'!N2432</f>
        <v>0</v>
      </c>
      <c r="BA144" s="88">
        <f t="shared" si="206"/>
        <v>-1</v>
      </c>
      <c r="BB144" s="82"/>
      <c r="BC144" s="104">
        <f>'外国語実績201201-201712'!N2448</f>
        <v>5</v>
      </c>
      <c r="BD144" s="104">
        <f>'外国語実績201201-201712'!N2460</f>
        <v>0</v>
      </c>
      <c r="BE144" s="88">
        <f t="shared" si="207"/>
        <v>-1</v>
      </c>
      <c r="BF144" s="82"/>
      <c r="BG144" s="104">
        <f>'外国語実績201201-201712'!N2476</f>
        <v>0</v>
      </c>
      <c r="BH144" s="104">
        <f>'外国語実績201201-201712'!N2488</f>
        <v>0</v>
      </c>
      <c r="BI144" s="88" t="e">
        <f t="shared" si="208"/>
        <v>#DIV/0!</v>
      </c>
      <c r="BJ144" s="82"/>
      <c r="BK144" s="104">
        <f>'外国語実績201201-201712'!N2507</f>
        <v>0</v>
      </c>
      <c r="BL144" s="104">
        <f>'外国語実績201201-201712'!N2519</f>
        <v>0</v>
      </c>
      <c r="BM144" s="88" t="e">
        <f t="shared" si="209"/>
        <v>#DIV/0!</v>
      </c>
      <c r="BN144" s="30"/>
      <c r="BO144" s="30"/>
      <c r="BP144" s="30"/>
    </row>
    <row r="145" spans="1:68" ht="75" customHeight="1">
      <c r="A145" s="71" t="s">
        <v>21</v>
      </c>
      <c r="B145" s="82">
        <f>'外国語実績201201-201712'!N1978</f>
        <v>2</v>
      </c>
      <c r="C145" s="104">
        <f>'外国語実績201201-201712'!N1990</f>
        <v>2</v>
      </c>
      <c r="D145" s="104"/>
      <c r="E145" s="88">
        <f t="shared" si="194"/>
        <v>-1</v>
      </c>
      <c r="F145" s="82">
        <f>'外国語実績201201-201712'!N2018</f>
        <v>0</v>
      </c>
      <c r="G145" s="104">
        <f>'外国語実績201201-201712'!N2030</f>
        <v>0</v>
      </c>
      <c r="H145" s="104"/>
      <c r="I145" s="88" t="e">
        <f t="shared" si="195"/>
        <v>#DIV/0!</v>
      </c>
      <c r="J145" s="82">
        <f>'外国語実績201201-201712'!N2058</f>
        <v>21</v>
      </c>
      <c r="K145" s="104">
        <f>'外国語実績201201-201712'!N2070</f>
        <v>45</v>
      </c>
      <c r="L145" s="104"/>
      <c r="M145" s="88">
        <f t="shared" si="196"/>
        <v>-1</v>
      </c>
      <c r="N145" s="82">
        <f>'外国語実績201201-201712'!N2098</f>
        <v>0</v>
      </c>
      <c r="O145" s="104">
        <f>'外国語実績201201-201712'!N2110</f>
        <v>0</v>
      </c>
      <c r="P145" s="104"/>
      <c r="Q145" s="88" t="e">
        <f t="shared" si="197"/>
        <v>#DIV/0!</v>
      </c>
      <c r="R145" s="82">
        <f>'外国語実績201201-201712'!N2138</f>
        <v>0</v>
      </c>
      <c r="S145" s="104">
        <f>'外国語実績201201-201712'!N2150</f>
        <v>0</v>
      </c>
      <c r="T145" s="104"/>
      <c r="U145" s="88" t="e">
        <f t="shared" si="198"/>
        <v>#DIV/0!</v>
      </c>
      <c r="V145" s="82">
        <f>'外国語実績201201-201712'!N2191</f>
        <v>4</v>
      </c>
      <c r="W145" s="104">
        <f>'外国語実績201201-201712'!N2203</f>
        <v>34</v>
      </c>
      <c r="X145" s="104"/>
      <c r="Y145" s="88">
        <f t="shared" si="199"/>
        <v>-1</v>
      </c>
      <c r="Z145" s="82">
        <f>'外国語実績201201-201712'!N2233</f>
        <v>3</v>
      </c>
      <c r="AA145" s="104">
        <f>'外国語実績201201-201712'!N2245</f>
        <v>0</v>
      </c>
      <c r="AB145" s="104"/>
      <c r="AC145" s="88" t="e">
        <f t="shared" si="200"/>
        <v>#DIV/0!</v>
      </c>
      <c r="AD145" s="82">
        <f>'外国語実績201201-201712'!N2262</f>
        <v>2</v>
      </c>
      <c r="AE145" s="104">
        <f>'外国語実績201201-201712'!N2274</f>
        <v>4</v>
      </c>
      <c r="AF145" s="104"/>
      <c r="AG145" s="88">
        <f t="shared" si="201"/>
        <v>-1</v>
      </c>
      <c r="AH145" s="82">
        <f>'外国語実績201201-201712'!N2290</f>
        <v>0</v>
      </c>
      <c r="AI145" s="104">
        <f>'外国語実績201201-201712'!N2302</f>
        <v>3</v>
      </c>
      <c r="AJ145" s="104"/>
      <c r="AK145" s="88">
        <f t="shared" si="202"/>
        <v>-1</v>
      </c>
      <c r="AL145" s="82">
        <f>'外国語実績201201-201712'!N2325</f>
        <v>0</v>
      </c>
      <c r="AM145" s="104">
        <f>'外国語実績201201-201712'!N2337</f>
        <v>4</v>
      </c>
      <c r="AN145" s="104"/>
      <c r="AO145" s="88">
        <f t="shared" si="203"/>
        <v>-1</v>
      </c>
      <c r="AP145" s="82">
        <f>'外国語実績201201-201712'!N2353</f>
        <v>0</v>
      </c>
      <c r="AQ145" s="104">
        <f>'外国語実績201201-201712'!N2365</f>
        <v>1</v>
      </c>
      <c r="AR145" s="104"/>
      <c r="AS145" s="88">
        <f t="shared" si="204"/>
        <v>-1</v>
      </c>
      <c r="AT145" s="82">
        <f>'外国語実績201201-201712'!N2381</f>
        <v>0</v>
      </c>
      <c r="AU145" s="104">
        <f>'外国語実績201201-201712'!N2393</f>
        <v>6</v>
      </c>
      <c r="AV145" s="104"/>
      <c r="AW145" s="88">
        <f t="shared" si="205"/>
        <v>-1</v>
      </c>
      <c r="AX145" s="82">
        <f>'外国語実績201201-201712'!N2409</f>
        <v>0</v>
      </c>
      <c r="AY145" s="104">
        <f>'外国語実績201201-201712'!N2421</f>
        <v>8</v>
      </c>
      <c r="AZ145" s="104"/>
      <c r="BA145" s="88">
        <f t="shared" si="206"/>
        <v>-1</v>
      </c>
      <c r="BB145" s="82">
        <f>'外国語実績201201-201712'!N2437</f>
        <v>0</v>
      </c>
      <c r="BC145" s="104">
        <f>'外国語実績201201-201712'!N2449</f>
        <v>6</v>
      </c>
      <c r="BD145" s="104"/>
      <c r="BE145" s="88">
        <f t="shared" si="207"/>
        <v>-1</v>
      </c>
      <c r="BF145" s="82">
        <f>'外国語実績201201-201712'!N2465</f>
        <v>0</v>
      </c>
      <c r="BG145" s="104">
        <f>'外国語実績201201-201712'!N2477</f>
        <v>0</v>
      </c>
      <c r="BH145" s="104"/>
      <c r="BI145" s="88" t="e">
        <f t="shared" si="208"/>
        <v>#DIV/0!</v>
      </c>
      <c r="BJ145" s="82">
        <f>'外国語実績201201-201712'!N2496</f>
        <v>0</v>
      </c>
      <c r="BK145" s="104">
        <f>'外国語実績201201-201712'!N2508</f>
        <v>5</v>
      </c>
      <c r="BL145" s="104"/>
      <c r="BM145" s="88">
        <f t="shared" si="209"/>
        <v>-1</v>
      </c>
      <c r="BN145" s="30"/>
      <c r="BO145" s="30"/>
      <c r="BP145" s="30"/>
    </row>
    <row r="146" spans="1:68" ht="75" customHeight="1">
      <c r="A146" s="74" t="s">
        <v>22</v>
      </c>
      <c r="B146" s="82">
        <f>'外国語実績201201-201712'!N1979</f>
        <v>2</v>
      </c>
      <c r="C146" s="104">
        <f>'外国語実績201201-201712'!N1991</f>
        <v>0</v>
      </c>
      <c r="D146" s="104"/>
      <c r="E146" s="88" t="e">
        <f t="shared" si="194"/>
        <v>#DIV/0!</v>
      </c>
      <c r="F146" s="82">
        <f>'外国語実績201201-201712'!N2019</f>
        <v>0</v>
      </c>
      <c r="G146" s="104">
        <f>'外国語実績201201-201712'!N2031</f>
        <v>0</v>
      </c>
      <c r="H146" s="104"/>
      <c r="I146" s="88" t="e">
        <f t="shared" si="195"/>
        <v>#DIV/0!</v>
      </c>
      <c r="J146" s="82">
        <f>'外国語実績201201-201712'!N2059</f>
        <v>0</v>
      </c>
      <c r="K146" s="104">
        <f>'外国語実績201201-201712'!N2071</f>
        <v>8</v>
      </c>
      <c r="L146" s="104"/>
      <c r="M146" s="88">
        <f t="shared" si="196"/>
        <v>-1</v>
      </c>
      <c r="N146" s="82">
        <f>'外国語実績201201-201712'!N2099</f>
        <v>0</v>
      </c>
      <c r="O146" s="104">
        <f>'外国語実績201201-201712'!N2111</f>
        <v>0</v>
      </c>
      <c r="P146" s="104"/>
      <c r="Q146" s="88" t="e">
        <f t="shared" si="197"/>
        <v>#DIV/0!</v>
      </c>
      <c r="R146" s="82">
        <f>'外国語実績201201-201712'!N2139</f>
        <v>0</v>
      </c>
      <c r="S146" s="104">
        <f>'外国語実績201201-201712'!N2151</f>
        <v>0</v>
      </c>
      <c r="T146" s="104"/>
      <c r="U146" s="88" t="e">
        <f t="shared" si="198"/>
        <v>#DIV/0!</v>
      </c>
      <c r="V146" s="82">
        <f>'外国語実績201201-201712'!N2192</f>
        <v>0</v>
      </c>
      <c r="W146" s="104">
        <f>'外国語実績201201-201712'!N2204</f>
        <v>6</v>
      </c>
      <c r="X146" s="104"/>
      <c r="Y146" s="88">
        <f t="shared" si="199"/>
        <v>-1</v>
      </c>
      <c r="Z146" s="82">
        <f>'外国語実績201201-201712'!N2234</f>
        <v>0</v>
      </c>
      <c r="AA146" s="104">
        <f>'外国語実績201201-201712'!N2246</f>
        <v>0</v>
      </c>
      <c r="AB146" s="104"/>
      <c r="AC146" s="88" t="e">
        <f t="shared" si="200"/>
        <v>#DIV/0!</v>
      </c>
      <c r="AD146" s="82">
        <f>'外国語実績201201-201712'!N2263</f>
        <v>0</v>
      </c>
      <c r="AE146" s="104">
        <f>'外国語実績201201-201712'!N2275</f>
        <v>0</v>
      </c>
      <c r="AF146" s="104"/>
      <c r="AG146" s="88" t="e">
        <f t="shared" si="201"/>
        <v>#DIV/0!</v>
      </c>
      <c r="AH146" s="82">
        <f>'外国語実績201201-201712'!N2291</f>
        <v>0</v>
      </c>
      <c r="AI146" s="104">
        <f>'外国語実績201201-201712'!N2303</f>
        <v>3</v>
      </c>
      <c r="AJ146" s="104"/>
      <c r="AK146" s="88">
        <f t="shared" si="202"/>
        <v>-1</v>
      </c>
      <c r="AL146" s="82">
        <f>'外国語実績201201-201712'!N2326</f>
        <v>2</v>
      </c>
      <c r="AM146" s="104">
        <f>'外国語実績201201-201712'!N2338</f>
        <v>4</v>
      </c>
      <c r="AN146" s="104"/>
      <c r="AO146" s="88">
        <f t="shared" si="203"/>
        <v>-1</v>
      </c>
      <c r="AP146" s="82">
        <f>'外国語実績201201-201712'!N2354</f>
        <v>0</v>
      </c>
      <c r="AQ146" s="104">
        <f>'外国語実績201201-201712'!N2366</f>
        <v>0</v>
      </c>
      <c r="AR146" s="104"/>
      <c r="AS146" s="88" t="e">
        <f t="shared" si="204"/>
        <v>#DIV/0!</v>
      </c>
      <c r="AT146" s="82">
        <f>'外国語実績201201-201712'!N2382</f>
        <v>1</v>
      </c>
      <c r="AU146" s="104">
        <f>'外国語実績201201-201712'!N2394</f>
        <v>7</v>
      </c>
      <c r="AV146" s="104"/>
      <c r="AW146" s="88">
        <f t="shared" si="205"/>
        <v>-1</v>
      </c>
      <c r="AX146" s="82">
        <f>'外国語実績201201-201712'!N2410</f>
        <v>0</v>
      </c>
      <c r="AY146" s="104">
        <f>'外国語実績201201-201712'!N2422</f>
        <v>8</v>
      </c>
      <c r="AZ146" s="104"/>
      <c r="BA146" s="88">
        <f t="shared" si="206"/>
        <v>-1</v>
      </c>
      <c r="BB146" s="82">
        <f>'外国語実績201201-201712'!N2438</f>
        <v>0</v>
      </c>
      <c r="BC146" s="104">
        <f>'外国語実績201201-201712'!N2450</f>
        <v>3</v>
      </c>
      <c r="BD146" s="104"/>
      <c r="BE146" s="88">
        <f t="shared" si="207"/>
        <v>-1</v>
      </c>
      <c r="BF146" s="82">
        <f>'外国語実績201201-201712'!N2466</f>
        <v>0</v>
      </c>
      <c r="BG146" s="104">
        <f>'外国語実績201201-201712'!N2478</f>
        <v>1</v>
      </c>
      <c r="BH146" s="104"/>
      <c r="BI146" s="88">
        <f t="shared" si="208"/>
        <v>-1</v>
      </c>
      <c r="BJ146" s="82">
        <f>'外国語実績201201-201712'!N2497</f>
        <v>0</v>
      </c>
      <c r="BK146" s="104">
        <f>'外国語実績201201-201712'!N2509</f>
        <v>0</v>
      </c>
      <c r="BL146" s="104"/>
      <c r="BM146" s="88" t="e">
        <f t="shared" si="209"/>
        <v>#DIV/0!</v>
      </c>
      <c r="BN146" s="30"/>
      <c r="BO146" s="30"/>
      <c r="BP146" s="30"/>
    </row>
    <row r="147" spans="1:68" ht="75" customHeight="1" thickBot="1">
      <c r="A147" s="75" t="s">
        <v>23</v>
      </c>
      <c r="B147" s="449">
        <f>'外国語実績201201-201712'!N1980</f>
        <v>1</v>
      </c>
      <c r="C147" s="437">
        <f>'外国語実績201201-201712'!N1992</f>
        <v>0</v>
      </c>
      <c r="D147" s="437"/>
      <c r="E147" s="447" t="e">
        <f t="shared" si="194"/>
        <v>#DIV/0!</v>
      </c>
      <c r="F147" s="449">
        <f>'外国語実績201201-201712'!N2020</f>
        <v>0</v>
      </c>
      <c r="G147" s="437">
        <f>'外国語実績201201-201712'!N2032</f>
        <v>0</v>
      </c>
      <c r="H147" s="437"/>
      <c r="I147" s="447" t="e">
        <f t="shared" si="195"/>
        <v>#DIV/0!</v>
      </c>
      <c r="J147" s="449">
        <f>'外国語実績201201-201712'!N2060</f>
        <v>3</v>
      </c>
      <c r="K147" s="437">
        <f>'外国語実績201201-201712'!N2072</f>
        <v>0</v>
      </c>
      <c r="L147" s="437"/>
      <c r="M147" s="447" t="e">
        <f t="shared" si="196"/>
        <v>#DIV/0!</v>
      </c>
      <c r="N147" s="449">
        <f>'外国語実績201201-201712'!N2100</f>
        <v>0</v>
      </c>
      <c r="O147" s="437">
        <f>'外国語実績201201-201712'!N2112</f>
        <v>0</v>
      </c>
      <c r="P147" s="437"/>
      <c r="Q147" s="447" t="e">
        <f t="shared" si="197"/>
        <v>#DIV/0!</v>
      </c>
      <c r="R147" s="449">
        <f>'外国語実績201201-201712'!N2140</f>
        <v>0</v>
      </c>
      <c r="S147" s="437">
        <f>'外国語実績201201-201712'!N2152</f>
        <v>0</v>
      </c>
      <c r="T147" s="437"/>
      <c r="U147" s="447" t="e">
        <f t="shared" si="198"/>
        <v>#DIV/0!</v>
      </c>
      <c r="V147" s="449">
        <f>'外国語実績201201-201712'!N2193</f>
        <v>0</v>
      </c>
      <c r="W147" s="437">
        <f>'外国語実績201201-201712'!N2205</f>
        <v>0</v>
      </c>
      <c r="X147" s="437"/>
      <c r="Y147" s="447" t="e">
        <f t="shared" si="199"/>
        <v>#DIV/0!</v>
      </c>
      <c r="Z147" s="449">
        <f>'外国語実績201201-201712'!N2235</f>
        <v>0</v>
      </c>
      <c r="AA147" s="437">
        <f>'外国語実績201201-201712'!N2247</f>
        <v>0</v>
      </c>
      <c r="AB147" s="437"/>
      <c r="AC147" s="447" t="e">
        <f t="shared" si="200"/>
        <v>#DIV/0!</v>
      </c>
      <c r="AD147" s="449">
        <f>'外国語実績201201-201712'!N2264</f>
        <v>0</v>
      </c>
      <c r="AE147" s="437">
        <f>'外国語実績201201-201712'!N2276</f>
        <v>0</v>
      </c>
      <c r="AF147" s="437"/>
      <c r="AG147" s="447" t="e">
        <f t="shared" si="201"/>
        <v>#DIV/0!</v>
      </c>
      <c r="AH147" s="449">
        <f>'外国語実績201201-201712'!N2292</f>
        <v>2</v>
      </c>
      <c r="AI147" s="437">
        <f>'外国語実績201201-201712'!N2304</f>
        <v>0</v>
      </c>
      <c r="AJ147" s="437"/>
      <c r="AK147" s="447" t="e">
        <f t="shared" si="202"/>
        <v>#DIV/0!</v>
      </c>
      <c r="AL147" s="449">
        <f>'外国語実績201201-201712'!N2327</f>
        <v>4</v>
      </c>
      <c r="AM147" s="437">
        <f>'外国語実績201201-201712'!N2339</f>
        <v>0</v>
      </c>
      <c r="AN147" s="437"/>
      <c r="AO147" s="447" t="e">
        <f t="shared" si="203"/>
        <v>#DIV/0!</v>
      </c>
      <c r="AP147" s="449">
        <f>'外国語実績201201-201712'!N2355</f>
        <v>2</v>
      </c>
      <c r="AQ147" s="437">
        <f>'外国語実績201201-201712'!N2367</f>
        <v>0</v>
      </c>
      <c r="AR147" s="437"/>
      <c r="AS147" s="447" t="e">
        <f t="shared" si="204"/>
        <v>#DIV/0!</v>
      </c>
      <c r="AT147" s="449">
        <f>'外国語実績201201-201712'!N2383</f>
        <v>1</v>
      </c>
      <c r="AU147" s="437">
        <f>'外国語実績201201-201712'!N2395</f>
        <v>2</v>
      </c>
      <c r="AV147" s="437"/>
      <c r="AW147" s="447">
        <f t="shared" si="205"/>
        <v>-1</v>
      </c>
      <c r="AX147" s="449">
        <f>'外国語実績201201-201712'!N2411</f>
        <v>4</v>
      </c>
      <c r="AY147" s="437">
        <f>'外国語実績201201-201712'!N2423</f>
        <v>4</v>
      </c>
      <c r="AZ147" s="437"/>
      <c r="BA147" s="447">
        <f t="shared" si="206"/>
        <v>-1</v>
      </c>
      <c r="BB147" s="449">
        <f>'外国語実績201201-201712'!N2439</f>
        <v>2</v>
      </c>
      <c r="BC147" s="437">
        <f>'外国語実績201201-201712'!N2451</f>
        <v>0</v>
      </c>
      <c r="BD147" s="437"/>
      <c r="BE147" s="447" t="e">
        <f t="shared" si="207"/>
        <v>#DIV/0!</v>
      </c>
      <c r="BF147" s="449">
        <f>'外国語実績201201-201712'!N2467</f>
        <v>2</v>
      </c>
      <c r="BG147" s="437">
        <f>'外国語実績201201-201712'!N2479</f>
        <v>0</v>
      </c>
      <c r="BH147" s="437"/>
      <c r="BI147" s="447" t="e">
        <f t="shared" si="208"/>
        <v>#DIV/0!</v>
      </c>
      <c r="BJ147" s="449">
        <f>'外国語実績201201-201712'!N2498</f>
        <v>0</v>
      </c>
      <c r="BK147" s="437">
        <f>'外国語実績201201-201712'!N2510</f>
        <v>0</v>
      </c>
      <c r="BL147" s="437"/>
      <c r="BM147" s="447" t="e">
        <f t="shared" si="209"/>
        <v>#DIV/0!</v>
      </c>
      <c r="BN147" s="30"/>
      <c r="BO147" s="30"/>
      <c r="BP147" s="30"/>
    </row>
    <row r="148" spans="1:68" ht="75" customHeight="1" thickBot="1">
      <c r="A148" s="76" t="s">
        <v>5</v>
      </c>
      <c r="B148" s="87">
        <f>SUM(B136:B147)</f>
        <v>18</v>
      </c>
      <c r="C148" s="96">
        <f t="shared" ref="C148:D148" si="210">SUM(C136:C147)</f>
        <v>21</v>
      </c>
      <c r="D148" s="96">
        <f t="shared" si="210"/>
        <v>2</v>
      </c>
      <c r="E148" s="450">
        <f t="shared" si="194"/>
        <v>-0.90476190476190477</v>
      </c>
      <c r="F148" s="87">
        <f>SUM(F136:F147)</f>
        <v>24</v>
      </c>
      <c r="G148" s="96">
        <f t="shared" ref="G148:H148" si="211">SUM(G136:G147)</f>
        <v>127</v>
      </c>
      <c r="H148" s="96">
        <f t="shared" si="211"/>
        <v>0</v>
      </c>
      <c r="I148" s="450">
        <f t="shared" si="195"/>
        <v>-1</v>
      </c>
      <c r="J148" s="87">
        <f>SUM(J136:J147)</f>
        <v>93</v>
      </c>
      <c r="K148" s="96">
        <f t="shared" ref="K148:L148" si="212">SUM(K136:K147)</f>
        <v>86</v>
      </c>
      <c r="L148" s="96">
        <f t="shared" si="212"/>
        <v>0</v>
      </c>
      <c r="M148" s="450">
        <f t="shared" si="196"/>
        <v>-1</v>
      </c>
      <c r="N148" s="87">
        <f>SUM(N136:N147)</f>
        <v>1</v>
      </c>
      <c r="O148" s="96">
        <f t="shared" ref="O148:P148" si="213">SUM(O136:O147)</f>
        <v>0</v>
      </c>
      <c r="P148" s="96">
        <f t="shared" si="213"/>
        <v>0</v>
      </c>
      <c r="Q148" s="450" t="e">
        <f t="shared" si="197"/>
        <v>#DIV/0!</v>
      </c>
      <c r="R148" s="87">
        <f>SUM(R136:R147)</f>
        <v>21</v>
      </c>
      <c r="S148" s="96">
        <f t="shared" ref="S148:T148" si="214">SUM(S136:S147)</f>
        <v>6</v>
      </c>
      <c r="T148" s="96">
        <f t="shared" si="214"/>
        <v>0</v>
      </c>
      <c r="U148" s="450">
        <f t="shared" si="198"/>
        <v>-1</v>
      </c>
      <c r="V148" s="87">
        <f>SUM(V136:V147)</f>
        <v>10</v>
      </c>
      <c r="W148" s="96">
        <f t="shared" ref="W148:X148" si="215">SUM(W136:W147)</f>
        <v>63</v>
      </c>
      <c r="X148" s="96">
        <f t="shared" si="215"/>
        <v>2</v>
      </c>
      <c r="Y148" s="450">
        <f t="shared" si="199"/>
        <v>-0.96825396825396826</v>
      </c>
      <c r="Z148" s="87">
        <f>SUM(Z136:Z147)</f>
        <v>6</v>
      </c>
      <c r="AA148" s="96">
        <f t="shared" ref="AA148:AB148" si="216">SUM(AA136:AA147)</f>
        <v>2</v>
      </c>
      <c r="AB148" s="96">
        <f t="shared" si="216"/>
        <v>0</v>
      </c>
      <c r="AC148" s="450">
        <f t="shared" si="200"/>
        <v>-1</v>
      </c>
      <c r="AD148" s="87">
        <f>SUM(AD136:AD147)</f>
        <v>2</v>
      </c>
      <c r="AE148" s="96">
        <f t="shared" ref="AE148:AF148" si="217">SUM(AE136:AE147)</f>
        <v>76</v>
      </c>
      <c r="AF148" s="96">
        <f t="shared" si="217"/>
        <v>0</v>
      </c>
      <c r="AG148" s="450">
        <f t="shared" si="201"/>
        <v>-1</v>
      </c>
      <c r="AH148" s="87">
        <f>SUM(AH136:AH147)</f>
        <v>2</v>
      </c>
      <c r="AI148" s="96">
        <f t="shared" ref="AI148:AJ148" si="218">SUM(AI136:AI147)</f>
        <v>24</v>
      </c>
      <c r="AJ148" s="96">
        <f t="shared" si="218"/>
        <v>1</v>
      </c>
      <c r="AK148" s="450">
        <f t="shared" si="202"/>
        <v>-0.95833333333333337</v>
      </c>
      <c r="AL148" s="87">
        <f>SUM(AL136:AL147)</f>
        <v>6</v>
      </c>
      <c r="AM148" s="96">
        <f t="shared" ref="AM148:AN148" si="219">SUM(AM136:AM147)</f>
        <v>27</v>
      </c>
      <c r="AN148" s="96">
        <f t="shared" si="219"/>
        <v>0</v>
      </c>
      <c r="AO148" s="450">
        <f t="shared" si="203"/>
        <v>-1</v>
      </c>
      <c r="AP148" s="87">
        <f>SUM(AP136:AP147)</f>
        <v>2</v>
      </c>
      <c r="AQ148" s="96">
        <f t="shared" ref="AQ148:AR148" si="220">SUM(AQ136:AQ147)</f>
        <v>22</v>
      </c>
      <c r="AR148" s="96">
        <f t="shared" si="220"/>
        <v>0</v>
      </c>
      <c r="AS148" s="450">
        <f t="shared" si="204"/>
        <v>-1</v>
      </c>
      <c r="AT148" s="87">
        <f>SUM(AT136:AT147)</f>
        <v>2</v>
      </c>
      <c r="AU148" s="96">
        <f t="shared" ref="AU148:AV148" si="221">SUM(AU136:AU147)</f>
        <v>46</v>
      </c>
      <c r="AV148" s="96">
        <f t="shared" si="221"/>
        <v>0</v>
      </c>
      <c r="AW148" s="450">
        <f t="shared" si="205"/>
        <v>-1</v>
      </c>
      <c r="AX148" s="87">
        <f>SUM(AX136:AX147)</f>
        <v>4</v>
      </c>
      <c r="AY148" s="96">
        <f t="shared" ref="AY148:AZ148" si="222">SUM(AY136:AY147)</f>
        <v>41</v>
      </c>
      <c r="AZ148" s="96">
        <f t="shared" si="222"/>
        <v>0</v>
      </c>
      <c r="BA148" s="450">
        <f t="shared" si="206"/>
        <v>-1</v>
      </c>
      <c r="BB148" s="87">
        <f>SUM(BB136:BB147)</f>
        <v>2</v>
      </c>
      <c r="BC148" s="96">
        <f t="shared" ref="BC148:BD148" si="223">SUM(BC136:BC147)</f>
        <v>43</v>
      </c>
      <c r="BD148" s="96">
        <f t="shared" si="223"/>
        <v>0</v>
      </c>
      <c r="BE148" s="450">
        <f t="shared" si="207"/>
        <v>-1</v>
      </c>
      <c r="BF148" s="87">
        <f>SUM(BF136:BF147)</f>
        <v>2</v>
      </c>
      <c r="BG148" s="96">
        <f t="shared" ref="BG148:BH148" si="224">SUM(BG136:BG147)</f>
        <v>9</v>
      </c>
      <c r="BH148" s="96">
        <f t="shared" si="224"/>
        <v>0</v>
      </c>
      <c r="BI148" s="450">
        <f t="shared" si="208"/>
        <v>-1</v>
      </c>
      <c r="BJ148" s="87">
        <f>SUM(BJ136:BJ147)</f>
        <v>0</v>
      </c>
      <c r="BK148" s="96">
        <f t="shared" ref="BK148:BL148" si="225">SUM(BK136:BK147)</f>
        <v>7</v>
      </c>
      <c r="BL148" s="96">
        <f t="shared" si="225"/>
        <v>0</v>
      </c>
      <c r="BM148" s="450">
        <f t="shared" si="209"/>
        <v>-1</v>
      </c>
      <c r="BN148" s="30"/>
      <c r="BO148" s="30"/>
      <c r="BP148" s="30"/>
    </row>
    <row r="149" spans="1:68" ht="20.100000000000001" customHeight="1" thickBot="1">
      <c r="A149" s="28"/>
      <c r="B149" s="28"/>
      <c r="C149" s="28"/>
      <c r="D149" s="28"/>
      <c r="E149" s="28"/>
      <c r="F149" s="29"/>
      <c r="G149" s="29"/>
      <c r="H149" s="29"/>
      <c r="I149" s="28"/>
      <c r="J149" s="28"/>
      <c r="K149" s="28"/>
      <c r="L149" s="28"/>
      <c r="M149" s="29"/>
      <c r="N149" s="28"/>
      <c r="O149" s="28"/>
      <c r="P149" s="28"/>
      <c r="Q149" s="28"/>
      <c r="R149" s="28"/>
      <c r="S149" s="28"/>
      <c r="T149" s="29"/>
      <c r="U149" s="28"/>
      <c r="V149" s="28"/>
      <c r="W149" s="28"/>
      <c r="X149" s="28"/>
      <c r="Y149" s="28"/>
      <c r="Z149" s="28"/>
      <c r="AA149" s="29"/>
      <c r="AB149" s="28"/>
      <c r="AC149" s="28"/>
      <c r="AD149" s="28"/>
      <c r="AE149" s="28"/>
      <c r="AF149" s="28"/>
      <c r="AG149" s="29"/>
      <c r="AH149" s="28"/>
      <c r="AI149" s="28"/>
      <c r="AJ149" s="28"/>
      <c r="AK149" s="29"/>
      <c r="AL149" s="29"/>
      <c r="AM149" s="29"/>
      <c r="AN149" s="29"/>
      <c r="AO149" s="28"/>
      <c r="AP149" s="28"/>
      <c r="AQ149" s="28"/>
      <c r="AR149" s="28"/>
      <c r="AS149" s="28"/>
      <c r="AT149" s="28"/>
      <c r="AU149" s="29"/>
      <c r="AV149" s="28"/>
      <c r="AW149" s="28"/>
      <c r="AX149" s="28"/>
      <c r="AY149" s="28"/>
      <c r="AZ149" s="28"/>
      <c r="BD149" s="30"/>
      <c r="BE149" s="30"/>
      <c r="BF149" s="30"/>
    </row>
    <row r="150" spans="1:68" ht="75" customHeight="1" thickBot="1">
      <c r="A150" s="36" t="s">
        <v>1</v>
      </c>
      <c r="B150" s="462" t="s">
        <v>228</v>
      </c>
      <c r="C150" s="463"/>
      <c r="D150" s="464"/>
      <c r="E150" s="462" t="s">
        <v>233</v>
      </c>
      <c r="F150" s="463"/>
      <c r="G150" s="464"/>
      <c r="H150" s="462" t="s">
        <v>238</v>
      </c>
      <c r="I150" s="463"/>
      <c r="J150" s="464"/>
      <c r="K150" s="462" t="s">
        <v>247</v>
      </c>
      <c r="L150" s="463"/>
      <c r="M150" s="464"/>
      <c r="N150" s="438"/>
      <c r="O150" s="439"/>
      <c r="P150" s="440"/>
      <c r="Q150" s="438"/>
      <c r="R150" s="439"/>
      <c r="S150" s="440"/>
      <c r="T150" s="438"/>
      <c r="U150" s="439"/>
      <c r="V150" s="440"/>
      <c r="W150" s="438"/>
      <c r="X150" s="439"/>
      <c r="Y150" s="440"/>
      <c r="Z150" s="438"/>
      <c r="AA150" s="439"/>
      <c r="AB150" s="440"/>
      <c r="AC150" s="438" t="s">
        <v>226</v>
      </c>
      <c r="AD150" s="439"/>
      <c r="AE150" s="439"/>
      <c r="AF150" s="439"/>
      <c r="AG150" s="439"/>
      <c r="AH150" s="439"/>
      <c r="AI150" s="439"/>
      <c r="AJ150" s="439"/>
      <c r="AK150" s="439"/>
      <c r="AL150" s="440"/>
      <c r="AM150" s="28"/>
      <c r="AN150" s="28"/>
      <c r="AO150" s="28"/>
      <c r="AP150" s="28"/>
      <c r="AQ150" s="29"/>
      <c r="AR150" s="28"/>
      <c r="AS150" s="28"/>
      <c r="AT150" s="28"/>
      <c r="AU150" s="29"/>
      <c r="AV150" s="29"/>
      <c r="AW150" s="29"/>
      <c r="AX150" s="29"/>
      <c r="AY150" s="28"/>
      <c r="AZ150" s="28"/>
      <c r="BA150" s="28"/>
      <c r="BB150" s="28"/>
      <c r="BC150" s="28"/>
      <c r="BD150" s="28"/>
      <c r="BE150" s="29"/>
      <c r="BF150" s="28"/>
      <c r="BG150" s="28"/>
      <c r="BH150" s="28"/>
      <c r="BI150" s="28"/>
      <c r="BJ150" s="28"/>
    </row>
    <row r="151" spans="1:68" ht="75" customHeight="1">
      <c r="A151" s="37" t="s">
        <v>6</v>
      </c>
      <c r="B151" s="39" t="s">
        <v>224</v>
      </c>
      <c r="C151" s="39" t="s">
        <v>287</v>
      </c>
      <c r="D151" s="43" t="s">
        <v>11</v>
      </c>
      <c r="E151" s="39" t="s">
        <v>224</v>
      </c>
      <c r="F151" s="39" t="s">
        <v>287</v>
      </c>
      <c r="G151" s="43" t="s">
        <v>11</v>
      </c>
      <c r="H151" s="39" t="s">
        <v>224</v>
      </c>
      <c r="I151" s="39" t="s">
        <v>287</v>
      </c>
      <c r="J151" s="43" t="s">
        <v>11</v>
      </c>
      <c r="K151" s="39" t="s">
        <v>224</v>
      </c>
      <c r="L151" s="39" t="s">
        <v>287</v>
      </c>
      <c r="M151" s="43" t="s">
        <v>11</v>
      </c>
      <c r="N151" s="39" t="s">
        <v>224</v>
      </c>
      <c r="O151" s="39" t="s">
        <v>287</v>
      </c>
      <c r="P151" s="43" t="s">
        <v>11</v>
      </c>
      <c r="Q151" s="39" t="s">
        <v>224</v>
      </c>
      <c r="R151" s="39" t="s">
        <v>287</v>
      </c>
      <c r="S151" s="43" t="s">
        <v>11</v>
      </c>
      <c r="T151" s="39" t="s">
        <v>224</v>
      </c>
      <c r="U151" s="39" t="s">
        <v>287</v>
      </c>
      <c r="V151" s="43" t="s">
        <v>11</v>
      </c>
      <c r="W151" s="39" t="s">
        <v>224</v>
      </c>
      <c r="X151" s="39" t="s">
        <v>287</v>
      </c>
      <c r="Y151" s="43" t="s">
        <v>11</v>
      </c>
      <c r="Z151" s="39" t="s">
        <v>224</v>
      </c>
      <c r="AA151" s="39" t="s">
        <v>287</v>
      </c>
      <c r="AB151" s="43" t="s">
        <v>11</v>
      </c>
      <c r="AC151" s="64" t="s">
        <v>7</v>
      </c>
      <c r="AD151" s="65" t="s">
        <v>8</v>
      </c>
      <c r="AE151" s="65" t="s">
        <v>9</v>
      </c>
      <c r="AF151" s="65" t="s">
        <v>10</v>
      </c>
      <c r="AG151" s="65" t="s">
        <v>48</v>
      </c>
      <c r="AH151" s="65" t="s">
        <v>56</v>
      </c>
      <c r="AI151" s="65" t="s">
        <v>111</v>
      </c>
      <c r="AJ151" s="65" t="s">
        <v>222</v>
      </c>
      <c r="AK151" s="65" t="s">
        <v>287</v>
      </c>
      <c r="AL151" s="43" t="s">
        <v>11</v>
      </c>
      <c r="AM151" s="28"/>
      <c r="AN151" s="28"/>
      <c r="AO151" s="28"/>
      <c r="AP151" s="28"/>
      <c r="AQ151" s="28"/>
      <c r="AR151" s="29"/>
      <c r="AS151" s="28"/>
      <c r="AT151" s="28"/>
      <c r="AU151" s="28"/>
      <c r="AV151" s="29"/>
      <c r="AW151" s="29"/>
      <c r="AX151" s="29"/>
      <c r="AY151" s="29"/>
      <c r="AZ151" s="28"/>
      <c r="BA151" s="28"/>
      <c r="BB151" s="28"/>
      <c r="BC151" s="28"/>
      <c r="BD151" s="28"/>
      <c r="BE151" s="28"/>
      <c r="BF151" s="29"/>
      <c r="BG151" s="28"/>
      <c r="BH151" s="28"/>
      <c r="BI151" s="28"/>
      <c r="BJ151" s="28"/>
      <c r="BK151" s="28"/>
    </row>
    <row r="152" spans="1:68" ht="75" customHeight="1">
      <c r="A152" s="71" t="s">
        <v>12</v>
      </c>
      <c r="B152" s="82">
        <f>'外国語実績201201-201712'!N2527</f>
        <v>0</v>
      </c>
      <c r="C152" s="82">
        <f>'外国語実績201201-201712'!N2539</f>
        <v>0</v>
      </c>
      <c r="D152" s="88" t="e">
        <f>(C152-B152)/B152</f>
        <v>#DIV/0!</v>
      </c>
      <c r="E152" s="82">
        <f>'外国語実績201201-201712'!N2555</f>
        <v>0</v>
      </c>
      <c r="F152" s="82">
        <f>'外国語実績201201-201712'!N2567</f>
        <v>0</v>
      </c>
      <c r="G152" s="88" t="e">
        <f>(F152-E152)/E152</f>
        <v>#DIV/0!</v>
      </c>
      <c r="H152" s="82">
        <f>'外国語実績201201-201712'!N2584</f>
        <v>0</v>
      </c>
      <c r="I152" s="82">
        <f>'外国語実績201201-201712'!N2596</f>
        <v>0</v>
      </c>
      <c r="J152" s="88" t="e">
        <f>(I152-H152)/H152</f>
        <v>#DIV/0!</v>
      </c>
      <c r="K152" s="82">
        <f>'外国語実績201201-201712'!N2613</f>
        <v>0</v>
      </c>
      <c r="L152" s="82">
        <f>'外国語実績201201-201712'!N2625</f>
        <v>0</v>
      </c>
      <c r="M152" s="88" t="e">
        <f>(L152-K152)/K152</f>
        <v>#DIV/0!</v>
      </c>
      <c r="N152" s="82"/>
      <c r="O152" s="452"/>
      <c r="P152" s="88"/>
      <c r="Q152" s="82"/>
      <c r="R152" s="452"/>
      <c r="S152" s="88"/>
      <c r="T152" s="82"/>
      <c r="U152" s="452"/>
      <c r="V152" s="88"/>
      <c r="W152" s="82"/>
      <c r="X152" s="452"/>
      <c r="Y152" s="88"/>
      <c r="Z152" s="82"/>
      <c r="AA152" s="452"/>
      <c r="AB152" s="88"/>
      <c r="AC152" s="289">
        <f t="shared" ref="AC152:AC163" si="226">B88+L88+V88+AF88</f>
        <v>701</v>
      </c>
      <c r="AD152" s="289">
        <f t="shared" ref="AD152:AD163" si="227">AY88+C88+M88+W88+AG88+AP88</f>
        <v>1163</v>
      </c>
      <c r="AE152" s="289">
        <f t="shared" ref="AE152:AE163" si="228">AZ88+D88+N88+X88+AH88+AQ88</f>
        <v>4483</v>
      </c>
      <c r="AF152" s="289">
        <f t="shared" ref="AF152:AF163" si="229">BH88+E88+O88+Y88+AI88+AR88+BA88</f>
        <v>8124</v>
      </c>
      <c r="AG152" s="289">
        <f t="shared" ref="AG152:AG163" si="230">BI88+F88+P88+Z88+AJ88+AS88+BB88</f>
        <v>7791</v>
      </c>
      <c r="AH152" s="289">
        <f t="shared" ref="AH152:AH163" si="231">BJ88+G88+Q88+AA88+AK88+AT88+BC88+B104+G104+L104+Q104+V104+AA104+AF104+AK104+AP104+AU104+AZ104+B120+G120+L120+Q120+V120+AA120+AF120+AK120+AP120+AU120+AZ120</f>
        <v>18292</v>
      </c>
      <c r="AI152" s="289">
        <f t="shared" ref="AI152:AI163" si="232">BK88+H88+R88+AB88+AL88+AU88+BD88+C104+H104+M104+R104+W104+AB104+AG104+AL104+AQ104+AV104+BA104+C120+H120+M120+R120+W120+AB120+AG120+AL120+AQ120+AV120+BA120+BE120+BI120+B136+F136+J136+N136+R136+V136+Z136+AD136+AH136+AL136+AP136+AT136+AX136+BB136+BF136+BJ136+BO136</f>
        <v>35311</v>
      </c>
      <c r="AJ152" s="289">
        <f t="shared" ref="AJ152:AJ160" si="233">BL88+I88+S88+AC88+AM88+AV88+BE88+D104+I104+N104+S104+X104+AC104+AH104+AM104+AR104+AW104+BB104+D120+I120+N120+S120+X120+AC120+AH120+AM120+AR120+AW120+BB120+BF120+BJ120+C136+G136+K136+O136+S136+W136+AA136+AE136+AI136+AM136+AQ136+AU136+AY136+BC136+BG136+BK136+B152+E152+H152+K152+N152+Q152+T152+W152+Z152</f>
        <v>30170</v>
      </c>
      <c r="AK152" s="290">
        <f t="shared" ref="AK152:AK160" si="234">BM88+J88+T88+AD88+AN88+AW88+BF88+E104+J104+O104+T104+Y104+AD104+AI104+AN104+AS104+AX104+BC104+E120+J120+O120+T120+Y120+AD120+AI120+AN120+AS120+AX120+BC120+BG120+BK120+D136+H136+L136+P136+T136+X136+AB136+AF136+AJ136+AN136+AR136+AV136+AZ136+BD136+BH136+BL136+C152+F152+I152+L152+O152+R152+U152+X152+AA152</f>
        <v>194</v>
      </c>
      <c r="AL152" s="88">
        <f>(AK152-AJ152)/AJ152</f>
        <v>-0.99356977129598945</v>
      </c>
      <c r="AM152" s="28"/>
      <c r="AN152" s="28"/>
      <c r="AO152" s="28"/>
      <c r="AP152" s="28"/>
      <c r="AQ152" s="28"/>
      <c r="AR152" s="29"/>
      <c r="AS152" s="28"/>
      <c r="AT152" s="28"/>
      <c r="AU152" s="28"/>
      <c r="AV152" s="29"/>
      <c r="AW152" s="29"/>
      <c r="AX152" s="29"/>
      <c r="AY152" s="29"/>
      <c r="AZ152" s="28"/>
      <c r="BA152" s="28"/>
      <c r="BB152" s="28"/>
      <c r="BC152" s="28"/>
      <c r="BD152" s="28"/>
      <c r="BE152" s="28"/>
      <c r="BF152" s="29"/>
      <c r="BG152" s="28"/>
      <c r="BH152" s="28"/>
      <c r="BI152" s="28"/>
      <c r="BJ152" s="28"/>
      <c r="BK152" s="28"/>
    </row>
    <row r="153" spans="1:68" ht="75" customHeight="1">
      <c r="A153" s="71" t="s">
        <v>13</v>
      </c>
      <c r="B153" s="82">
        <f>'外国語実績201201-201712'!N2528</f>
        <v>0</v>
      </c>
      <c r="C153" s="82">
        <f>'外国語実績201201-201712'!N2540</f>
        <v>0</v>
      </c>
      <c r="D153" s="88" t="e">
        <f t="shared" ref="D153:D164" si="235">(C153-B153)/B153</f>
        <v>#DIV/0!</v>
      </c>
      <c r="E153" s="82">
        <f>'外国語実績201201-201712'!N2556</f>
        <v>0</v>
      </c>
      <c r="F153" s="82">
        <f>'外国語実績201201-201712'!N2568</f>
        <v>0</v>
      </c>
      <c r="G153" s="88" t="e">
        <f t="shared" ref="G153:G164" si="236">(F153-E153)/E153</f>
        <v>#DIV/0!</v>
      </c>
      <c r="H153" s="82">
        <f>'外国語実績201201-201712'!N2585</f>
        <v>0</v>
      </c>
      <c r="I153" s="82">
        <f>'外国語実績201201-201712'!N2597</f>
        <v>0</v>
      </c>
      <c r="J153" s="88" t="e">
        <f t="shared" ref="J153:J164" si="237">(I153-H153)/H153</f>
        <v>#DIV/0!</v>
      </c>
      <c r="K153" s="82">
        <f>'外国語実績201201-201712'!N2614</f>
        <v>0</v>
      </c>
      <c r="L153" s="82">
        <f>'外国語実績201201-201712'!N2626</f>
        <v>0</v>
      </c>
      <c r="M153" s="88" t="e">
        <f t="shared" ref="M153:M164" si="238">(L153-K153)/K153</f>
        <v>#DIV/0!</v>
      </c>
      <c r="N153" s="82"/>
      <c r="O153" s="452"/>
      <c r="P153" s="88"/>
      <c r="Q153" s="82"/>
      <c r="R153" s="452"/>
      <c r="S153" s="88"/>
      <c r="T153" s="82"/>
      <c r="U153" s="452"/>
      <c r="V153" s="88"/>
      <c r="W153" s="82"/>
      <c r="X153" s="452"/>
      <c r="Y153" s="88"/>
      <c r="Z153" s="82"/>
      <c r="AA153" s="452"/>
      <c r="AB153" s="88"/>
      <c r="AC153" s="289">
        <f t="shared" si="226"/>
        <v>863</v>
      </c>
      <c r="AD153" s="289">
        <f t="shared" si="227"/>
        <v>1281</v>
      </c>
      <c r="AE153" s="289">
        <f t="shared" si="228"/>
        <v>3373</v>
      </c>
      <c r="AF153" s="289">
        <f t="shared" si="229"/>
        <v>7969</v>
      </c>
      <c r="AG153" s="289">
        <f t="shared" si="230"/>
        <v>7381</v>
      </c>
      <c r="AH153" s="289">
        <f t="shared" si="231"/>
        <v>17226</v>
      </c>
      <c r="AI153" s="289">
        <f t="shared" si="232"/>
        <v>26758</v>
      </c>
      <c r="AJ153" s="289">
        <f t="shared" si="233"/>
        <v>23785</v>
      </c>
      <c r="AK153" s="290">
        <f t="shared" si="234"/>
        <v>109</v>
      </c>
      <c r="AL153" s="88">
        <f t="shared" ref="AL153:AL164" si="239">(AK153-AJ153)/AJ153</f>
        <v>-0.99541727979819217</v>
      </c>
      <c r="AM153" s="24"/>
      <c r="AN153" s="24"/>
      <c r="AU153" s="24"/>
    </row>
    <row r="154" spans="1:68" ht="75" customHeight="1">
      <c r="A154" s="72" t="s">
        <v>14</v>
      </c>
      <c r="B154" s="82">
        <f>'外国語実績201201-201712'!N2529</f>
        <v>2</v>
      </c>
      <c r="C154" s="82">
        <f>'外国語実績201201-201712'!N2541</f>
        <v>0</v>
      </c>
      <c r="D154" s="88">
        <f t="shared" si="235"/>
        <v>-1</v>
      </c>
      <c r="E154" s="82">
        <f>'外国語実績201201-201712'!N2557</f>
        <v>0</v>
      </c>
      <c r="F154" s="82">
        <f>'外国語実績201201-201712'!N2569</f>
        <v>0</v>
      </c>
      <c r="G154" s="88" t="e">
        <f t="shared" si="236"/>
        <v>#DIV/0!</v>
      </c>
      <c r="H154" s="82">
        <f>'外国語実績201201-201712'!N2586</f>
        <v>0</v>
      </c>
      <c r="I154" s="82">
        <f>'外国語実績201201-201712'!N2598</f>
        <v>0</v>
      </c>
      <c r="J154" s="88" t="e">
        <f t="shared" si="237"/>
        <v>#DIV/0!</v>
      </c>
      <c r="K154" s="82">
        <f>'外国語実績201201-201712'!N2615</f>
        <v>0</v>
      </c>
      <c r="L154" s="82">
        <f>'外国語実績201201-201712'!N2627</f>
        <v>0</v>
      </c>
      <c r="M154" s="88" t="e">
        <f t="shared" si="238"/>
        <v>#DIV/0!</v>
      </c>
      <c r="N154" s="82"/>
      <c r="O154" s="452"/>
      <c r="P154" s="88"/>
      <c r="Q154" s="82"/>
      <c r="R154" s="452"/>
      <c r="S154" s="88"/>
      <c r="T154" s="82"/>
      <c r="U154" s="452"/>
      <c r="V154" s="88"/>
      <c r="W154" s="82"/>
      <c r="X154" s="452"/>
      <c r="Y154" s="88"/>
      <c r="Z154" s="82"/>
      <c r="AA154" s="452"/>
      <c r="AB154" s="88"/>
      <c r="AC154" s="289">
        <f t="shared" si="226"/>
        <v>548</v>
      </c>
      <c r="AD154" s="289">
        <f t="shared" si="227"/>
        <v>1218</v>
      </c>
      <c r="AE154" s="289">
        <f t="shared" si="228"/>
        <v>3469</v>
      </c>
      <c r="AF154" s="289">
        <f t="shared" si="229"/>
        <v>6901</v>
      </c>
      <c r="AG154" s="289">
        <f t="shared" si="230"/>
        <v>4418</v>
      </c>
      <c r="AH154" s="289">
        <f t="shared" si="231"/>
        <v>12312</v>
      </c>
      <c r="AI154" s="289">
        <f t="shared" si="232"/>
        <v>17746</v>
      </c>
      <c r="AJ154" s="289">
        <f t="shared" si="233"/>
        <v>15128</v>
      </c>
      <c r="AK154" s="290">
        <f t="shared" si="234"/>
        <v>219</v>
      </c>
      <c r="AL154" s="88">
        <f t="shared" si="239"/>
        <v>-0.98552353252247493</v>
      </c>
      <c r="AM154" s="24"/>
      <c r="AN154" s="24"/>
      <c r="AU154" s="24"/>
    </row>
    <row r="155" spans="1:68" ht="75" customHeight="1">
      <c r="A155" s="73" t="s">
        <v>15</v>
      </c>
      <c r="B155" s="82">
        <f>'外国語実績201201-201712'!N2530</f>
        <v>0</v>
      </c>
      <c r="C155" s="82">
        <f>'外国語実績201201-201712'!N2542</f>
        <v>0</v>
      </c>
      <c r="D155" s="88" t="e">
        <f t="shared" si="235"/>
        <v>#DIV/0!</v>
      </c>
      <c r="E155" s="82">
        <f>'外国語実績201201-201712'!N2558</f>
        <v>0</v>
      </c>
      <c r="F155" s="82">
        <f>'外国語実績201201-201712'!N2570</f>
        <v>0</v>
      </c>
      <c r="G155" s="88" t="e">
        <f t="shared" si="236"/>
        <v>#DIV/0!</v>
      </c>
      <c r="H155" s="82">
        <f>'外国語実績201201-201712'!N2587</f>
        <v>0</v>
      </c>
      <c r="I155" s="82">
        <f>'外国語実績201201-201712'!N2599</f>
        <v>0</v>
      </c>
      <c r="J155" s="88" t="e">
        <f t="shared" si="237"/>
        <v>#DIV/0!</v>
      </c>
      <c r="K155" s="82">
        <f>'外国語実績201201-201712'!N2616</f>
        <v>0</v>
      </c>
      <c r="L155" s="82">
        <f>'外国語実績201201-201712'!N2628</f>
        <v>0</v>
      </c>
      <c r="M155" s="88" t="e">
        <f t="shared" si="238"/>
        <v>#DIV/0!</v>
      </c>
      <c r="N155" s="82"/>
      <c r="O155" s="452"/>
      <c r="P155" s="88"/>
      <c r="Q155" s="82"/>
      <c r="R155" s="452"/>
      <c r="S155" s="88"/>
      <c r="T155" s="82"/>
      <c r="U155" s="452"/>
      <c r="V155" s="88"/>
      <c r="W155" s="82"/>
      <c r="X155" s="452"/>
      <c r="Y155" s="88"/>
      <c r="Z155" s="82"/>
      <c r="AA155" s="452"/>
      <c r="AB155" s="88"/>
      <c r="AC155" s="289">
        <f t="shared" si="226"/>
        <v>3865</v>
      </c>
      <c r="AD155" s="289">
        <f t="shared" si="227"/>
        <v>3942</v>
      </c>
      <c r="AE155" s="289">
        <f t="shared" si="228"/>
        <v>7131</v>
      </c>
      <c r="AF155" s="289">
        <f t="shared" si="229"/>
        <v>11609</v>
      </c>
      <c r="AG155" s="289">
        <f t="shared" si="230"/>
        <v>10762</v>
      </c>
      <c r="AH155" s="289">
        <f t="shared" si="231"/>
        <v>24165</v>
      </c>
      <c r="AI155" s="289">
        <f t="shared" si="232"/>
        <v>24634</v>
      </c>
      <c r="AJ155" s="289">
        <f t="shared" si="233"/>
        <v>22229</v>
      </c>
      <c r="AK155" s="290">
        <f t="shared" si="234"/>
        <v>0</v>
      </c>
      <c r="AL155" s="88">
        <f t="shared" si="239"/>
        <v>-1</v>
      </c>
      <c r="AM155" s="24"/>
      <c r="AN155" s="24"/>
      <c r="AU155" s="24"/>
    </row>
    <row r="156" spans="1:68" ht="75" customHeight="1">
      <c r="A156" s="71" t="s">
        <v>16</v>
      </c>
      <c r="B156" s="82">
        <f>'外国語実績201201-201712'!N2531</f>
        <v>4</v>
      </c>
      <c r="C156" s="82">
        <f>'外国語実績201201-201712'!N2543</f>
        <v>0</v>
      </c>
      <c r="D156" s="88">
        <f t="shared" si="235"/>
        <v>-1</v>
      </c>
      <c r="E156" s="82">
        <f>'外国語実績201201-201712'!N2559</f>
        <v>2</v>
      </c>
      <c r="F156" s="82">
        <f>'外国語実績201201-201712'!N2571</f>
        <v>0</v>
      </c>
      <c r="G156" s="88">
        <f t="shared" si="236"/>
        <v>-1</v>
      </c>
      <c r="H156" s="82">
        <f>'外国語実績201201-201712'!N2588</f>
        <v>0</v>
      </c>
      <c r="I156" s="82">
        <f>'外国語実績201201-201712'!N2600</f>
        <v>0</v>
      </c>
      <c r="J156" s="88" t="e">
        <f t="shared" si="237"/>
        <v>#DIV/0!</v>
      </c>
      <c r="K156" s="82">
        <f>'外国語実績201201-201712'!N2617</f>
        <v>0</v>
      </c>
      <c r="L156" s="82">
        <f>'外国語実績201201-201712'!N2629</f>
        <v>0</v>
      </c>
      <c r="M156" s="88" t="e">
        <f t="shared" si="238"/>
        <v>#DIV/0!</v>
      </c>
      <c r="N156" s="82"/>
      <c r="O156" s="452"/>
      <c r="P156" s="88"/>
      <c r="Q156" s="82"/>
      <c r="R156" s="452"/>
      <c r="S156" s="88"/>
      <c r="T156" s="82"/>
      <c r="U156" s="452"/>
      <c r="V156" s="88"/>
      <c r="W156" s="82"/>
      <c r="X156" s="452"/>
      <c r="Y156" s="88"/>
      <c r="Z156" s="82"/>
      <c r="AA156" s="452"/>
      <c r="AB156" s="88"/>
      <c r="AC156" s="289">
        <f t="shared" si="226"/>
        <v>2778</v>
      </c>
      <c r="AD156" s="289">
        <f t="shared" si="227"/>
        <v>4432</v>
      </c>
      <c r="AE156" s="289">
        <f t="shared" si="228"/>
        <v>6921</v>
      </c>
      <c r="AF156" s="289">
        <f t="shared" si="229"/>
        <v>10510</v>
      </c>
      <c r="AG156" s="289">
        <f t="shared" si="230"/>
        <v>10684</v>
      </c>
      <c r="AH156" s="289">
        <f t="shared" si="231"/>
        <v>19505</v>
      </c>
      <c r="AI156" s="289">
        <f t="shared" si="232"/>
        <v>21641</v>
      </c>
      <c r="AJ156" s="289">
        <f t="shared" si="233"/>
        <v>20947</v>
      </c>
      <c r="AK156" s="290">
        <f t="shared" si="234"/>
        <v>0</v>
      </c>
      <c r="AL156" s="88">
        <f t="shared" si="239"/>
        <v>-1</v>
      </c>
      <c r="AM156" s="24"/>
      <c r="AN156" s="24"/>
      <c r="AU156" s="24"/>
    </row>
    <row r="157" spans="1:68" ht="75" customHeight="1">
      <c r="A157" s="71" t="s">
        <v>17</v>
      </c>
      <c r="B157" s="82">
        <f>'外国語実績201201-201712'!N2532</f>
        <v>0</v>
      </c>
      <c r="C157" s="82">
        <f>'外国語実績201201-201712'!N2544</f>
        <v>0</v>
      </c>
      <c r="D157" s="88" t="e">
        <f t="shared" si="235"/>
        <v>#DIV/0!</v>
      </c>
      <c r="E157" s="82">
        <f>'外国語実績201201-201712'!N2560</f>
        <v>0</v>
      </c>
      <c r="F157" s="82">
        <f>'外国語実績201201-201712'!N2572</f>
        <v>0</v>
      </c>
      <c r="G157" s="88" t="e">
        <f t="shared" si="236"/>
        <v>#DIV/0!</v>
      </c>
      <c r="H157" s="82">
        <f>'外国語実績201201-201712'!N2589</f>
        <v>2</v>
      </c>
      <c r="I157" s="82">
        <f>'外国語実績201201-201712'!N2601</f>
        <v>0</v>
      </c>
      <c r="J157" s="88">
        <f t="shared" si="237"/>
        <v>-1</v>
      </c>
      <c r="K157" s="82">
        <f>'外国語実績201201-201712'!N2618</f>
        <v>0</v>
      </c>
      <c r="L157" s="82">
        <f>'外国語実績201201-201712'!N2630</f>
        <v>0</v>
      </c>
      <c r="M157" s="88" t="e">
        <f t="shared" si="238"/>
        <v>#DIV/0!</v>
      </c>
      <c r="N157" s="82"/>
      <c r="O157" s="452"/>
      <c r="P157" s="88"/>
      <c r="Q157" s="82"/>
      <c r="R157" s="452"/>
      <c r="S157" s="88"/>
      <c r="T157" s="82"/>
      <c r="U157" s="452"/>
      <c r="V157" s="88"/>
      <c r="W157" s="82"/>
      <c r="X157" s="452"/>
      <c r="Y157" s="88"/>
      <c r="Z157" s="82"/>
      <c r="AA157" s="452"/>
      <c r="AB157" s="88"/>
      <c r="AC157" s="289">
        <f t="shared" si="226"/>
        <v>719</v>
      </c>
      <c r="AD157" s="289">
        <f t="shared" si="227"/>
        <v>1682</v>
      </c>
      <c r="AE157" s="289">
        <f t="shared" si="228"/>
        <v>3181</v>
      </c>
      <c r="AF157" s="289">
        <f t="shared" si="229"/>
        <v>6204</v>
      </c>
      <c r="AG157" s="289">
        <f t="shared" si="230"/>
        <v>7283</v>
      </c>
      <c r="AH157" s="289">
        <f t="shared" si="231"/>
        <v>15390</v>
      </c>
      <c r="AI157" s="289">
        <f t="shared" si="232"/>
        <v>14617</v>
      </c>
      <c r="AJ157" s="289">
        <f t="shared" si="233"/>
        <v>14628</v>
      </c>
      <c r="AK157" s="290">
        <f t="shared" si="234"/>
        <v>0</v>
      </c>
      <c r="AL157" s="88">
        <f t="shared" si="239"/>
        <v>-1</v>
      </c>
      <c r="AM157" s="24"/>
      <c r="AN157" s="24"/>
      <c r="AU157" s="24"/>
    </row>
    <row r="158" spans="1:68" ht="75" customHeight="1">
      <c r="A158" s="71" t="s">
        <v>18</v>
      </c>
      <c r="B158" s="82">
        <f>'外国語実績201201-201712'!N2533</f>
        <v>0</v>
      </c>
      <c r="C158" s="82">
        <f>'外国語実績201201-201712'!N2545</f>
        <v>0</v>
      </c>
      <c r="D158" s="88" t="e">
        <f t="shared" si="235"/>
        <v>#DIV/0!</v>
      </c>
      <c r="E158" s="82">
        <f>'外国語実績201201-201712'!N2561</f>
        <v>0</v>
      </c>
      <c r="F158" s="82">
        <f>'外国語実績201201-201712'!N2573</f>
        <v>0</v>
      </c>
      <c r="G158" s="88" t="e">
        <f t="shared" si="236"/>
        <v>#DIV/0!</v>
      </c>
      <c r="H158" s="82">
        <f>'外国語実績201201-201712'!N2590</f>
        <v>0</v>
      </c>
      <c r="I158" s="82">
        <f>'外国語実績201201-201712'!N2602</f>
        <v>0</v>
      </c>
      <c r="J158" s="88" t="e">
        <f t="shared" si="237"/>
        <v>#DIV/0!</v>
      </c>
      <c r="K158" s="82">
        <f>'外国語実績201201-201712'!N2619</f>
        <v>0</v>
      </c>
      <c r="L158" s="82">
        <f>'外国語実績201201-201712'!N2631</f>
        <v>0</v>
      </c>
      <c r="M158" s="88" t="e">
        <f t="shared" si="238"/>
        <v>#DIV/0!</v>
      </c>
      <c r="N158" s="82"/>
      <c r="O158" s="452"/>
      <c r="P158" s="88"/>
      <c r="Q158" s="82"/>
      <c r="R158" s="452"/>
      <c r="S158" s="88"/>
      <c r="T158" s="82"/>
      <c r="U158" s="452"/>
      <c r="V158" s="88"/>
      <c r="W158" s="82"/>
      <c r="X158" s="452"/>
      <c r="Y158" s="88"/>
      <c r="Z158" s="82"/>
      <c r="AA158" s="452"/>
      <c r="AB158" s="88"/>
      <c r="AC158" s="289">
        <f t="shared" si="226"/>
        <v>629</v>
      </c>
      <c r="AD158" s="289">
        <f t="shared" si="227"/>
        <v>1357</v>
      </c>
      <c r="AE158" s="289">
        <f t="shared" si="228"/>
        <v>3643</v>
      </c>
      <c r="AF158" s="289">
        <f t="shared" si="229"/>
        <v>9274</v>
      </c>
      <c r="AG158" s="289">
        <f t="shared" si="230"/>
        <v>10853</v>
      </c>
      <c r="AH158" s="289">
        <f t="shared" si="231"/>
        <v>18053</v>
      </c>
      <c r="AI158" s="289">
        <f t="shared" si="232"/>
        <v>20516</v>
      </c>
      <c r="AJ158" s="289">
        <f t="shared" si="233"/>
        <v>18753</v>
      </c>
      <c r="AK158" s="290">
        <f t="shared" si="234"/>
        <v>0</v>
      </c>
      <c r="AL158" s="88">
        <f t="shared" si="239"/>
        <v>-1</v>
      </c>
      <c r="AM158" s="24"/>
      <c r="AN158" s="24"/>
      <c r="AU158" s="24"/>
    </row>
    <row r="159" spans="1:68" ht="75" customHeight="1">
      <c r="A159" s="71" t="s">
        <v>19</v>
      </c>
      <c r="B159" s="82">
        <f>'外国語実績201201-201712'!N2534</f>
        <v>5</v>
      </c>
      <c r="C159" s="82">
        <f>'外国語実績201201-201712'!N2546</f>
        <v>0</v>
      </c>
      <c r="D159" s="88">
        <f t="shared" si="235"/>
        <v>-1</v>
      </c>
      <c r="E159" s="82">
        <f>'外国語実績201201-201712'!N2562</f>
        <v>0</v>
      </c>
      <c r="F159" s="82">
        <f>'外国語実績201201-201712'!N2574</f>
        <v>0</v>
      </c>
      <c r="G159" s="88" t="e">
        <f t="shared" si="236"/>
        <v>#DIV/0!</v>
      </c>
      <c r="H159" s="82">
        <f>'外国語実績201201-201712'!N2591</f>
        <v>0</v>
      </c>
      <c r="I159" s="82">
        <f>'外国語実績201201-201712'!N2603</f>
        <v>0</v>
      </c>
      <c r="J159" s="88" t="e">
        <f t="shared" si="237"/>
        <v>#DIV/0!</v>
      </c>
      <c r="K159" s="82">
        <f>'外国語実績201201-201712'!N2620</f>
        <v>1</v>
      </c>
      <c r="L159" s="82">
        <f>'外国語実績201201-201712'!N2632</f>
        <v>0</v>
      </c>
      <c r="M159" s="88">
        <f t="shared" si="238"/>
        <v>-1</v>
      </c>
      <c r="N159" s="82"/>
      <c r="O159" s="452"/>
      <c r="P159" s="88"/>
      <c r="Q159" s="82"/>
      <c r="R159" s="452"/>
      <c r="S159" s="88"/>
      <c r="T159" s="82"/>
      <c r="U159" s="452"/>
      <c r="V159" s="88"/>
      <c r="W159" s="82"/>
      <c r="X159" s="452"/>
      <c r="Y159" s="88"/>
      <c r="Z159" s="82"/>
      <c r="AA159" s="452"/>
      <c r="AB159" s="88"/>
      <c r="AC159" s="289">
        <f t="shared" si="226"/>
        <v>624</v>
      </c>
      <c r="AD159" s="289">
        <f t="shared" si="227"/>
        <v>1549</v>
      </c>
      <c r="AE159" s="289">
        <f t="shared" si="228"/>
        <v>4621</v>
      </c>
      <c r="AF159" s="289">
        <f t="shared" si="229"/>
        <v>9496</v>
      </c>
      <c r="AG159" s="289">
        <f t="shared" si="230"/>
        <v>12880</v>
      </c>
      <c r="AH159" s="289">
        <f t="shared" si="231"/>
        <v>25766</v>
      </c>
      <c r="AI159" s="289">
        <f t="shared" si="232"/>
        <v>28588</v>
      </c>
      <c r="AJ159" s="289">
        <f t="shared" si="233"/>
        <v>31024</v>
      </c>
      <c r="AK159" s="290">
        <f t="shared" si="234"/>
        <v>0</v>
      </c>
      <c r="AL159" s="88">
        <f t="shared" si="239"/>
        <v>-1</v>
      </c>
      <c r="AM159" s="24"/>
      <c r="AN159" s="24"/>
      <c r="AU159" s="24"/>
    </row>
    <row r="160" spans="1:68" ht="75" customHeight="1">
      <c r="A160" s="71" t="s">
        <v>20</v>
      </c>
      <c r="B160" s="82">
        <f>'外国語実績201201-201712'!N2535</f>
        <v>0</v>
      </c>
      <c r="C160" s="82">
        <f>'外国語実績201201-201712'!N2547</f>
        <v>0</v>
      </c>
      <c r="D160" s="88" t="e">
        <f t="shared" si="235"/>
        <v>#DIV/0!</v>
      </c>
      <c r="E160" s="82">
        <f>'外国語実績201201-201712'!N2563</f>
        <v>0</v>
      </c>
      <c r="F160" s="82">
        <f>'外国語実績201201-201712'!N2575</f>
        <v>0</v>
      </c>
      <c r="G160" s="88" t="e">
        <f t="shared" si="236"/>
        <v>#DIV/0!</v>
      </c>
      <c r="H160" s="82">
        <f>'外国語実績201201-201712'!N2592</f>
        <v>0</v>
      </c>
      <c r="I160" s="82">
        <f>'外国語実績201201-201712'!N2604</f>
        <v>0</v>
      </c>
      <c r="J160" s="88" t="e">
        <f t="shared" si="237"/>
        <v>#DIV/0!</v>
      </c>
      <c r="K160" s="82">
        <f>'外国語実績201201-201712'!N2621</f>
        <v>11</v>
      </c>
      <c r="L160" s="82">
        <f>'外国語実績201201-201712'!N2633</f>
        <v>0</v>
      </c>
      <c r="M160" s="88">
        <f t="shared" si="238"/>
        <v>-1</v>
      </c>
      <c r="N160" s="82"/>
      <c r="O160" s="452"/>
      <c r="P160" s="88"/>
      <c r="Q160" s="82"/>
      <c r="R160" s="452"/>
      <c r="S160" s="88"/>
      <c r="T160" s="82"/>
      <c r="U160" s="452"/>
      <c r="V160" s="88"/>
      <c r="W160" s="82"/>
      <c r="X160" s="452"/>
      <c r="Y160" s="88"/>
      <c r="Z160" s="82"/>
      <c r="AA160" s="452"/>
      <c r="AB160" s="88"/>
      <c r="AC160" s="289">
        <f t="shared" si="226"/>
        <v>832</v>
      </c>
      <c r="AD160" s="289">
        <f t="shared" si="227"/>
        <v>1803</v>
      </c>
      <c r="AE160" s="289">
        <f t="shared" si="228"/>
        <v>5574</v>
      </c>
      <c r="AF160" s="289">
        <f t="shared" si="229"/>
        <v>11533</v>
      </c>
      <c r="AG160" s="289">
        <f t="shared" si="230"/>
        <v>13172</v>
      </c>
      <c r="AH160" s="289">
        <f t="shared" si="231"/>
        <v>21979</v>
      </c>
      <c r="AI160" s="289">
        <f t="shared" si="232"/>
        <v>23225</v>
      </c>
      <c r="AJ160" s="289">
        <f t="shared" si="233"/>
        <v>26957</v>
      </c>
      <c r="AK160" s="290">
        <f t="shared" si="234"/>
        <v>0</v>
      </c>
      <c r="AL160" s="88">
        <f t="shared" si="239"/>
        <v>-1</v>
      </c>
      <c r="AM160" s="24"/>
      <c r="AN160" s="24"/>
      <c r="AU160" s="24"/>
    </row>
    <row r="161" spans="1:52" ht="75" customHeight="1">
      <c r="A161" s="71" t="s">
        <v>21</v>
      </c>
      <c r="B161" s="82">
        <f>'外国語実績201201-201712'!N2536</f>
        <v>13</v>
      </c>
      <c r="C161" s="452"/>
      <c r="D161" s="88">
        <f t="shared" si="235"/>
        <v>-1</v>
      </c>
      <c r="E161" s="82">
        <f>'外国語実績201201-201712'!N2564</f>
        <v>0</v>
      </c>
      <c r="F161" s="452"/>
      <c r="G161" s="88" t="e">
        <f t="shared" si="236"/>
        <v>#DIV/0!</v>
      </c>
      <c r="H161" s="82">
        <f>'外国語実績201201-201712'!N2593</f>
        <v>0</v>
      </c>
      <c r="I161" s="452"/>
      <c r="J161" s="88" t="e">
        <f t="shared" si="237"/>
        <v>#DIV/0!</v>
      </c>
      <c r="K161" s="82">
        <f>'外国語実績201201-201712'!N2622</f>
        <v>24</v>
      </c>
      <c r="L161" s="452"/>
      <c r="M161" s="88">
        <f t="shared" si="238"/>
        <v>-1</v>
      </c>
      <c r="N161" s="82"/>
      <c r="O161" s="452"/>
      <c r="P161" s="88"/>
      <c r="Q161" s="82"/>
      <c r="R161" s="452"/>
      <c r="S161" s="88"/>
      <c r="T161" s="82"/>
      <c r="U161" s="452"/>
      <c r="V161" s="88"/>
      <c r="W161" s="82"/>
      <c r="X161" s="452"/>
      <c r="Y161" s="88"/>
      <c r="Z161" s="82"/>
      <c r="AA161" s="452"/>
      <c r="AB161" s="88"/>
      <c r="AC161" s="289">
        <f t="shared" si="226"/>
        <v>510</v>
      </c>
      <c r="AD161" s="289">
        <f t="shared" si="227"/>
        <v>1548</v>
      </c>
      <c r="AE161" s="289">
        <f t="shared" si="228"/>
        <v>4773</v>
      </c>
      <c r="AF161" s="289">
        <f t="shared" si="229"/>
        <v>9929</v>
      </c>
      <c r="AG161" s="289">
        <f t="shared" si="230"/>
        <v>13415</v>
      </c>
      <c r="AH161" s="289">
        <f t="shared" si="231"/>
        <v>18545</v>
      </c>
      <c r="AI161" s="289">
        <f t="shared" si="232"/>
        <v>22188</v>
      </c>
      <c r="AJ161" s="289">
        <f>BL97+I97+S97+AC97+AM97+AV97+BE97+D113+I113+N113+S113+X113+AC113+AH113+AM113+AR113+AW113+BB113+D129+I129+N129+S129+X129+AC129+AH129+AM129+AR129+AW129+BB129+BF129+BJ129+C145+G145+K145+O145+S145+W145+AA145+AE145+AI145+AM145+AQ145+AU145+AY145+BC145+BG145+BK145+B161+E161+H161+K161+N161+Q161+T161+W161+Z161</f>
        <v>23887</v>
      </c>
      <c r="AK161" s="289"/>
      <c r="AL161" s="88">
        <f t="shared" si="239"/>
        <v>-1</v>
      </c>
      <c r="AM161" s="24"/>
      <c r="AN161" s="24"/>
      <c r="AU161" s="24"/>
    </row>
    <row r="162" spans="1:52" ht="75" customHeight="1">
      <c r="A162" s="74" t="s">
        <v>22</v>
      </c>
      <c r="B162" s="82">
        <f>'外国語実績201201-201712'!N2537</f>
        <v>0</v>
      </c>
      <c r="C162" s="452"/>
      <c r="D162" s="88" t="e">
        <f t="shared" si="235"/>
        <v>#DIV/0!</v>
      </c>
      <c r="E162" s="82">
        <f>'外国語実績201201-201712'!N2565</f>
        <v>0</v>
      </c>
      <c r="F162" s="452"/>
      <c r="G162" s="88" t="e">
        <f t="shared" si="236"/>
        <v>#DIV/0!</v>
      </c>
      <c r="H162" s="82">
        <f>'外国語実績201201-201712'!N2594</f>
        <v>0</v>
      </c>
      <c r="I162" s="452"/>
      <c r="J162" s="88" t="e">
        <f t="shared" si="237"/>
        <v>#DIV/0!</v>
      </c>
      <c r="K162" s="82">
        <f>'外国語実績201201-201712'!N2623</f>
        <v>10</v>
      </c>
      <c r="L162" s="452"/>
      <c r="M162" s="88">
        <f t="shared" si="238"/>
        <v>-1</v>
      </c>
      <c r="N162" s="82"/>
      <c r="O162" s="452"/>
      <c r="P162" s="88"/>
      <c r="Q162" s="82"/>
      <c r="R162" s="452"/>
      <c r="S162" s="88"/>
      <c r="T162" s="82"/>
      <c r="U162" s="452"/>
      <c r="V162" s="88"/>
      <c r="W162" s="82"/>
      <c r="X162" s="452"/>
      <c r="Y162" s="88"/>
      <c r="Z162" s="82"/>
      <c r="AA162" s="452"/>
      <c r="AB162" s="88"/>
      <c r="AC162" s="289">
        <f t="shared" si="226"/>
        <v>576</v>
      </c>
      <c r="AD162" s="289">
        <f t="shared" si="227"/>
        <v>1220</v>
      </c>
      <c r="AE162" s="289">
        <f t="shared" si="228"/>
        <v>4555</v>
      </c>
      <c r="AF162" s="289">
        <f t="shared" si="229"/>
        <v>7906</v>
      </c>
      <c r="AG162" s="289">
        <f t="shared" si="230"/>
        <v>10411</v>
      </c>
      <c r="AH162" s="289">
        <f t="shared" si="231"/>
        <v>18507</v>
      </c>
      <c r="AI162" s="289">
        <f t="shared" si="232"/>
        <v>23041</v>
      </c>
      <c r="AJ162" s="289">
        <f>BL98+I98+S98+AC98+AM98+AV98+BE98+D114+I114+N114+S114+X114+AC114+AH114+AM114+AR114+AW114+BB114+D130+I130+N130+S130+X130+AC130+AH130+AM130+AR130+AW130+BB130+BF130+BJ130+C146+G146+K146+O146+S146+W146+AA146+AE146+AI146+AM146+AQ146+AU146+AY146+BC146+BG146+BK146+B162+E162+H162+K162+N162+Q162+T162+W162+Z162</f>
        <v>14020</v>
      </c>
      <c r="AK162" s="289"/>
      <c r="AL162" s="88">
        <f t="shared" si="239"/>
        <v>-1</v>
      </c>
      <c r="AM162" s="24"/>
      <c r="AN162" s="24"/>
      <c r="AU162" s="24"/>
    </row>
    <row r="163" spans="1:52" ht="75" customHeight="1" thickBot="1">
      <c r="A163" s="75" t="s">
        <v>23</v>
      </c>
      <c r="B163" s="449">
        <f>'外国語実績201201-201712'!N2538</f>
        <v>0</v>
      </c>
      <c r="C163" s="453"/>
      <c r="D163" s="447" t="e">
        <f t="shared" si="235"/>
        <v>#DIV/0!</v>
      </c>
      <c r="E163" s="449">
        <f>'外国語実績201201-201712'!N2566</f>
        <v>0</v>
      </c>
      <c r="F163" s="453"/>
      <c r="G163" s="447" t="e">
        <f t="shared" si="236"/>
        <v>#DIV/0!</v>
      </c>
      <c r="H163" s="449">
        <f>'外国語実績201201-201712'!N2595</f>
        <v>0</v>
      </c>
      <c r="I163" s="453"/>
      <c r="J163" s="447" t="e">
        <f t="shared" si="237"/>
        <v>#DIV/0!</v>
      </c>
      <c r="K163" s="449">
        <f>'外国語実績201201-201712'!N2624</f>
        <v>4</v>
      </c>
      <c r="L163" s="453"/>
      <c r="M163" s="447">
        <f t="shared" si="238"/>
        <v>-1</v>
      </c>
      <c r="N163" s="449"/>
      <c r="O163" s="453"/>
      <c r="P163" s="447"/>
      <c r="Q163" s="449"/>
      <c r="R163" s="453"/>
      <c r="S163" s="447"/>
      <c r="T163" s="449"/>
      <c r="U163" s="453"/>
      <c r="V163" s="447"/>
      <c r="W163" s="449"/>
      <c r="X163" s="453"/>
      <c r="Y163" s="447"/>
      <c r="Z163" s="449"/>
      <c r="AA163" s="453"/>
      <c r="AB163" s="447"/>
      <c r="AC163" s="290">
        <f t="shared" si="226"/>
        <v>831</v>
      </c>
      <c r="AD163" s="290">
        <f t="shared" si="227"/>
        <v>2554</v>
      </c>
      <c r="AE163" s="290">
        <f t="shared" si="228"/>
        <v>5965</v>
      </c>
      <c r="AF163" s="290">
        <f t="shared" si="229"/>
        <v>8045</v>
      </c>
      <c r="AG163" s="290">
        <f t="shared" si="230"/>
        <v>13674</v>
      </c>
      <c r="AH163" s="290">
        <f t="shared" si="231"/>
        <v>21025</v>
      </c>
      <c r="AI163" s="290">
        <f t="shared" si="232"/>
        <v>22616</v>
      </c>
      <c r="AJ163" s="290">
        <f>BL99+I99+S99+AC99+AM99+AV99+BE99+D115+I115+N115+S115+X115+AC115+AH115+AM115+AR115+AW115+BB115+D131+I131+N131+S131+X131+AC131+AH131+AM131+AR131+AW131+BB131+BF131+BJ131+C147+G147+K147+O147+S147+W147+AA147+AE147+AI147+AM147+AQ147+AU147+AY147+BC147+BG147+BK147+B163+E163+H163+K163+N163+Q163+T163+W163+Z163</f>
        <v>2507</v>
      </c>
      <c r="AK163" s="290"/>
      <c r="AL163" s="447">
        <f t="shared" si="239"/>
        <v>-1</v>
      </c>
      <c r="AM163" s="24"/>
      <c r="AN163" s="24"/>
      <c r="AU163" s="24"/>
    </row>
    <row r="164" spans="1:52" ht="75" customHeight="1" thickBot="1">
      <c r="A164" s="76" t="s">
        <v>5</v>
      </c>
      <c r="B164" s="87">
        <f t="shared" ref="B164:C164" si="240">SUM(B152:B163)</f>
        <v>24</v>
      </c>
      <c r="C164" s="87">
        <f t="shared" si="240"/>
        <v>0</v>
      </c>
      <c r="D164" s="450">
        <f t="shared" si="235"/>
        <v>-1</v>
      </c>
      <c r="E164" s="87">
        <f t="shared" ref="E164:F164" si="241">SUM(E152:E163)</f>
        <v>2</v>
      </c>
      <c r="F164" s="87">
        <f t="shared" si="241"/>
        <v>0</v>
      </c>
      <c r="G164" s="450">
        <f t="shared" si="236"/>
        <v>-1</v>
      </c>
      <c r="H164" s="87">
        <f t="shared" ref="H164:I164" si="242">SUM(H152:H163)</f>
        <v>2</v>
      </c>
      <c r="I164" s="87">
        <f t="shared" si="242"/>
        <v>0</v>
      </c>
      <c r="J164" s="450">
        <f t="shared" si="237"/>
        <v>-1</v>
      </c>
      <c r="K164" s="87">
        <f t="shared" ref="K164:L164" si="243">SUM(K152:K163)</f>
        <v>50</v>
      </c>
      <c r="L164" s="87">
        <f t="shared" si="243"/>
        <v>0</v>
      </c>
      <c r="M164" s="450">
        <f t="shared" si="238"/>
        <v>-1</v>
      </c>
      <c r="N164" s="87">
        <f t="shared" ref="N164" si="244">SUM(N152:N163)</f>
        <v>0</v>
      </c>
      <c r="O164" s="458"/>
      <c r="P164" s="450"/>
      <c r="Q164" s="87">
        <f t="shared" ref="Q164" si="245">SUM(Q152:Q163)</f>
        <v>0</v>
      </c>
      <c r="R164" s="458"/>
      <c r="S164" s="450"/>
      <c r="T164" s="87">
        <f t="shared" ref="T164" si="246">SUM(T152:T163)</f>
        <v>0</v>
      </c>
      <c r="U164" s="458"/>
      <c r="V164" s="450"/>
      <c r="W164" s="87">
        <f t="shared" ref="W164" si="247">SUM(W152:W163)</f>
        <v>0</v>
      </c>
      <c r="X164" s="458"/>
      <c r="Y164" s="450"/>
      <c r="Z164" s="87">
        <f t="shared" ref="Z164" si="248">SUM(Z152:Z163)</f>
        <v>0</v>
      </c>
      <c r="AA164" s="458"/>
      <c r="AB164" s="450"/>
      <c r="AC164" s="98">
        <f t="shared" ref="AC164:AH164" si="249">SUM(AC152:AC163)</f>
        <v>13476</v>
      </c>
      <c r="AD164" s="99">
        <f t="shared" si="249"/>
        <v>23749</v>
      </c>
      <c r="AE164" s="100">
        <f t="shared" si="249"/>
        <v>57689</v>
      </c>
      <c r="AF164" s="99">
        <f>SUM(AF152:AF163)</f>
        <v>107500</v>
      </c>
      <c r="AG164" s="99">
        <f t="shared" si="249"/>
        <v>122724</v>
      </c>
      <c r="AH164" s="99">
        <f t="shared" si="249"/>
        <v>230765</v>
      </c>
      <c r="AI164" s="99">
        <f>SUM(AI152:AI163)</f>
        <v>280881</v>
      </c>
      <c r="AJ164" s="100">
        <f>SUM(AJ152:AJ163)</f>
        <v>244035</v>
      </c>
      <c r="AK164" s="100">
        <f>SUM(AK152:AK163)</f>
        <v>522</v>
      </c>
      <c r="AL164" s="450">
        <f t="shared" si="239"/>
        <v>-0.99786096256684487</v>
      </c>
      <c r="AM164" s="24"/>
      <c r="AN164" s="24"/>
      <c r="AU164" s="24"/>
    </row>
    <row r="165" spans="1:52" ht="20.100000000000001" customHeight="1">
      <c r="F165" s="24"/>
      <c r="G165" s="24"/>
      <c r="H165" s="24"/>
      <c r="M165" s="24"/>
      <c r="T165" s="24"/>
      <c r="AA165" s="24"/>
      <c r="AG165" s="24"/>
      <c r="AK165" s="24"/>
      <c r="AL165" s="24"/>
      <c r="AM165" s="24"/>
      <c r="AN165" s="24"/>
      <c r="AU165" s="24"/>
    </row>
    <row r="166" spans="1:52" ht="75" customHeight="1">
      <c r="F166" s="24"/>
      <c r="G166" s="24"/>
      <c r="H166" s="24"/>
      <c r="M166" s="24"/>
      <c r="T166" s="24"/>
      <c r="AA166" s="24"/>
      <c r="AG166" s="24"/>
      <c r="AJ166" s="24" t="s">
        <v>279</v>
      </c>
      <c r="AK166" s="24" t="s">
        <v>280</v>
      </c>
      <c r="AL166" s="24" t="s">
        <v>281</v>
      </c>
      <c r="AM166" s="24" t="s">
        <v>282</v>
      </c>
      <c r="AN166" s="24"/>
      <c r="AU166" s="24"/>
    </row>
    <row r="167" spans="1:52" ht="62.25" customHeight="1">
      <c r="F167" s="24"/>
      <c r="G167" s="24"/>
      <c r="H167" s="24"/>
      <c r="M167" s="24"/>
      <c r="T167" s="24"/>
      <c r="AA167" s="24"/>
      <c r="AG167" s="24"/>
      <c r="AJ167" s="292">
        <f>SUM(AJ152:AJ154)</f>
        <v>69083</v>
      </c>
      <c r="AK167" s="292">
        <f>SUM(AK152:AK154)</f>
        <v>522</v>
      </c>
      <c r="AL167" s="88">
        <f>(AK167-AJ167)/AJ167</f>
        <v>-0.99244387186427918</v>
      </c>
      <c r="AM167" s="292">
        <f>AK167-AJ167</f>
        <v>-68561</v>
      </c>
      <c r="AN167" s="24"/>
      <c r="AU167" s="24"/>
    </row>
    <row r="168" spans="1:52" ht="62.25" customHeight="1">
      <c r="A168" s="28"/>
      <c r="B168" s="28"/>
      <c r="C168" s="28"/>
      <c r="D168" s="28"/>
      <c r="E168" s="28"/>
      <c r="F168" s="29"/>
      <c r="G168" s="29"/>
      <c r="H168" s="29"/>
      <c r="I168" s="28"/>
      <c r="J168" s="28"/>
      <c r="K168" s="28"/>
      <c r="L168" s="28"/>
      <c r="M168" s="29"/>
      <c r="N168" s="28"/>
      <c r="O168" s="28"/>
      <c r="P168" s="28"/>
      <c r="Q168" s="28"/>
      <c r="R168" s="28"/>
      <c r="S168" s="28"/>
      <c r="T168" s="29"/>
      <c r="U168" s="28"/>
      <c r="V168" s="28"/>
      <c r="W168" s="28"/>
      <c r="X168" s="28"/>
      <c r="Y168" s="28"/>
      <c r="Z168" s="28"/>
      <c r="AA168" s="29"/>
      <c r="AB168" s="28"/>
      <c r="AC168" s="28"/>
      <c r="AD168" s="28"/>
      <c r="AE168" s="28"/>
      <c r="AF168" s="28"/>
      <c r="AG168" s="29"/>
      <c r="AH168" s="28"/>
      <c r="AI168" s="28"/>
      <c r="AJ168" s="28"/>
      <c r="AK168" s="29"/>
      <c r="AL168" s="29"/>
      <c r="AM168" s="29"/>
      <c r="AN168" s="29"/>
      <c r="AO168" s="28"/>
      <c r="AP168" s="28"/>
      <c r="AQ168" s="28"/>
      <c r="AR168" s="28"/>
      <c r="AS168" s="28"/>
      <c r="AT168" s="28"/>
      <c r="AU168" s="29"/>
      <c r="AV168" s="28"/>
      <c r="AW168" s="28"/>
      <c r="AX168" s="28"/>
      <c r="AY168" s="28"/>
      <c r="AZ168" s="28"/>
    </row>
    <row r="169" spans="1:52" ht="62.25" customHeight="1">
      <c r="A169" s="28"/>
      <c r="B169" s="28"/>
      <c r="C169" s="28"/>
      <c r="D169" s="28"/>
      <c r="E169" s="28"/>
      <c r="F169" s="29"/>
      <c r="G169" s="29"/>
      <c r="H169" s="29"/>
      <c r="I169" s="28"/>
      <c r="J169" s="28"/>
      <c r="K169" s="28"/>
      <c r="L169" s="28"/>
      <c r="M169" s="29"/>
      <c r="N169" s="28"/>
      <c r="O169" s="28"/>
      <c r="P169" s="28"/>
      <c r="Q169" s="28"/>
      <c r="R169" s="28"/>
      <c r="S169" s="28"/>
      <c r="T169" s="29"/>
      <c r="U169" s="28"/>
      <c r="V169" s="28"/>
      <c r="W169" s="28"/>
      <c r="X169" s="28"/>
      <c r="Y169" s="28"/>
      <c r="Z169" s="28"/>
      <c r="AA169" s="29"/>
      <c r="AB169" s="28"/>
      <c r="AC169" s="28"/>
      <c r="AD169" s="28"/>
      <c r="AE169" s="28"/>
      <c r="AF169" s="28"/>
      <c r="AG169" s="29"/>
      <c r="AH169" s="28"/>
      <c r="AI169" s="28"/>
      <c r="AJ169" s="28"/>
      <c r="AK169" s="29"/>
      <c r="AL169" s="29"/>
      <c r="AM169" s="29"/>
      <c r="AN169" s="29"/>
      <c r="AO169" s="28"/>
      <c r="AP169" s="28"/>
      <c r="AQ169" s="28"/>
      <c r="AR169" s="28"/>
      <c r="AS169" s="28"/>
      <c r="AT169" s="28"/>
      <c r="AU169" s="29"/>
      <c r="AV169" s="28"/>
      <c r="AW169" s="28"/>
      <c r="AX169" s="28"/>
      <c r="AY169" s="28"/>
      <c r="AZ169" s="28"/>
    </row>
    <row r="170" spans="1:52" ht="62.25" customHeight="1">
      <c r="A170" s="28"/>
      <c r="B170" s="28"/>
      <c r="C170" s="28"/>
      <c r="D170" s="28"/>
      <c r="E170" s="28"/>
      <c r="F170" s="29"/>
      <c r="G170" s="29"/>
      <c r="H170" s="29"/>
      <c r="I170" s="28"/>
      <c r="J170" s="28"/>
      <c r="K170" s="28"/>
      <c r="L170" s="28"/>
      <c r="M170" s="29"/>
      <c r="N170" s="28"/>
      <c r="O170" s="28"/>
      <c r="P170" s="28"/>
      <c r="Q170" s="28"/>
      <c r="R170" s="28"/>
      <c r="S170" s="28"/>
      <c r="T170" s="29"/>
      <c r="U170" s="28"/>
      <c r="V170" s="28"/>
      <c r="W170" s="28"/>
      <c r="X170" s="28"/>
      <c r="Y170" s="28"/>
      <c r="Z170" s="28"/>
      <c r="AA170" s="29"/>
      <c r="AB170" s="28"/>
      <c r="AC170" s="28"/>
      <c r="AD170" s="28"/>
      <c r="AE170" s="28"/>
      <c r="AF170" s="28"/>
      <c r="AG170" s="29"/>
      <c r="AH170" s="28"/>
      <c r="AI170" s="28"/>
      <c r="AJ170" s="28"/>
      <c r="AK170" s="29"/>
      <c r="AL170" s="29"/>
      <c r="AM170" s="29"/>
      <c r="AN170" s="29"/>
      <c r="AO170" s="28"/>
      <c r="AP170" s="28"/>
      <c r="AQ170" s="28"/>
      <c r="AR170" s="28"/>
      <c r="AS170" s="28"/>
      <c r="AT170" s="28"/>
      <c r="AU170" s="29"/>
      <c r="AV170" s="28"/>
      <c r="AW170" s="28"/>
      <c r="AX170" s="28"/>
      <c r="AY170" s="28"/>
      <c r="AZ170" s="28"/>
    </row>
    <row r="171" spans="1:52" ht="62.25" customHeight="1">
      <c r="A171" s="28"/>
      <c r="B171" s="28"/>
      <c r="C171" s="28"/>
      <c r="D171" s="28"/>
      <c r="E171" s="28"/>
      <c r="F171" s="29"/>
      <c r="G171" s="29"/>
      <c r="H171" s="29"/>
      <c r="I171" s="28"/>
      <c r="J171" s="28"/>
      <c r="K171" s="28"/>
      <c r="L171" s="28"/>
      <c r="M171" s="29"/>
      <c r="N171" s="28"/>
      <c r="O171" s="28"/>
      <c r="P171" s="28"/>
      <c r="Q171" s="28"/>
      <c r="R171" s="28"/>
      <c r="S171" s="28"/>
      <c r="T171" s="29"/>
      <c r="U171" s="28"/>
      <c r="V171" s="28"/>
      <c r="W171" s="28"/>
      <c r="X171" s="28"/>
      <c r="Y171" s="28"/>
      <c r="Z171" s="28"/>
      <c r="AA171" s="29"/>
      <c r="AB171" s="28"/>
      <c r="AC171" s="28"/>
      <c r="AD171" s="28"/>
      <c r="AE171" s="28"/>
      <c r="AF171" s="28"/>
      <c r="AG171" s="29"/>
      <c r="AH171" s="28"/>
      <c r="AI171" s="28"/>
      <c r="AJ171" s="28"/>
      <c r="AK171" s="29"/>
      <c r="AL171" s="29"/>
      <c r="AM171" s="29"/>
      <c r="AN171" s="29"/>
      <c r="AO171" s="28"/>
      <c r="AP171" s="28"/>
      <c r="AQ171" s="28"/>
      <c r="AR171" s="28"/>
      <c r="AS171" s="28"/>
      <c r="AT171" s="28"/>
      <c r="AU171" s="29"/>
      <c r="AV171" s="28"/>
      <c r="AW171" s="28"/>
      <c r="AX171" s="28"/>
      <c r="AY171" s="28"/>
      <c r="AZ171" s="28"/>
    </row>
    <row r="172" spans="1:52" ht="62.25" customHeight="1">
      <c r="A172" s="28"/>
      <c r="B172" s="28"/>
      <c r="C172" s="28"/>
      <c r="D172" s="28"/>
      <c r="E172" s="28"/>
      <c r="F172" s="29"/>
      <c r="G172" s="29"/>
      <c r="H172" s="29"/>
      <c r="I172" s="28"/>
      <c r="J172" s="28"/>
      <c r="K172" s="28"/>
      <c r="L172" s="28"/>
      <c r="M172" s="29"/>
      <c r="N172" s="28"/>
      <c r="O172" s="28"/>
      <c r="P172" s="28"/>
      <c r="Q172" s="28"/>
      <c r="R172" s="28"/>
      <c r="S172" s="28"/>
      <c r="T172" s="29"/>
      <c r="U172" s="28"/>
      <c r="V172" s="28"/>
      <c r="W172" s="28"/>
      <c r="X172" s="28"/>
      <c r="Y172" s="28"/>
      <c r="Z172" s="28"/>
      <c r="AA172" s="29"/>
      <c r="AB172" s="28"/>
      <c r="AC172" s="28"/>
      <c r="AD172" s="28"/>
      <c r="AE172" s="28"/>
      <c r="AF172" s="28"/>
      <c r="AG172" s="29"/>
      <c r="AH172" s="28"/>
      <c r="AI172" s="28"/>
      <c r="AJ172" s="28"/>
      <c r="AK172" s="29"/>
      <c r="AL172" s="29"/>
      <c r="AM172" s="29"/>
      <c r="AN172" s="29"/>
      <c r="AO172" s="28"/>
      <c r="AP172" s="28"/>
      <c r="AQ172" s="28"/>
      <c r="AR172" s="28"/>
      <c r="AS172" s="28"/>
      <c r="AT172" s="28"/>
      <c r="AU172" s="29"/>
      <c r="AV172" s="28"/>
      <c r="AW172" s="28"/>
      <c r="AX172" s="28"/>
      <c r="AY172" s="28"/>
      <c r="AZ172" s="28"/>
    </row>
    <row r="173" spans="1:52" ht="62.25" customHeight="1">
      <c r="A173" s="28"/>
      <c r="B173" s="28"/>
      <c r="C173" s="28"/>
      <c r="D173" s="28"/>
      <c r="E173" s="28"/>
      <c r="F173" s="29"/>
      <c r="G173" s="29"/>
      <c r="H173" s="29"/>
      <c r="I173" s="28"/>
      <c r="J173" s="28"/>
      <c r="K173" s="28"/>
      <c r="L173" s="28"/>
      <c r="M173" s="29"/>
      <c r="N173" s="28"/>
      <c r="O173" s="28"/>
      <c r="P173" s="28"/>
      <c r="Q173" s="28"/>
      <c r="R173" s="28"/>
      <c r="S173" s="28"/>
      <c r="T173" s="29"/>
      <c r="U173" s="28"/>
      <c r="V173" s="28"/>
      <c r="W173" s="28"/>
      <c r="X173" s="28"/>
      <c r="Y173" s="28"/>
      <c r="Z173" s="28"/>
      <c r="AA173" s="29"/>
      <c r="AB173" s="28"/>
      <c r="AC173" s="28"/>
      <c r="AD173" s="28"/>
      <c r="AE173" s="28"/>
      <c r="AF173" s="28"/>
      <c r="AG173" s="29"/>
      <c r="AH173" s="28"/>
      <c r="AI173" s="28"/>
      <c r="AJ173" s="28"/>
      <c r="AK173" s="29"/>
      <c r="AL173" s="29"/>
      <c r="AM173" s="29"/>
      <c r="AN173" s="29"/>
      <c r="AO173" s="28"/>
      <c r="AP173" s="28"/>
      <c r="AQ173" s="28"/>
      <c r="AR173" s="28"/>
      <c r="AS173" s="28"/>
      <c r="AT173" s="28"/>
      <c r="AU173" s="29"/>
      <c r="AV173" s="28"/>
      <c r="AW173" s="28"/>
      <c r="AX173" s="28"/>
      <c r="AY173" s="28"/>
      <c r="AZ173" s="28"/>
    </row>
    <row r="174" spans="1:52" ht="62.25" customHeight="1">
      <c r="A174" s="28"/>
      <c r="B174" s="28"/>
      <c r="C174" s="28"/>
      <c r="D174" s="28"/>
      <c r="E174" s="28"/>
      <c r="F174" s="29"/>
      <c r="G174" s="29"/>
      <c r="H174" s="29"/>
      <c r="I174" s="28"/>
      <c r="J174" s="28"/>
      <c r="K174" s="28"/>
      <c r="L174" s="28"/>
      <c r="M174" s="29"/>
      <c r="N174" s="28"/>
      <c r="O174" s="28"/>
      <c r="P174" s="28"/>
      <c r="Q174" s="28"/>
      <c r="R174" s="28"/>
      <c r="S174" s="28"/>
      <c r="T174" s="29"/>
      <c r="U174" s="28"/>
      <c r="V174" s="28"/>
      <c r="W174" s="28"/>
      <c r="X174" s="28"/>
      <c r="Y174" s="28"/>
      <c r="Z174" s="28"/>
      <c r="AA174" s="29"/>
      <c r="AB174" s="28"/>
      <c r="AC174" s="28"/>
      <c r="AD174" s="28"/>
      <c r="AE174" s="28"/>
      <c r="AF174" s="28"/>
      <c r="AG174" s="29"/>
      <c r="AH174" s="28"/>
      <c r="AI174" s="28"/>
      <c r="AJ174" s="28"/>
      <c r="AK174" s="29"/>
      <c r="AL174" s="29"/>
      <c r="AM174" s="29"/>
      <c r="AN174" s="29"/>
      <c r="AO174" s="28"/>
      <c r="AP174" s="28"/>
      <c r="AQ174" s="28"/>
      <c r="AR174" s="28"/>
      <c r="AS174" s="28"/>
      <c r="AT174" s="28"/>
      <c r="AU174" s="29"/>
      <c r="AV174" s="28"/>
      <c r="AW174" s="28"/>
      <c r="AX174" s="28"/>
      <c r="AY174" s="28"/>
      <c r="AZ174" s="28"/>
    </row>
    <row r="175" spans="1:52" ht="62.25" customHeight="1">
      <c r="A175" s="28"/>
      <c r="B175" s="28"/>
      <c r="C175" s="28"/>
      <c r="D175" s="28"/>
      <c r="E175" s="28"/>
      <c r="F175" s="29"/>
      <c r="G175" s="29"/>
      <c r="H175" s="29"/>
      <c r="I175" s="28"/>
      <c r="J175" s="28"/>
      <c r="K175" s="28"/>
      <c r="L175" s="28"/>
      <c r="M175" s="29"/>
      <c r="N175" s="28"/>
      <c r="O175" s="28"/>
      <c r="P175" s="28"/>
      <c r="Q175" s="28"/>
      <c r="R175" s="28"/>
      <c r="S175" s="28"/>
      <c r="T175" s="29"/>
      <c r="U175" s="28"/>
      <c r="V175" s="28"/>
      <c r="W175" s="28"/>
      <c r="X175" s="28"/>
      <c r="Y175" s="28"/>
      <c r="Z175" s="28"/>
      <c r="AA175" s="29"/>
      <c r="AB175" s="28"/>
      <c r="AC175" s="28"/>
      <c r="AD175" s="28"/>
      <c r="AE175" s="28"/>
      <c r="AF175" s="28"/>
      <c r="AG175" s="29"/>
      <c r="AH175" s="28"/>
      <c r="AI175" s="28"/>
      <c r="AJ175" s="28"/>
      <c r="AK175" s="29"/>
      <c r="AL175" s="29"/>
      <c r="AM175" s="29"/>
      <c r="AN175" s="29"/>
      <c r="AO175" s="28"/>
      <c r="AP175" s="28"/>
      <c r="AQ175" s="28"/>
      <c r="AR175" s="28"/>
      <c r="AS175" s="28"/>
      <c r="AT175" s="28"/>
      <c r="AU175" s="29"/>
      <c r="AV175" s="28"/>
      <c r="AW175" s="28"/>
      <c r="AX175" s="28"/>
      <c r="AY175" s="28"/>
      <c r="AZ175" s="28"/>
    </row>
    <row r="176" spans="1:52" ht="62.25" customHeight="1">
      <c r="A176" s="28"/>
      <c r="B176" s="28"/>
      <c r="C176" s="28"/>
      <c r="D176" s="28"/>
      <c r="E176" s="28"/>
      <c r="F176" s="29"/>
      <c r="G176" s="29"/>
      <c r="H176" s="29"/>
      <c r="I176" s="28"/>
      <c r="J176" s="28"/>
      <c r="K176" s="28"/>
      <c r="L176" s="28"/>
      <c r="M176" s="29"/>
      <c r="N176" s="28"/>
      <c r="O176" s="28"/>
      <c r="P176" s="28"/>
      <c r="Q176" s="28"/>
      <c r="R176" s="28"/>
      <c r="S176" s="28"/>
      <c r="T176" s="29"/>
      <c r="U176" s="28"/>
      <c r="V176" s="28"/>
      <c r="W176" s="28"/>
      <c r="X176" s="28"/>
      <c r="Y176" s="28"/>
      <c r="Z176" s="28"/>
      <c r="AA176" s="29"/>
      <c r="AB176" s="28"/>
      <c r="AC176" s="28"/>
      <c r="AD176" s="28"/>
      <c r="AE176" s="28"/>
      <c r="AF176" s="28"/>
      <c r="AG176" s="29"/>
      <c r="AH176" s="28"/>
      <c r="AI176" s="28"/>
      <c r="AJ176" s="28"/>
      <c r="AK176" s="29"/>
      <c r="AL176" s="29"/>
      <c r="AM176" s="29"/>
      <c r="AN176" s="29"/>
      <c r="AO176" s="28"/>
      <c r="AP176" s="28"/>
      <c r="AQ176" s="28"/>
      <c r="AR176" s="28"/>
      <c r="AS176" s="28"/>
      <c r="AT176" s="28"/>
      <c r="AU176" s="29"/>
      <c r="AV176" s="28"/>
      <c r="AW176" s="28"/>
      <c r="AX176" s="28"/>
      <c r="AY176" s="28"/>
      <c r="AZ176" s="28"/>
    </row>
    <row r="177" spans="1:52" ht="62.25" customHeight="1">
      <c r="A177" s="28"/>
      <c r="B177" s="28"/>
      <c r="C177" s="28"/>
      <c r="D177" s="28"/>
      <c r="E177" s="28"/>
      <c r="F177" s="29"/>
      <c r="G177" s="29"/>
      <c r="H177" s="29"/>
      <c r="I177" s="28"/>
      <c r="J177" s="28"/>
      <c r="K177" s="28"/>
      <c r="L177" s="28"/>
      <c r="M177" s="29"/>
      <c r="N177" s="28"/>
      <c r="O177" s="28"/>
      <c r="P177" s="28"/>
      <c r="Q177" s="28"/>
      <c r="R177" s="28"/>
      <c r="S177" s="28"/>
      <c r="T177" s="29"/>
      <c r="U177" s="28"/>
      <c r="V177" s="28"/>
      <c r="W177" s="28"/>
      <c r="X177" s="28"/>
      <c r="Y177" s="28"/>
      <c r="Z177" s="28"/>
      <c r="AA177" s="29"/>
      <c r="AB177" s="28"/>
      <c r="AC177" s="28"/>
      <c r="AD177" s="28"/>
      <c r="AE177" s="28"/>
      <c r="AF177" s="28"/>
      <c r="AG177" s="29"/>
      <c r="AH177" s="28"/>
      <c r="AI177" s="28"/>
      <c r="AJ177" s="28"/>
      <c r="AK177" s="29"/>
      <c r="AL177" s="29"/>
      <c r="AM177" s="29"/>
      <c r="AN177" s="29"/>
      <c r="AO177" s="28"/>
      <c r="AP177" s="28"/>
      <c r="AQ177" s="28"/>
      <c r="AR177" s="28"/>
      <c r="AS177" s="28"/>
      <c r="AT177" s="28"/>
      <c r="AU177" s="29"/>
      <c r="AV177" s="28"/>
      <c r="AW177" s="28"/>
      <c r="AX177" s="28"/>
      <c r="AY177" s="28"/>
      <c r="AZ177" s="28"/>
    </row>
    <row r="178" spans="1:52" ht="62.25" customHeight="1">
      <c r="A178" s="28"/>
      <c r="B178" s="28"/>
      <c r="C178" s="28"/>
      <c r="D178" s="28"/>
      <c r="E178" s="28"/>
      <c r="F178" s="29"/>
      <c r="G178" s="29"/>
      <c r="H178" s="29"/>
      <c r="I178" s="28"/>
      <c r="J178" s="28"/>
      <c r="K178" s="28"/>
      <c r="L178" s="28"/>
      <c r="M178" s="29"/>
      <c r="N178" s="28"/>
      <c r="O178" s="28"/>
      <c r="P178" s="28"/>
      <c r="Q178" s="28"/>
      <c r="R178" s="28"/>
      <c r="S178" s="28"/>
      <c r="T178" s="29"/>
      <c r="U178" s="28"/>
      <c r="V178" s="28"/>
      <c r="W178" s="28"/>
      <c r="X178" s="28"/>
      <c r="Y178" s="28"/>
      <c r="Z178" s="28"/>
      <c r="AA178" s="29"/>
      <c r="AB178" s="28"/>
      <c r="AC178" s="28"/>
      <c r="AD178" s="28"/>
      <c r="AE178" s="28"/>
      <c r="AF178" s="28"/>
      <c r="AG178" s="29"/>
      <c r="AH178" s="28"/>
      <c r="AI178" s="28"/>
      <c r="AJ178" s="28"/>
      <c r="AK178" s="29"/>
      <c r="AL178" s="29"/>
      <c r="AM178" s="29"/>
      <c r="AN178" s="29"/>
      <c r="AO178" s="28"/>
      <c r="AP178" s="28"/>
      <c r="AQ178" s="28"/>
      <c r="AR178" s="28"/>
      <c r="AS178" s="28"/>
      <c r="AT178" s="28"/>
      <c r="AU178" s="29"/>
      <c r="AV178" s="28"/>
      <c r="AW178" s="28"/>
      <c r="AX178" s="28"/>
      <c r="AY178" s="28"/>
      <c r="AZ178" s="28"/>
    </row>
    <row r="179" spans="1:52" ht="62.25" customHeight="1">
      <c r="A179" s="28"/>
      <c r="B179" s="28"/>
      <c r="C179" s="28"/>
      <c r="D179" s="28"/>
      <c r="E179" s="28"/>
      <c r="F179" s="29"/>
      <c r="G179" s="29"/>
      <c r="H179" s="29"/>
      <c r="I179" s="28"/>
      <c r="J179" s="28"/>
      <c r="K179" s="28"/>
      <c r="L179" s="28"/>
      <c r="M179" s="29"/>
      <c r="N179" s="28"/>
      <c r="O179" s="28"/>
      <c r="P179" s="28"/>
      <c r="Q179" s="28"/>
      <c r="R179" s="28"/>
      <c r="S179" s="28"/>
      <c r="T179" s="29"/>
      <c r="U179" s="28"/>
      <c r="V179" s="28"/>
      <c r="W179" s="28"/>
      <c r="X179" s="28"/>
      <c r="Y179" s="28"/>
      <c r="Z179" s="28"/>
      <c r="AA179" s="29"/>
      <c r="AB179" s="28"/>
      <c r="AC179" s="28"/>
      <c r="AD179" s="28"/>
      <c r="AE179" s="28"/>
      <c r="AF179" s="28"/>
      <c r="AG179" s="29"/>
      <c r="AH179" s="28"/>
      <c r="AI179" s="28"/>
      <c r="AJ179" s="28"/>
      <c r="AK179" s="29"/>
      <c r="AL179" s="29"/>
      <c r="AM179" s="29"/>
      <c r="AN179" s="29"/>
      <c r="AO179" s="28"/>
      <c r="AP179" s="28"/>
      <c r="AQ179" s="28"/>
      <c r="AR179" s="28"/>
      <c r="AS179" s="28"/>
      <c r="AT179" s="28"/>
      <c r="AU179" s="29"/>
      <c r="AV179" s="28"/>
      <c r="AW179" s="28"/>
      <c r="AX179" s="28"/>
      <c r="AY179" s="28"/>
      <c r="AZ179" s="28"/>
    </row>
    <row r="180" spans="1:52" ht="62.25" customHeight="1">
      <c r="A180" s="28"/>
      <c r="B180" s="28"/>
      <c r="C180" s="28"/>
      <c r="D180" s="28"/>
      <c r="E180" s="28"/>
      <c r="F180" s="29"/>
      <c r="G180" s="29"/>
      <c r="H180" s="29"/>
      <c r="I180" s="28"/>
      <c r="J180" s="28"/>
      <c r="K180" s="28"/>
      <c r="L180" s="28"/>
      <c r="M180" s="29"/>
      <c r="N180" s="28"/>
      <c r="O180" s="28"/>
      <c r="P180" s="28"/>
      <c r="Q180" s="28"/>
      <c r="R180" s="28"/>
      <c r="S180" s="28"/>
      <c r="T180" s="29"/>
      <c r="U180" s="28"/>
      <c r="V180" s="28"/>
      <c r="W180" s="28"/>
      <c r="X180" s="28"/>
      <c r="Y180" s="28"/>
      <c r="Z180" s="28"/>
      <c r="AA180" s="29"/>
      <c r="AB180" s="28"/>
      <c r="AC180" s="28"/>
      <c r="AD180" s="28"/>
      <c r="AE180" s="28"/>
      <c r="AF180" s="28"/>
      <c r="AG180" s="29"/>
      <c r="AH180" s="28"/>
      <c r="AI180" s="28"/>
      <c r="AJ180" s="28"/>
      <c r="AK180" s="29"/>
      <c r="AL180" s="29"/>
      <c r="AM180" s="29"/>
      <c r="AN180" s="29"/>
      <c r="AO180" s="28"/>
      <c r="AP180" s="28"/>
      <c r="AQ180" s="28"/>
      <c r="AR180" s="28"/>
      <c r="AS180" s="28"/>
      <c r="AT180" s="28"/>
      <c r="AU180" s="29"/>
      <c r="AV180" s="28"/>
      <c r="AW180" s="28"/>
      <c r="AX180" s="28"/>
      <c r="AY180" s="28"/>
      <c r="AZ180" s="28"/>
    </row>
    <row r="181" spans="1:52" ht="62.25" customHeight="1">
      <c r="A181" s="28"/>
      <c r="B181" s="28"/>
      <c r="C181" s="28"/>
      <c r="D181" s="28"/>
      <c r="E181" s="28"/>
      <c r="F181" s="29"/>
      <c r="G181" s="29"/>
      <c r="H181" s="29"/>
      <c r="I181" s="28"/>
      <c r="J181" s="28"/>
      <c r="K181" s="28"/>
      <c r="L181" s="28"/>
      <c r="M181" s="29"/>
      <c r="N181" s="28"/>
      <c r="O181" s="28"/>
      <c r="P181" s="28"/>
      <c r="Q181" s="28"/>
      <c r="R181" s="28"/>
      <c r="S181" s="28"/>
      <c r="T181" s="29"/>
      <c r="U181" s="28"/>
      <c r="V181" s="28"/>
      <c r="W181" s="28"/>
      <c r="X181" s="28"/>
      <c r="Y181" s="28"/>
      <c r="Z181" s="28"/>
      <c r="AA181" s="29"/>
      <c r="AB181" s="28"/>
      <c r="AC181" s="28"/>
      <c r="AD181" s="28"/>
      <c r="AE181" s="28"/>
      <c r="AF181" s="28"/>
      <c r="AG181" s="29"/>
      <c r="AH181" s="28"/>
      <c r="AI181" s="28"/>
      <c r="AJ181" s="28"/>
      <c r="AK181" s="29"/>
      <c r="AL181" s="29"/>
      <c r="AM181" s="29"/>
      <c r="AN181" s="29"/>
      <c r="AO181" s="28"/>
      <c r="AP181" s="28"/>
      <c r="AQ181" s="28"/>
      <c r="AR181" s="28"/>
      <c r="AS181" s="28"/>
      <c r="AT181" s="28"/>
      <c r="AU181" s="29"/>
      <c r="AV181" s="28"/>
      <c r="AW181" s="28"/>
      <c r="AX181" s="28"/>
      <c r="AY181" s="28"/>
      <c r="AZ181" s="28"/>
    </row>
    <row r="182" spans="1:52" ht="62.25" customHeight="1">
      <c r="A182" s="28"/>
      <c r="B182" s="28"/>
      <c r="C182" s="28"/>
      <c r="D182" s="28"/>
      <c r="E182" s="28"/>
      <c r="F182" s="29"/>
      <c r="G182" s="29"/>
      <c r="H182" s="29"/>
      <c r="I182" s="28"/>
      <c r="J182" s="28"/>
      <c r="K182" s="28"/>
      <c r="L182" s="28"/>
      <c r="M182" s="29"/>
      <c r="N182" s="28"/>
      <c r="O182" s="28"/>
      <c r="P182" s="28"/>
      <c r="Q182" s="28"/>
      <c r="R182" s="28"/>
      <c r="S182" s="28"/>
      <c r="T182" s="29"/>
      <c r="U182" s="28"/>
      <c r="V182" s="28"/>
      <c r="W182" s="28"/>
      <c r="X182" s="28"/>
      <c r="Y182" s="28"/>
      <c r="Z182" s="28"/>
      <c r="AA182" s="29"/>
      <c r="AB182" s="28"/>
      <c r="AC182" s="28"/>
      <c r="AD182" s="28"/>
      <c r="AE182" s="28"/>
      <c r="AF182" s="28"/>
      <c r="AG182" s="29"/>
      <c r="AH182" s="28"/>
      <c r="AI182" s="28"/>
      <c r="AJ182" s="28"/>
      <c r="AK182" s="29"/>
      <c r="AL182" s="29"/>
      <c r="AM182" s="29"/>
      <c r="AN182" s="29"/>
      <c r="AO182" s="28"/>
      <c r="AP182" s="28"/>
      <c r="AQ182" s="28"/>
      <c r="AR182" s="28"/>
      <c r="AS182" s="28"/>
      <c r="AT182" s="28"/>
      <c r="AU182" s="29"/>
      <c r="AV182" s="28"/>
      <c r="AW182" s="28"/>
      <c r="AX182" s="28"/>
      <c r="AY182" s="28"/>
      <c r="AZ182" s="28"/>
    </row>
    <row r="183" spans="1:52" ht="62.25" customHeight="1">
      <c r="A183" s="28"/>
      <c r="B183" s="28"/>
      <c r="C183" s="28"/>
      <c r="D183" s="28"/>
      <c r="E183" s="28"/>
      <c r="F183" s="29"/>
      <c r="G183" s="29"/>
      <c r="H183" s="29"/>
      <c r="I183" s="28"/>
      <c r="J183" s="28"/>
      <c r="K183" s="28"/>
      <c r="L183" s="28"/>
      <c r="M183" s="29"/>
      <c r="N183" s="28"/>
      <c r="O183" s="28"/>
      <c r="P183" s="28"/>
      <c r="Q183" s="28"/>
      <c r="R183" s="28"/>
      <c r="S183" s="28"/>
      <c r="T183" s="29"/>
      <c r="U183" s="28"/>
      <c r="V183" s="28"/>
      <c r="W183" s="28"/>
      <c r="X183" s="28"/>
      <c r="Y183" s="28"/>
      <c r="Z183" s="28"/>
      <c r="AA183" s="29"/>
      <c r="AB183" s="28"/>
      <c r="AC183" s="28"/>
      <c r="AD183" s="28"/>
      <c r="AE183" s="28"/>
      <c r="AF183" s="28"/>
      <c r="AG183" s="29"/>
      <c r="AH183" s="28"/>
      <c r="AI183" s="28"/>
      <c r="AJ183" s="28"/>
      <c r="AK183" s="29"/>
      <c r="AL183" s="29"/>
      <c r="AM183" s="29"/>
      <c r="AN183" s="29"/>
      <c r="AO183" s="28"/>
      <c r="AP183" s="28"/>
      <c r="AQ183" s="28"/>
      <c r="AR183" s="28"/>
      <c r="AS183" s="28"/>
      <c r="AT183" s="28"/>
      <c r="AU183" s="29"/>
      <c r="AV183" s="28"/>
      <c r="AW183" s="28"/>
      <c r="AX183" s="28"/>
      <c r="AY183" s="28"/>
      <c r="AZ183" s="28"/>
    </row>
    <row r="184" spans="1:52" ht="62.25" customHeight="1">
      <c r="A184" s="28"/>
      <c r="B184" s="28"/>
      <c r="C184" s="28"/>
      <c r="D184" s="28"/>
      <c r="E184" s="28"/>
      <c r="F184" s="29"/>
      <c r="G184" s="29"/>
      <c r="H184" s="29"/>
      <c r="I184" s="28"/>
      <c r="J184" s="28"/>
      <c r="K184" s="28"/>
      <c r="L184" s="28"/>
      <c r="M184" s="29"/>
      <c r="N184" s="28"/>
      <c r="O184" s="28"/>
      <c r="P184" s="28"/>
      <c r="Q184" s="28"/>
      <c r="R184" s="28"/>
      <c r="S184" s="28"/>
      <c r="T184" s="29"/>
      <c r="U184" s="28"/>
      <c r="V184" s="28"/>
      <c r="W184" s="28"/>
      <c r="X184" s="28"/>
      <c r="Y184" s="28"/>
      <c r="Z184" s="28"/>
      <c r="AA184" s="29"/>
      <c r="AB184" s="28"/>
      <c r="AC184" s="28"/>
      <c r="AD184" s="28"/>
      <c r="AE184" s="28"/>
      <c r="AF184" s="28"/>
      <c r="AG184" s="29"/>
      <c r="AH184" s="28"/>
      <c r="AI184" s="28"/>
      <c r="AJ184" s="28"/>
      <c r="AK184" s="29"/>
      <c r="AL184" s="29"/>
      <c r="AM184" s="29"/>
      <c r="AN184" s="29"/>
      <c r="AO184" s="28"/>
      <c r="AP184" s="28"/>
      <c r="AQ184" s="28"/>
      <c r="AR184" s="28"/>
      <c r="AS184" s="28"/>
      <c r="AT184" s="28"/>
      <c r="AU184" s="29"/>
      <c r="AV184" s="28"/>
      <c r="AW184" s="28"/>
      <c r="AX184" s="28"/>
      <c r="AY184" s="28"/>
      <c r="AZ184" s="28"/>
    </row>
    <row r="185" spans="1:52" ht="62.25" customHeight="1">
      <c r="A185" s="28"/>
      <c r="B185" s="28"/>
      <c r="C185" s="28"/>
      <c r="D185" s="28"/>
      <c r="E185" s="28"/>
      <c r="F185" s="29"/>
      <c r="G185" s="29"/>
      <c r="H185" s="29"/>
      <c r="I185" s="28"/>
      <c r="J185" s="28"/>
      <c r="K185" s="28"/>
      <c r="L185" s="28"/>
      <c r="M185" s="29"/>
      <c r="N185" s="28"/>
      <c r="O185" s="28"/>
      <c r="P185" s="28"/>
      <c r="Q185" s="28"/>
      <c r="R185" s="28"/>
      <c r="S185" s="28"/>
      <c r="T185" s="29"/>
      <c r="U185" s="28"/>
      <c r="V185" s="28"/>
      <c r="W185" s="28"/>
      <c r="X185" s="28"/>
      <c r="Y185" s="28"/>
      <c r="Z185" s="28"/>
      <c r="AA185" s="29"/>
      <c r="AB185" s="28"/>
      <c r="AC185" s="28"/>
      <c r="AD185" s="28"/>
      <c r="AE185" s="28"/>
      <c r="AF185" s="28"/>
      <c r="AG185" s="29"/>
      <c r="AH185" s="28"/>
      <c r="AI185" s="28"/>
      <c r="AJ185" s="28"/>
      <c r="AK185" s="29"/>
      <c r="AL185" s="29"/>
      <c r="AM185" s="29"/>
      <c r="AN185" s="29"/>
      <c r="AO185" s="28"/>
      <c r="AP185" s="28"/>
      <c r="AQ185" s="28"/>
      <c r="AR185" s="28"/>
      <c r="AS185" s="28"/>
      <c r="AT185" s="28"/>
      <c r="AU185" s="29"/>
      <c r="AV185" s="28"/>
      <c r="AW185" s="28"/>
      <c r="AX185" s="28"/>
      <c r="AY185" s="28"/>
      <c r="AZ185" s="28"/>
    </row>
    <row r="186" spans="1:52" ht="62.25" customHeight="1">
      <c r="A186" s="28"/>
      <c r="B186" s="28"/>
      <c r="C186" s="28"/>
      <c r="D186" s="28"/>
      <c r="E186" s="28"/>
      <c r="F186" s="29"/>
      <c r="G186" s="29"/>
      <c r="H186" s="29"/>
      <c r="I186" s="28"/>
      <c r="J186" s="28"/>
      <c r="K186" s="28"/>
      <c r="L186" s="28"/>
      <c r="M186" s="29"/>
      <c r="N186" s="28"/>
      <c r="O186" s="28"/>
      <c r="P186" s="28"/>
      <c r="Q186" s="28"/>
      <c r="R186" s="28"/>
      <c r="S186" s="28"/>
      <c r="T186" s="29"/>
      <c r="U186" s="28"/>
      <c r="V186" s="28"/>
      <c r="W186" s="28"/>
      <c r="X186" s="28"/>
      <c r="Y186" s="28"/>
      <c r="Z186" s="28"/>
      <c r="AA186" s="29"/>
      <c r="AB186" s="28"/>
      <c r="AC186" s="28"/>
      <c r="AD186" s="28"/>
      <c r="AE186" s="28"/>
      <c r="AF186" s="28"/>
      <c r="AG186" s="29"/>
      <c r="AH186" s="28"/>
      <c r="AI186" s="28"/>
      <c r="AJ186" s="28"/>
      <c r="AK186" s="29"/>
      <c r="AL186" s="29"/>
      <c r="AM186" s="29"/>
      <c r="AN186" s="29"/>
      <c r="AO186" s="28"/>
      <c r="AP186" s="28"/>
      <c r="AQ186" s="28"/>
      <c r="AR186" s="28"/>
      <c r="AS186" s="28"/>
      <c r="AT186" s="28"/>
      <c r="AU186" s="29"/>
      <c r="AV186" s="28"/>
      <c r="AW186" s="28"/>
      <c r="AX186" s="28"/>
      <c r="AY186" s="28"/>
      <c r="AZ186" s="28"/>
    </row>
    <row r="187" spans="1:52" ht="62.25" customHeight="1">
      <c r="A187" s="28"/>
      <c r="B187" s="28"/>
      <c r="C187" s="28"/>
      <c r="D187" s="28"/>
      <c r="E187" s="28"/>
      <c r="F187" s="29"/>
      <c r="G187" s="29"/>
      <c r="H187" s="29"/>
      <c r="I187" s="28"/>
      <c r="J187" s="28"/>
      <c r="K187" s="28"/>
      <c r="L187" s="28"/>
      <c r="M187" s="29"/>
      <c r="N187" s="28"/>
      <c r="O187" s="28"/>
      <c r="P187" s="28"/>
      <c r="Q187" s="28"/>
      <c r="R187" s="28"/>
      <c r="S187" s="28"/>
      <c r="T187" s="29"/>
      <c r="U187" s="28"/>
      <c r="V187" s="28"/>
      <c r="W187" s="28"/>
      <c r="X187" s="28"/>
      <c r="Y187" s="28"/>
      <c r="Z187" s="28"/>
      <c r="AA187" s="29"/>
      <c r="AB187" s="28"/>
      <c r="AC187" s="28"/>
      <c r="AD187" s="28"/>
      <c r="AE187" s="28"/>
      <c r="AF187" s="28"/>
      <c r="AG187" s="29"/>
      <c r="AH187" s="28"/>
      <c r="AI187" s="28"/>
      <c r="AJ187" s="28"/>
      <c r="AK187" s="29"/>
      <c r="AL187" s="29"/>
      <c r="AM187" s="29"/>
      <c r="AN187" s="29"/>
      <c r="AO187" s="28"/>
      <c r="AP187" s="28"/>
      <c r="AQ187" s="28"/>
      <c r="AR187" s="28"/>
      <c r="AS187" s="28"/>
      <c r="AT187" s="28"/>
      <c r="AU187" s="29"/>
      <c r="AV187" s="28"/>
      <c r="AW187" s="28"/>
      <c r="AX187" s="28"/>
      <c r="AY187" s="28"/>
      <c r="AZ187" s="28"/>
    </row>
    <row r="188" spans="1:52" ht="62.25" customHeight="1">
      <c r="A188" s="28"/>
      <c r="B188" s="28"/>
      <c r="C188" s="28"/>
      <c r="D188" s="28"/>
      <c r="E188" s="28"/>
      <c r="F188" s="29"/>
      <c r="G188" s="29"/>
      <c r="H188" s="29"/>
      <c r="I188" s="28"/>
      <c r="J188" s="28"/>
      <c r="K188" s="28"/>
      <c r="L188" s="28"/>
      <c r="M188" s="29"/>
      <c r="N188" s="28"/>
      <c r="O188" s="28"/>
      <c r="P188" s="28"/>
      <c r="Q188" s="28"/>
      <c r="R188" s="28"/>
      <c r="S188" s="28"/>
      <c r="T188" s="29"/>
      <c r="U188" s="28"/>
      <c r="V188" s="28"/>
      <c r="W188" s="28"/>
      <c r="X188" s="28"/>
      <c r="Y188" s="28"/>
      <c r="Z188" s="28"/>
      <c r="AA188" s="29"/>
      <c r="AB188" s="28"/>
      <c r="AC188" s="28"/>
      <c r="AD188" s="28"/>
      <c r="AE188" s="28"/>
      <c r="AF188" s="28"/>
      <c r="AG188" s="29"/>
      <c r="AH188" s="28"/>
      <c r="AI188" s="28"/>
      <c r="AJ188" s="28"/>
      <c r="AK188" s="29"/>
      <c r="AL188" s="29"/>
      <c r="AM188" s="29"/>
      <c r="AN188" s="29"/>
      <c r="AO188" s="28"/>
      <c r="AP188" s="28"/>
      <c r="AQ188" s="28"/>
      <c r="AR188" s="28"/>
      <c r="AS188" s="28"/>
      <c r="AT188" s="28"/>
      <c r="AU188" s="29"/>
      <c r="AV188" s="28"/>
      <c r="AW188" s="28"/>
      <c r="AX188" s="28"/>
      <c r="AY188" s="28"/>
      <c r="AZ188" s="28"/>
    </row>
    <row r="189" spans="1:52" ht="62.25" customHeight="1">
      <c r="A189" s="28"/>
      <c r="B189" s="28"/>
      <c r="C189" s="28"/>
      <c r="D189" s="28"/>
      <c r="E189" s="28"/>
      <c r="F189" s="29"/>
      <c r="G189" s="29"/>
      <c r="H189" s="29"/>
      <c r="I189" s="28"/>
      <c r="J189" s="28"/>
      <c r="K189" s="28"/>
      <c r="L189" s="28"/>
      <c r="M189" s="29"/>
      <c r="N189" s="28"/>
      <c r="O189" s="28"/>
      <c r="P189" s="28"/>
      <c r="Q189" s="28"/>
      <c r="R189" s="28"/>
      <c r="S189" s="28"/>
      <c r="T189" s="29"/>
      <c r="U189" s="28"/>
      <c r="V189" s="28"/>
      <c r="W189" s="28"/>
      <c r="X189" s="28"/>
      <c r="Y189" s="28"/>
      <c r="Z189" s="28"/>
      <c r="AA189" s="29"/>
      <c r="AB189" s="28"/>
      <c r="AC189" s="28"/>
      <c r="AD189" s="28"/>
      <c r="AE189" s="28"/>
      <c r="AF189" s="28"/>
      <c r="AG189" s="29"/>
      <c r="AH189" s="28"/>
      <c r="AI189" s="28"/>
      <c r="AJ189" s="28"/>
      <c r="AK189" s="29"/>
      <c r="AL189" s="29"/>
      <c r="AM189" s="29"/>
      <c r="AN189" s="29"/>
      <c r="AO189" s="28"/>
      <c r="AP189" s="28"/>
      <c r="AQ189" s="28"/>
      <c r="AR189" s="28"/>
      <c r="AS189" s="28"/>
      <c r="AT189" s="28"/>
      <c r="AU189" s="29"/>
      <c r="AV189" s="28"/>
      <c r="AW189" s="28"/>
      <c r="AX189" s="28"/>
      <c r="AY189" s="28"/>
      <c r="AZ189" s="28"/>
    </row>
    <row r="190" spans="1:52" ht="62.25" customHeight="1">
      <c r="A190" s="28"/>
      <c r="B190" s="28"/>
      <c r="C190" s="28"/>
      <c r="D190" s="28"/>
      <c r="E190" s="28"/>
      <c r="F190" s="29"/>
      <c r="G190" s="29"/>
      <c r="H190" s="29"/>
      <c r="I190" s="28"/>
      <c r="J190" s="28"/>
      <c r="K190" s="28"/>
      <c r="L190" s="28"/>
      <c r="M190" s="29"/>
      <c r="N190" s="28"/>
      <c r="O190" s="28"/>
      <c r="P190" s="28"/>
      <c r="Q190" s="28"/>
      <c r="R190" s="28"/>
      <c r="S190" s="28"/>
      <c r="T190" s="29"/>
      <c r="U190" s="28"/>
      <c r="V190" s="28"/>
      <c r="W190" s="28"/>
      <c r="X190" s="28"/>
      <c r="Y190" s="28"/>
      <c r="Z190" s="28"/>
      <c r="AA190" s="29"/>
      <c r="AB190" s="28"/>
      <c r="AC190" s="28"/>
      <c r="AD190" s="28"/>
      <c r="AE190" s="28"/>
      <c r="AF190" s="28"/>
      <c r="AG190" s="29"/>
      <c r="AH190" s="28"/>
      <c r="AI190" s="28"/>
      <c r="AJ190" s="28"/>
      <c r="AK190" s="29"/>
      <c r="AL190" s="29"/>
      <c r="AM190" s="29"/>
      <c r="AN190" s="29"/>
      <c r="AO190" s="28"/>
      <c r="AP190" s="28"/>
      <c r="AQ190" s="28"/>
      <c r="AR190" s="28"/>
      <c r="AS190" s="28"/>
      <c r="AT190" s="28"/>
      <c r="AU190" s="29"/>
      <c r="AV190" s="28"/>
      <c r="AW190" s="28"/>
      <c r="AX190" s="28"/>
      <c r="AY190" s="28"/>
      <c r="AZ190" s="28"/>
    </row>
    <row r="191" spans="1:52" ht="62.25" customHeight="1">
      <c r="A191" s="28"/>
      <c r="B191" s="28"/>
      <c r="C191" s="28"/>
      <c r="D191" s="28"/>
      <c r="E191" s="28"/>
      <c r="F191" s="29"/>
      <c r="G191" s="29"/>
      <c r="H191" s="29"/>
      <c r="I191" s="28"/>
      <c r="J191" s="28"/>
      <c r="K191" s="28"/>
      <c r="L191" s="28"/>
      <c r="M191" s="29"/>
      <c r="N191" s="28"/>
      <c r="O191" s="28"/>
      <c r="P191" s="28"/>
      <c r="Q191" s="28"/>
      <c r="R191" s="28"/>
      <c r="S191" s="28"/>
      <c r="T191" s="29"/>
      <c r="U191" s="28"/>
      <c r="V191" s="28"/>
      <c r="W191" s="28"/>
      <c r="X191" s="28"/>
      <c r="Y191" s="28"/>
      <c r="Z191" s="28"/>
      <c r="AA191" s="29"/>
      <c r="AB191" s="28"/>
      <c r="AC191" s="28"/>
      <c r="AD191" s="28"/>
      <c r="AE191" s="28"/>
      <c r="AF191" s="28"/>
      <c r="AG191" s="29"/>
      <c r="AH191" s="28"/>
      <c r="AI191" s="28"/>
      <c r="AJ191" s="28"/>
      <c r="AK191" s="29"/>
      <c r="AL191" s="29"/>
      <c r="AM191" s="29"/>
      <c r="AN191" s="29"/>
      <c r="AO191" s="28"/>
      <c r="AP191" s="28"/>
      <c r="AQ191" s="28"/>
      <c r="AR191" s="28"/>
      <c r="AS191" s="28"/>
      <c r="AT191" s="28"/>
      <c r="AU191" s="29"/>
      <c r="AV191" s="28"/>
      <c r="AW191" s="28"/>
      <c r="AX191" s="28"/>
      <c r="AY191" s="28"/>
      <c r="AZ191" s="28"/>
    </row>
    <row r="192" spans="1:52" ht="62.25" customHeight="1">
      <c r="A192" s="28"/>
      <c r="B192" s="28"/>
      <c r="C192" s="28"/>
      <c r="D192" s="28"/>
      <c r="E192" s="28"/>
      <c r="F192" s="29"/>
      <c r="G192" s="29"/>
      <c r="H192" s="29"/>
      <c r="I192" s="28"/>
      <c r="J192" s="28"/>
      <c r="K192" s="28"/>
      <c r="L192" s="28"/>
      <c r="M192" s="29"/>
      <c r="N192" s="28"/>
      <c r="O192" s="28"/>
      <c r="P192" s="28"/>
      <c r="Q192" s="28"/>
      <c r="R192" s="28"/>
      <c r="S192" s="28"/>
      <c r="T192" s="29"/>
      <c r="U192" s="28"/>
      <c r="V192" s="28"/>
      <c r="W192" s="28"/>
      <c r="X192" s="28"/>
      <c r="Y192" s="28"/>
      <c r="Z192" s="28"/>
      <c r="AA192" s="29"/>
      <c r="AB192" s="28"/>
      <c r="AC192" s="28"/>
      <c r="AD192" s="28"/>
      <c r="AE192" s="28"/>
      <c r="AF192" s="28"/>
      <c r="AG192" s="29"/>
      <c r="AH192" s="28"/>
      <c r="AI192" s="28"/>
      <c r="AJ192" s="28"/>
      <c r="AK192" s="29"/>
      <c r="AL192" s="29"/>
      <c r="AM192" s="29"/>
      <c r="AN192" s="29"/>
      <c r="AO192" s="28"/>
      <c r="AP192" s="28"/>
      <c r="AQ192" s="28"/>
      <c r="AR192" s="28"/>
      <c r="AS192" s="28"/>
      <c r="AT192" s="28"/>
      <c r="AU192" s="29"/>
      <c r="AV192" s="28"/>
      <c r="AW192" s="28"/>
      <c r="AX192" s="28"/>
      <c r="AY192" s="28"/>
      <c r="AZ192" s="28"/>
    </row>
    <row r="193" spans="1:52" ht="62.25" customHeight="1">
      <c r="A193" s="28"/>
      <c r="B193" s="28"/>
      <c r="C193" s="28"/>
      <c r="D193" s="28"/>
      <c r="E193" s="28"/>
      <c r="F193" s="29"/>
      <c r="G193" s="29"/>
      <c r="H193" s="29"/>
      <c r="I193" s="28"/>
      <c r="J193" s="28"/>
      <c r="K193" s="28"/>
      <c r="L193" s="28"/>
      <c r="M193" s="29"/>
      <c r="N193" s="28"/>
      <c r="O193" s="28"/>
      <c r="P193" s="28"/>
      <c r="Q193" s="28"/>
      <c r="R193" s="28"/>
      <c r="S193" s="28"/>
      <c r="T193" s="29"/>
      <c r="U193" s="28"/>
      <c r="V193" s="28"/>
      <c r="W193" s="28"/>
      <c r="X193" s="28"/>
      <c r="Y193" s="28"/>
      <c r="Z193" s="28"/>
      <c r="AA193" s="29"/>
      <c r="AB193" s="28"/>
      <c r="AC193" s="28"/>
      <c r="AD193" s="28"/>
      <c r="AE193" s="28"/>
      <c r="AF193" s="28"/>
      <c r="AG193" s="29"/>
      <c r="AH193" s="28"/>
      <c r="AI193" s="28"/>
      <c r="AJ193" s="28"/>
      <c r="AK193" s="29"/>
      <c r="AL193" s="29"/>
      <c r="AM193" s="29"/>
      <c r="AN193" s="29"/>
      <c r="AO193" s="28"/>
      <c r="AP193" s="28"/>
      <c r="AQ193" s="28"/>
      <c r="AR193" s="28"/>
      <c r="AS193" s="28"/>
      <c r="AT193" s="28"/>
      <c r="AU193" s="29"/>
      <c r="AV193" s="28"/>
      <c r="AW193" s="28"/>
      <c r="AX193" s="28"/>
      <c r="AY193" s="28"/>
      <c r="AZ193" s="28"/>
    </row>
    <row r="194" spans="1:52" ht="62.25" customHeight="1">
      <c r="A194" s="28"/>
      <c r="B194" s="28"/>
      <c r="C194" s="28"/>
      <c r="D194" s="28"/>
      <c r="E194" s="28"/>
      <c r="F194" s="29"/>
      <c r="G194" s="29"/>
      <c r="H194" s="29"/>
      <c r="I194" s="28"/>
      <c r="J194" s="28"/>
      <c r="K194" s="28"/>
      <c r="L194" s="28"/>
      <c r="M194" s="29"/>
      <c r="N194" s="28"/>
      <c r="O194" s="28"/>
      <c r="P194" s="28"/>
      <c r="Q194" s="28"/>
      <c r="R194" s="28"/>
      <c r="S194" s="28"/>
      <c r="T194" s="29"/>
      <c r="U194" s="28"/>
      <c r="V194" s="28"/>
      <c r="W194" s="28"/>
      <c r="X194" s="28"/>
      <c r="Y194" s="28"/>
      <c r="Z194" s="28"/>
      <c r="AA194" s="29"/>
      <c r="AB194" s="28"/>
      <c r="AC194" s="28"/>
      <c r="AD194" s="28"/>
      <c r="AE194" s="28"/>
      <c r="AF194" s="28"/>
      <c r="AG194" s="29"/>
      <c r="AH194" s="28"/>
      <c r="AI194" s="28"/>
      <c r="AJ194" s="28"/>
      <c r="AK194" s="29"/>
      <c r="AL194" s="29"/>
      <c r="AM194" s="29"/>
      <c r="AN194" s="29"/>
      <c r="AO194" s="28"/>
      <c r="AP194" s="28"/>
      <c r="AQ194" s="28"/>
      <c r="AR194" s="28"/>
      <c r="AS194" s="28"/>
      <c r="AT194" s="28"/>
      <c r="AU194" s="29"/>
      <c r="AV194" s="28"/>
      <c r="AW194" s="28"/>
      <c r="AX194" s="28"/>
      <c r="AY194" s="28"/>
      <c r="AZ194" s="28"/>
    </row>
    <row r="195" spans="1:52" ht="62.25" customHeight="1">
      <c r="A195" s="28"/>
      <c r="B195" s="28"/>
      <c r="C195" s="28"/>
      <c r="D195" s="28"/>
      <c r="E195" s="28"/>
      <c r="F195" s="29"/>
      <c r="G195" s="29"/>
      <c r="H195" s="29"/>
      <c r="I195" s="28"/>
      <c r="J195" s="28"/>
      <c r="K195" s="28"/>
      <c r="L195" s="28"/>
      <c r="M195" s="29"/>
      <c r="N195" s="28"/>
      <c r="O195" s="28"/>
      <c r="P195" s="28"/>
      <c r="Q195" s="28"/>
      <c r="R195" s="28"/>
      <c r="S195" s="28"/>
      <c r="T195" s="29"/>
      <c r="U195" s="28"/>
      <c r="V195" s="28"/>
      <c r="W195" s="28"/>
      <c r="X195" s="28"/>
      <c r="Y195" s="28"/>
      <c r="Z195" s="28"/>
      <c r="AA195" s="29"/>
      <c r="AB195" s="28"/>
      <c r="AC195" s="28"/>
      <c r="AD195" s="28"/>
      <c r="AE195" s="28"/>
      <c r="AF195" s="28"/>
      <c r="AG195" s="29"/>
      <c r="AH195" s="28"/>
      <c r="AI195" s="28"/>
      <c r="AJ195" s="28"/>
      <c r="AK195" s="29"/>
      <c r="AL195" s="29"/>
      <c r="AM195" s="29"/>
      <c r="AN195" s="29"/>
      <c r="AO195" s="28"/>
      <c r="AP195" s="28"/>
      <c r="AQ195" s="28"/>
      <c r="AR195" s="28"/>
      <c r="AS195" s="28"/>
      <c r="AT195" s="28"/>
      <c r="AU195" s="29"/>
      <c r="AV195" s="28"/>
      <c r="AW195" s="28"/>
      <c r="AX195" s="28"/>
      <c r="AY195" s="28"/>
      <c r="AZ195" s="28"/>
    </row>
    <row r="196" spans="1:52" ht="62.25" customHeight="1">
      <c r="A196" s="28"/>
      <c r="B196" s="28"/>
      <c r="C196" s="28"/>
      <c r="D196" s="28"/>
      <c r="E196" s="28"/>
      <c r="F196" s="29"/>
      <c r="G196" s="29"/>
      <c r="H196" s="29"/>
      <c r="I196" s="28"/>
      <c r="J196" s="28"/>
      <c r="K196" s="28"/>
      <c r="L196" s="28"/>
      <c r="M196" s="29"/>
      <c r="N196" s="28"/>
      <c r="O196" s="28"/>
      <c r="P196" s="28"/>
      <c r="Q196" s="28"/>
      <c r="R196" s="28"/>
      <c r="S196" s="28"/>
      <c r="T196" s="29"/>
      <c r="U196" s="28"/>
      <c r="V196" s="28"/>
      <c r="W196" s="28"/>
      <c r="X196" s="28"/>
      <c r="Y196" s="28"/>
      <c r="Z196" s="28"/>
      <c r="AA196" s="29"/>
      <c r="AB196" s="28"/>
      <c r="AC196" s="28"/>
      <c r="AD196" s="28"/>
      <c r="AE196" s="28"/>
      <c r="AF196" s="28"/>
      <c r="AG196" s="29"/>
      <c r="AH196" s="28"/>
      <c r="AI196" s="28"/>
      <c r="AJ196" s="28"/>
      <c r="AK196" s="29"/>
      <c r="AL196" s="29"/>
      <c r="AM196" s="29"/>
      <c r="AN196" s="29"/>
      <c r="AO196" s="28"/>
      <c r="AP196" s="28"/>
      <c r="AQ196" s="28"/>
      <c r="AR196" s="28"/>
      <c r="AS196" s="28"/>
      <c r="AT196" s="28"/>
      <c r="AU196" s="29"/>
      <c r="AV196" s="28"/>
      <c r="AW196" s="28"/>
      <c r="AX196" s="28"/>
      <c r="AY196" s="28"/>
      <c r="AZ196" s="28"/>
    </row>
    <row r="197" spans="1:52" ht="62.25" customHeight="1">
      <c r="A197" s="28"/>
      <c r="B197" s="28"/>
      <c r="C197" s="28"/>
      <c r="D197" s="28"/>
      <c r="E197" s="28"/>
      <c r="F197" s="29"/>
      <c r="G197" s="29"/>
      <c r="H197" s="29"/>
      <c r="I197" s="28"/>
      <c r="J197" s="28"/>
      <c r="K197" s="28"/>
      <c r="L197" s="28"/>
      <c r="M197" s="29"/>
      <c r="N197" s="28"/>
      <c r="O197" s="28"/>
      <c r="P197" s="28"/>
      <c r="Q197" s="28"/>
      <c r="R197" s="28"/>
      <c r="S197" s="28"/>
      <c r="T197" s="29"/>
      <c r="U197" s="28"/>
      <c r="V197" s="28"/>
      <c r="W197" s="28"/>
      <c r="X197" s="28"/>
      <c r="Y197" s="28"/>
      <c r="Z197" s="28"/>
      <c r="AA197" s="29"/>
      <c r="AB197" s="28"/>
      <c r="AC197" s="28"/>
      <c r="AD197" s="28"/>
      <c r="AE197" s="28"/>
      <c r="AF197" s="28"/>
      <c r="AG197" s="29"/>
      <c r="AH197" s="28"/>
      <c r="AI197" s="28"/>
      <c r="AJ197" s="28"/>
      <c r="AK197" s="29"/>
      <c r="AL197" s="29"/>
      <c r="AM197" s="29"/>
      <c r="AN197" s="29"/>
      <c r="AO197" s="28"/>
      <c r="AP197" s="28"/>
      <c r="AQ197" s="28"/>
      <c r="AR197" s="28"/>
      <c r="AS197" s="28"/>
      <c r="AT197" s="28"/>
      <c r="AU197" s="29"/>
      <c r="AV197" s="28"/>
      <c r="AW197" s="28"/>
      <c r="AX197" s="28"/>
      <c r="AY197" s="28"/>
      <c r="AZ197" s="28"/>
    </row>
    <row r="198" spans="1:52" ht="62.25" customHeight="1">
      <c r="A198" s="28"/>
      <c r="B198" s="28"/>
      <c r="C198" s="28"/>
      <c r="D198" s="28"/>
      <c r="E198" s="28"/>
      <c r="F198" s="29"/>
      <c r="G198" s="29"/>
      <c r="H198" s="29"/>
      <c r="I198" s="28"/>
      <c r="J198" s="28"/>
      <c r="K198" s="28"/>
      <c r="L198" s="28"/>
      <c r="M198" s="29"/>
      <c r="N198" s="28"/>
      <c r="O198" s="28"/>
      <c r="P198" s="28"/>
      <c r="Q198" s="28"/>
      <c r="R198" s="28"/>
      <c r="S198" s="28"/>
      <c r="T198" s="29"/>
      <c r="U198" s="28"/>
      <c r="V198" s="28"/>
      <c r="W198" s="28"/>
      <c r="X198" s="28"/>
      <c r="Y198" s="28"/>
      <c r="Z198" s="28"/>
      <c r="AA198" s="29"/>
      <c r="AB198" s="28"/>
      <c r="AC198" s="28"/>
      <c r="AD198" s="28"/>
      <c r="AE198" s="28"/>
      <c r="AF198" s="28"/>
      <c r="AG198" s="29"/>
      <c r="AH198" s="28"/>
      <c r="AI198" s="28"/>
      <c r="AJ198" s="28"/>
      <c r="AK198" s="29"/>
      <c r="AL198" s="29"/>
      <c r="AM198" s="29"/>
      <c r="AN198" s="29"/>
      <c r="AO198" s="28"/>
      <c r="AP198" s="28"/>
      <c r="AQ198" s="28"/>
      <c r="AR198" s="28"/>
      <c r="AS198" s="28"/>
      <c r="AT198" s="28"/>
      <c r="AU198" s="29"/>
      <c r="AV198" s="28"/>
      <c r="AW198" s="28"/>
      <c r="AX198" s="28"/>
      <c r="AY198" s="28"/>
      <c r="AZ198" s="28"/>
    </row>
    <row r="199" spans="1:52" ht="62.25" customHeight="1">
      <c r="A199" s="28"/>
      <c r="B199" s="28"/>
      <c r="C199" s="28"/>
      <c r="D199" s="28"/>
      <c r="E199" s="28"/>
      <c r="F199" s="29"/>
      <c r="G199" s="29"/>
      <c r="H199" s="29"/>
      <c r="I199" s="28"/>
      <c r="J199" s="28"/>
      <c r="K199" s="28"/>
      <c r="L199" s="28"/>
      <c r="M199" s="29"/>
      <c r="N199" s="28"/>
      <c r="O199" s="28"/>
      <c r="P199" s="28"/>
      <c r="Q199" s="28"/>
      <c r="R199" s="28"/>
      <c r="S199" s="28"/>
      <c r="T199" s="29"/>
      <c r="U199" s="28"/>
      <c r="V199" s="28"/>
      <c r="W199" s="28"/>
      <c r="X199" s="28"/>
      <c r="Y199" s="28"/>
      <c r="Z199" s="28"/>
      <c r="AA199" s="29"/>
      <c r="AB199" s="28"/>
      <c r="AC199" s="28"/>
      <c r="AD199" s="28"/>
      <c r="AE199" s="28"/>
      <c r="AF199" s="28"/>
      <c r="AG199" s="29"/>
      <c r="AH199" s="28"/>
      <c r="AI199" s="28"/>
      <c r="AJ199" s="28"/>
      <c r="AK199" s="29"/>
      <c r="AL199" s="29"/>
      <c r="AM199" s="29"/>
      <c r="AN199" s="29"/>
      <c r="AO199" s="28"/>
      <c r="AP199" s="28"/>
      <c r="AQ199" s="28"/>
      <c r="AR199" s="28"/>
      <c r="AS199" s="28"/>
      <c r="AT199" s="28"/>
      <c r="AU199" s="29"/>
      <c r="AV199" s="28"/>
      <c r="AW199" s="28"/>
      <c r="AX199" s="28"/>
      <c r="AY199" s="28"/>
      <c r="AZ199" s="28"/>
    </row>
    <row r="200" spans="1:52" ht="62.25" customHeight="1">
      <c r="A200" s="28"/>
      <c r="B200" s="28"/>
      <c r="C200" s="28"/>
      <c r="D200" s="28"/>
      <c r="E200" s="28"/>
      <c r="F200" s="29"/>
      <c r="G200" s="29"/>
      <c r="H200" s="29"/>
      <c r="I200" s="28"/>
      <c r="J200" s="28"/>
      <c r="K200" s="28"/>
      <c r="L200" s="28"/>
      <c r="M200" s="29"/>
      <c r="N200" s="28"/>
      <c r="O200" s="28"/>
      <c r="P200" s="28"/>
      <c r="Q200" s="28"/>
      <c r="R200" s="28"/>
      <c r="S200" s="28"/>
      <c r="T200" s="29"/>
      <c r="U200" s="28"/>
      <c r="V200" s="28"/>
      <c r="W200" s="28"/>
      <c r="X200" s="28"/>
      <c r="Y200" s="28"/>
      <c r="Z200" s="28"/>
      <c r="AA200" s="29"/>
      <c r="AB200" s="28"/>
      <c r="AC200" s="28"/>
      <c r="AD200" s="28"/>
      <c r="AE200" s="28"/>
      <c r="AF200" s="28"/>
      <c r="AG200" s="29"/>
      <c r="AH200" s="28"/>
      <c r="AI200" s="28"/>
      <c r="AJ200" s="28"/>
      <c r="AK200" s="29"/>
      <c r="AL200" s="29"/>
      <c r="AM200" s="29"/>
      <c r="AN200" s="29"/>
      <c r="AO200" s="28"/>
      <c r="AP200" s="28"/>
      <c r="AQ200" s="28"/>
      <c r="AR200" s="28"/>
      <c r="AS200" s="28"/>
      <c r="AT200" s="28"/>
      <c r="AU200" s="29"/>
      <c r="AV200" s="28"/>
      <c r="AW200" s="28"/>
      <c r="AX200" s="28"/>
      <c r="AY200" s="28"/>
      <c r="AZ200" s="28"/>
    </row>
    <row r="201" spans="1:52" ht="62.25" customHeight="1">
      <c r="A201" s="28"/>
      <c r="B201" s="28"/>
      <c r="C201" s="28"/>
      <c r="D201" s="28"/>
      <c r="E201" s="28"/>
      <c r="F201" s="29"/>
      <c r="G201" s="29"/>
      <c r="H201" s="29"/>
      <c r="I201" s="28"/>
      <c r="J201" s="28"/>
      <c r="K201" s="28"/>
      <c r="L201" s="28"/>
      <c r="M201" s="29"/>
      <c r="N201" s="28"/>
      <c r="O201" s="28"/>
      <c r="P201" s="28"/>
      <c r="Q201" s="28"/>
      <c r="R201" s="28"/>
      <c r="S201" s="28"/>
      <c r="T201" s="29"/>
      <c r="U201" s="28"/>
      <c r="V201" s="28"/>
      <c r="W201" s="28"/>
      <c r="X201" s="28"/>
      <c r="Y201" s="28"/>
      <c r="Z201" s="28"/>
      <c r="AA201" s="29"/>
      <c r="AB201" s="28"/>
      <c r="AC201" s="28"/>
      <c r="AD201" s="28"/>
      <c r="AE201" s="28"/>
      <c r="AF201" s="28"/>
      <c r="AG201" s="29"/>
      <c r="AH201" s="28"/>
      <c r="AI201" s="28"/>
      <c r="AJ201" s="28"/>
      <c r="AK201" s="29"/>
      <c r="AL201" s="29"/>
      <c r="AM201" s="29"/>
      <c r="AN201" s="29"/>
      <c r="AO201" s="28"/>
      <c r="AP201" s="28"/>
      <c r="AQ201" s="28"/>
      <c r="AR201" s="28"/>
      <c r="AS201" s="28"/>
      <c r="AT201" s="28"/>
      <c r="AU201" s="29"/>
      <c r="AV201" s="28"/>
      <c r="AW201" s="28"/>
      <c r="AX201" s="28"/>
      <c r="AY201" s="28"/>
      <c r="AZ201" s="28"/>
    </row>
    <row r="202" spans="1:52" ht="62.25" customHeight="1">
      <c r="A202" s="28"/>
      <c r="B202" s="28"/>
      <c r="C202" s="28"/>
      <c r="D202" s="28"/>
      <c r="E202" s="28"/>
      <c r="F202" s="29"/>
      <c r="G202" s="29"/>
      <c r="H202" s="29"/>
      <c r="I202" s="28"/>
      <c r="J202" s="28"/>
      <c r="K202" s="28"/>
      <c r="L202" s="28"/>
      <c r="M202" s="29"/>
      <c r="N202" s="28"/>
      <c r="O202" s="28"/>
      <c r="P202" s="28"/>
      <c r="Q202" s="28"/>
      <c r="R202" s="28"/>
      <c r="S202" s="28"/>
      <c r="T202" s="29"/>
      <c r="U202" s="28"/>
      <c r="V202" s="28"/>
      <c r="W202" s="28"/>
      <c r="X202" s="28"/>
      <c r="Y202" s="28"/>
      <c r="Z202" s="28"/>
      <c r="AA202" s="29"/>
      <c r="AB202" s="28"/>
      <c r="AC202" s="28"/>
      <c r="AD202" s="28"/>
      <c r="AE202" s="28"/>
      <c r="AF202" s="28"/>
      <c r="AG202" s="29"/>
      <c r="AH202" s="28"/>
      <c r="AI202" s="28"/>
      <c r="AJ202" s="28"/>
      <c r="AK202" s="29"/>
      <c r="AL202" s="29"/>
      <c r="AM202" s="29"/>
      <c r="AN202" s="29"/>
      <c r="AO202" s="28"/>
      <c r="AP202" s="28"/>
      <c r="AQ202" s="28"/>
      <c r="AR202" s="28"/>
      <c r="AS202" s="28"/>
      <c r="AT202" s="28"/>
      <c r="AU202" s="29"/>
      <c r="AV202" s="28"/>
      <c r="AW202" s="28"/>
      <c r="AX202" s="28"/>
      <c r="AY202" s="28"/>
      <c r="AZ202" s="28"/>
    </row>
    <row r="203" spans="1:52" ht="62.25" customHeight="1">
      <c r="A203" s="28"/>
      <c r="B203" s="28"/>
      <c r="C203" s="28"/>
      <c r="D203" s="28"/>
      <c r="E203" s="28"/>
      <c r="F203" s="29"/>
      <c r="G203" s="29"/>
      <c r="H203" s="29"/>
      <c r="I203" s="28"/>
      <c r="J203" s="28"/>
      <c r="K203" s="28"/>
      <c r="L203" s="28"/>
      <c r="M203" s="29"/>
      <c r="N203" s="28"/>
      <c r="O203" s="28"/>
      <c r="P203" s="28"/>
      <c r="Q203" s="28"/>
      <c r="R203" s="28"/>
      <c r="S203" s="28"/>
      <c r="T203" s="29"/>
      <c r="U203" s="28"/>
      <c r="V203" s="28"/>
      <c r="W203" s="28"/>
      <c r="X203" s="28"/>
      <c r="Y203" s="28"/>
      <c r="Z203" s="28"/>
      <c r="AA203" s="29"/>
      <c r="AB203" s="28"/>
      <c r="AC203" s="28"/>
      <c r="AD203" s="28"/>
      <c r="AE203" s="28"/>
      <c r="AF203" s="28"/>
      <c r="AG203" s="29"/>
      <c r="AH203" s="28"/>
      <c r="AI203" s="28"/>
      <c r="AJ203" s="28"/>
      <c r="AK203" s="29"/>
      <c r="AL203" s="29"/>
      <c r="AM203" s="29"/>
      <c r="AN203" s="29"/>
      <c r="AO203" s="28"/>
      <c r="AP203" s="28"/>
      <c r="AQ203" s="28"/>
      <c r="AR203" s="28"/>
      <c r="AS203" s="28"/>
      <c r="AT203" s="28"/>
      <c r="AU203" s="29"/>
      <c r="AV203" s="28"/>
      <c r="AW203" s="28"/>
      <c r="AX203" s="28"/>
      <c r="AY203" s="28"/>
      <c r="AZ203" s="28"/>
    </row>
    <row r="204" spans="1:52" ht="62.25" customHeight="1">
      <c r="A204" s="28"/>
      <c r="B204" s="28"/>
      <c r="C204" s="28"/>
      <c r="D204" s="28"/>
      <c r="E204" s="28"/>
      <c r="F204" s="29"/>
      <c r="G204" s="29"/>
      <c r="H204" s="29"/>
      <c r="I204" s="28"/>
      <c r="J204" s="28"/>
      <c r="K204" s="28"/>
      <c r="L204" s="28"/>
      <c r="M204" s="29"/>
      <c r="N204" s="28"/>
      <c r="O204" s="28"/>
      <c r="P204" s="28"/>
      <c r="Q204" s="28"/>
      <c r="R204" s="28"/>
      <c r="S204" s="28"/>
      <c r="T204" s="29"/>
      <c r="U204" s="28"/>
      <c r="V204" s="28"/>
      <c r="W204" s="28"/>
      <c r="X204" s="28"/>
      <c r="Y204" s="28"/>
      <c r="Z204" s="28"/>
      <c r="AA204" s="29"/>
      <c r="AB204" s="28"/>
      <c r="AC204" s="28"/>
      <c r="AD204" s="28"/>
      <c r="AE204" s="28"/>
      <c r="AF204" s="28"/>
      <c r="AG204" s="29"/>
      <c r="AH204" s="28"/>
      <c r="AI204" s="28"/>
      <c r="AJ204" s="28"/>
      <c r="AK204" s="29"/>
      <c r="AL204" s="29"/>
      <c r="AM204" s="29"/>
      <c r="AN204" s="29"/>
      <c r="AO204" s="28"/>
      <c r="AP204" s="28"/>
      <c r="AQ204" s="28"/>
      <c r="AR204" s="28"/>
      <c r="AS204" s="28"/>
      <c r="AT204" s="28"/>
      <c r="AU204" s="29"/>
      <c r="AV204" s="28"/>
      <c r="AW204" s="28"/>
      <c r="AX204" s="28"/>
      <c r="AY204" s="28"/>
      <c r="AZ204" s="28"/>
    </row>
    <row r="205" spans="1:52" ht="62.25" customHeight="1">
      <c r="A205" s="28"/>
      <c r="B205" s="28"/>
      <c r="C205" s="28"/>
      <c r="D205" s="28"/>
      <c r="E205" s="28"/>
      <c r="F205" s="29"/>
      <c r="G205" s="29"/>
      <c r="H205" s="29"/>
      <c r="I205" s="28"/>
      <c r="J205" s="28"/>
      <c r="K205" s="28"/>
      <c r="L205" s="28"/>
      <c r="M205" s="29"/>
      <c r="N205" s="28"/>
      <c r="O205" s="28"/>
      <c r="P205" s="28"/>
      <c r="Q205" s="28"/>
      <c r="R205" s="28"/>
      <c r="S205" s="28"/>
      <c r="T205" s="29"/>
      <c r="U205" s="28"/>
      <c r="V205" s="28"/>
      <c r="W205" s="28"/>
      <c r="X205" s="28"/>
      <c r="Y205" s="28"/>
      <c r="Z205" s="28"/>
      <c r="AA205" s="29"/>
      <c r="AB205" s="28"/>
      <c r="AC205" s="28"/>
      <c r="AD205" s="28"/>
      <c r="AE205" s="28"/>
      <c r="AF205" s="28"/>
      <c r="AG205" s="29"/>
      <c r="AH205" s="28"/>
      <c r="AI205" s="28"/>
      <c r="AJ205" s="28"/>
      <c r="AK205" s="29"/>
      <c r="AL205" s="29"/>
      <c r="AM205" s="29"/>
      <c r="AN205" s="29"/>
      <c r="AO205" s="28"/>
      <c r="AP205" s="28"/>
      <c r="AQ205" s="28"/>
      <c r="AR205" s="28"/>
      <c r="AS205" s="28"/>
      <c r="AT205" s="28"/>
      <c r="AU205" s="29"/>
      <c r="AV205" s="28"/>
      <c r="AW205" s="28"/>
      <c r="AX205" s="28"/>
      <c r="AY205" s="28"/>
      <c r="AZ205" s="28"/>
    </row>
    <row r="206" spans="1:52" ht="62.25" customHeight="1">
      <c r="A206" s="28"/>
      <c r="B206" s="28"/>
      <c r="C206" s="28"/>
      <c r="D206" s="28"/>
      <c r="E206" s="28"/>
      <c r="F206" s="29"/>
      <c r="G206" s="29"/>
      <c r="H206" s="29"/>
      <c r="I206" s="28"/>
      <c r="J206" s="28"/>
      <c r="K206" s="28"/>
      <c r="L206" s="28"/>
      <c r="M206" s="29"/>
      <c r="N206" s="28"/>
      <c r="O206" s="28"/>
      <c r="P206" s="28"/>
      <c r="Q206" s="28"/>
      <c r="R206" s="28"/>
      <c r="S206" s="28"/>
      <c r="T206" s="29"/>
      <c r="U206" s="28"/>
      <c r="V206" s="28"/>
      <c r="W206" s="28"/>
      <c r="X206" s="28"/>
      <c r="Y206" s="28"/>
      <c r="Z206" s="28"/>
      <c r="AA206" s="29"/>
      <c r="AB206" s="28"/>
      <c r="AC206" s="28"/>
      <c r="AD206" s="28"/>
      <c r="AE206" s="28"/>
      <c r="AF206" s="28"/>
      <c r="AG206" s="29"/>
      <c r="AH206" s="28"/>
      <c r="AI206" s="28"/>
      <c r="AJ206" s="28"/>
      <c r="AK206" s="29"/>
      <c r="AL206" s="29"/>
      <c r="AM206" s="29"/>
      <c r="AN206" s="29"/>
      <c r="AO206" s="28"/>
      <c r="AP206" s="28"/>
      <c r="AQ206" s="28"/>
      <c r="AR206" s="28"/>
      <c r="AS206" s="28"/>
      <c r="AT206" s="28"/>
      <c r="AU206" s="29"/>
      <c r="AV206" s="28"/>
      <c r="AW206" s="28"/>
      <c r="AX206" s="28"/>
      <c r="AY206" s="28"/>
      <c r="AZ206" s="28"/>
    </row>
    <row r="207" spans="1:52" ht="62.25" customHeight="1">
      <c r="A207" s="28"/>
      <c r="B207" s="28"/>
      <c r="C207" s="28"/>
      <c r="D207" s="28"/>
      <c r="E207" s="28"/>
      <c r="F207" s="29"/>
      <c r="G207" s="29"/>
      <c r="H207" s="29"/>
      <c r="I207" s="28"/>
      <c r="J207" s="28"/>
      <c r="K207" s="28"/>
      <c r="L207" s="28"/>
      <c r="M207" s="29"/>
      <c r="N207" s="28"/>
      <c r="O207" s="28"/>
      <c r="P207" s="28"/>
      <c r="Q207" s="28"/>
      <c r="R207" s="28"/>
      <c r="S207" s="28"/>
      <c r="T207" s="29"/>
      <c r="U207" s="28"/>
      <c r="V207" s="28"/>
      <c r="W207" s="28"/>
      <c r="X207" s="28"/>
      <c r="Y207" s="28"/>
      <c r="Z207" s="28"/>
      <c r="AA207" s="29"/>
      <c r="AB207" s="28"/>
      <c r="AC207" s="28"/>
      <c r="AD207" s="28"/>
      <c r="AE207" s="28"/>
      <c r="AF207" s="28"/>
      <c r="AG207" s="29"/>
      <c r="AH207" s="28"/>
      <c r="AI207" s="28"/>
      <c r="AJ207" s="28"/>
      <c r="AK207" s="29"/>
      <c r="AL207" s="29"/>
      <c r="AM207" s="29"/>
      <c r="AN207" s="29"/>
      <c r="AO207" s="28"/>
      <c r="AP207" s="28"/>
      <c r="AQ207" s="28"/>
      <c r="AR207" s="28"/>
      <c r="AS207" s="28"/>
      <c r="AT207" s="28"/>
      <c r="AU207" s="29"/>
      <c r="AV207" s="28"/>
      <c r="AW207" s="28"/>
      <c r="AX207" s="28"/>
      <c r="AY207" s="28"/>
      <c r="AZ207" s="28"/>
    </row>
  </sheetData>
  <mergeCells count="104">
    <mergeCell ref="B150:D150"/>
    <mergeCell ref="B134:E134"/>
    <mergeCell ref="F134:I134"/>
    <mergeCell ref="J134:M134"/>
    <mergeCell ref="AP118:AT118"/>
    <mergeCell ref="AU118:AY118"/>
    <mergeCell ref="BB134:BE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  <mergeCell ref="BE118:BH118"/>
    <mergeCell ref="B118:F118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BF134:BI134"/>
    <mergeCell ref="BJ134:BM134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H150:J150"/>
    <mergeCell ref="E150:G150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Q35:U35"/>
    <mergeCell ref="L35:P35"/>
    <mergeCell ref="G35:K35"/>
    <mergeCell ref="B51:E51"/>
    <mergeCell ref="A2:AA2"/>
    <mergeCell ref="A85:AA85"/>
    <mergeCell ref="L3:U3"/>
    <mergeCell ref="B3:K3"/>
    <mergeCell ref="Q19:U19"/>
    <mergeCell ref="L19:P19"/>
    <mergeCell ref="G19:K19"/>
    <mergeCell ref="B19:F19"/>
    <mergeCell ref="B67:D67"/>
    <mergeCell ref="E67:G67"/>
    <mergeCell ref="H67:J67"/>
    <mergeCell ref="K67:M67"/>
    <mergeCell ref="B35:F35"/>
    <mergeCell ref="Z51:AC51"/>
    <mergeCell ref="V51:Y51"/>
    <mergeCell ref="R51:U51"/>
    <mergeCell ref="N51:Q51"/>
    <mergeCell ref="J51:M51"/>
    <mergeCell ref="F51:I51"/>
    <mergeCell ref="AA35:AE35"/>
    <mergeCell ref="BI35:BL35"/>
    <mergeCell ref="BE35:BH35"/>
    <mergeCell ref="AZ35:BD35"/>
    <mergeCell ref="AU35:AY35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V35:Z35"/>
    <mergeCell ref="AP35:AT35"/>
    <mergeCell ref="AK35:AO35"/>
    <mergeCell ref="AF35:AJ35"/>
  </mergeCells>
  <phoneticPr fontId="28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2634"/>
  <sheetViews>
    <sheetView view="pageBreakPreview" topLeftCell="A91" zoomScaleNormal="100" zoomScaleSheetLayoutView="100" workbookViewId="0">
      <selection activeCell="P2" sqref="P2"/>
    </sheetView>
  </sheetViews>
  <sheetFormatPr defaultRowHeight="13.5"/>
  <cols>
    <col min="1" max="1" width="2.75" style="1" customWidth="1"/>
    <col min="2" max="2" width="18.75" style="1" customWidth="1"/>
    <col min="3" max="3" width="10.375" style="1" customWidth="1"/>
    <col min="4" max="6" width="9" style="1"/>
    <col min="7" max="7" width="8.75" style="1" customWidth="1"/>
    <col min="8" max="15" width="9" style="1"/>
    <col min="16" max="16" width="13.875" style="4" bestFit="1" customWidth="1"/>
    <col min="17" max="60" width="9" style="342"/>
    <col min="61" max="258" width="9" style="1"/>
    <col min="259" max="259" width="2.75" style="1" customWidth="1"/>
    <col min="260" max="260" width="18.75" style="1" customWidth="1"/>
    <col min="261" max="264" width="9" style="1"/>
    <col min="265" max="265" width="8.375" style="1" bestFit="1" customWidth="1"/>
    <col min="266" max="514" width="9" style="1"/>
    <col min="515" max="515" width="2.75" style="1" customWidth="1"/>
    <col min="516" max="516" width="18.75" style="1" customWidth="1"/>
    <col min="517" max="520" width="9" style="1"/>
    <col min="521" max="521" width="8.375" style="1" bestFit="1" customWidth="1"/>
    <col min="522" max="770" width="9" style="1"/>
    <col min="771" max="771" width="2.75" style="1" customWidth="1"/>
    <col min="772" max="772" width="18.75" style="1" customWidth="1"/>
    <col min="773" max="776" width="9" style="1"/>
    <col min="777" max="777" width="8.375" style="1" bestFit="1" customWidth="1"/>
    <col min="778" max="1026" width="9" style="1"/>
    <col min="1027" max="1027" width="2.75" style="1" customWidth="1"/>
    <col min="1028" max="1028" width="18.75" style="1" customWidth="1"/>
    <col min="1029" max="1032" width="9" style="1"/>
    <col min="1033" max="1033" width="8.375" style="1" bestFit="1" customWidth="1"/>
    <col min="1034" max="1282" width="9" style="1"/>
    <col min="1283" max="1283" width="2.75" style="1" customWidth="1"/>
    <col min="1284" max="1284" width="18.75" style="1" customWidth="1"/>
    <col min="1285" max="1288" width="9" style="1"/>
    <col min="1289" max="1289" width="8.375" style="1" bestFit="1" customWidth="1"/>
    <col min="1290" max="1538" width="9" style="1"/>
    <col min="1539" max="1539" width="2.75" style="1" customWidth="1"/>
    <col min="1540" max="1540" width="18.75" style="1" customWidth="1"/>
    <col min="1541" max="1544" width="9" style="1"/>
    <col min="1545" max="1545" width="8.375" style="1" bestFit="1" customWidth="1"/>
    <col min="1546" max="1794" width="9" style="1"/>
    <col min="1795" max="1795" width="2.75" style="1" customWidth="1"/>
    <col min="1796" max="1796" width="18.75" style="1" customWidth="1"/>
    <col min="1797" max="1800" width="9" style="1"/>
    <col min="1801" max="1801" width="8.375" style="1" bestFit="1" customWidth="1"/>
    <col min="1802" max="2050" width="9" style="1"/>
    <col min="2051" max="2051" width="2.75" style="1" customWidth="1"/>
    <col min="2052" max="2052" width="18.75" style="1" customWidth="1"/>
    <col min="2053" max="2056" width="9" style="1"/>
    <col min="2057" max="2057" width="8.375" style="1" bestFit="1" customWidth="1"/>
    <col min="2058" max="2306" width="9" style="1"/>
    <col min="2307" max="2307" width="2.75" style="1" customWidth="1"/>
    <col min="2308" max="2308" width="18.75" style="1" customWidth="1"/>
    <col min="2309" max="2312" width="9" style="1"/>
    <col min="2313" max="2313" width="8.375" style="1" bestFit="1" customWidth="1"/>
    <col min="2314" max="2562" width="9" style="1"/>
    <col min="2563" max="2563" width="2.75" style="1" customWidth="1"/>
    <col min="2564" max="2564" width="18.75" style="1" customWidth="1"/>
    <col min="2565" max="2568" width="9" style="1"/>
    <col min="2569" max="2569" width="8.375" style="1" bestFit="1" customWidth="1"/>
    <col min="2570" max="2818" width="9" style="1"/>
    <col min="2819" max="2819" width="2.75" style="1" customWidth="1"/>
    <col min="2820" max="2820" width="18.75" style="1" customWidth="1"/>
    <col min="2821" max="2824" width="9" style="1"/>
    <col min="2825" max="2825" width="8.375" style="1" bestFit="1" customWidth="1"/>
    <col min="2826" max="3074" width="9" style="1"/>
    <col min="3075" max="3075" width="2.75" style="1" customWidth="1"/>
    <col min="3076" max="3076" width="18.75" style="1" customWidth="1"/>
    <col min="3077" max="3080" width="9" style="1"/>
    <col min="3081" max="3081" width="8.375" style="1" bestFit="1" customWidth="1"/>
    <col min="3082" max="3330" width="9" style="1"/>
    <col min="3331" max="3331" width="2.75" style="1" customWidth="1"/>
    <col min="3332" max="3332" width="18.75" style="1" customWidth="1"/>
    <col min="3333" max="3336" width="9" style="1"/>
    <col min="3337" max="3337" width="8.375" style="1" bestFit="1" customWidth="1"/>
    <col min="3338" max="3586" width="9" style="1"/>
    <col min="3587" max="3587" width="2.75" style="1" customWidth="1"/>
    <col min="3588" max="3588" width="18.75" style="1" customWidth="1"/>
    <col min="3589" max="3592" width="9" style="1"/>
    <col min="3593" max="3593" width="8.375" style="1" bestFit="1" customWidth="1"/>
    <col min="3594" max="3842" width="9" style="1"/>
    <col min="3843" max="3843" width="2.75" style="1" customWidth="1"/>
    <col min="3844" max="3844" width="18.75" style="1" customWidth="1"/>
    <col min="3845" max="3848" width="9" style="1"/>
    <col min="3849" max="3849" width="8.375" style="1" bestFit="1" customWidth="1"/>
    <col min="3850" max="4098" width="9" style="1"/>
    <col min="4099" max="4099" width="2.75" style="1" customWidth="1"/>
    <col min="4100" max="4100" width="18.75" style="1" customWidth="1"/>
    <col min="4101" max="4104" width="9" style="1"/>
    <col min="4105" max="4105" width="8.375" style="1" bestFit="1" customWidth="1"/>
    <col min="4106" max="4354" width="9" style="1"/>
    <col min="4355" max="4355" width="2.75" style="1" customWidth="1"/>
    <col min="4356" max="4356" width="18.75" style="1" customWidth="1"/>
    <col min="4357" max="4360" width="9" style="1"/>
    <col min="4361" max="4361" width="8.375" style="1" bestFit="1" customWidth="1"/>
    <col min="4362" max="4610" width="9" style="1"/>
    <col min="4611" max="4611" width="2.75" style="1" customWidth="1"/>
    <col min="4612" max="4612" width="18.75" style="1" customWidth="1"/>
    <col min="4613" max="4616" width="9" style="1"/>
    <col min="4617" max="4617" width="8.375" style="1" bestFit="1" customWidth="1"/>
    <col min="4618" max="4866" width="9" style="1"/>
    <col min="4867" max="4867" width="2.75" style="1" customWidth="1"/>
    <col min="4868" max="4868" width="18.75" style="1" customWidth="1"/>
    <col min="4869" max="4872" width="9" style="1"/>
    <col min="4873" max="4873" width="8.375" style="1" bestFit="1" customWidth="1"/>
    <col min="4874" max="5122" width="9" style="1"/>
    <col min="5123" max="5123" width="2.75" style="1" customWidth="1"/>
    <col min="5124" max="5124" width="18.75" style="1" customWidth="1"/>
    <col min="5125" max="5128" width="9" style="1"/>
    <col min="5129" max="5129" width="8.375" style="1" bestFit="1" customWidth="1"/>
    <col min="5130" max="5378" width="9" style="1"/>
    <col min="5379" max="5379" width="2.75" style="1" customWidth="1"/>
    <col min="5380" max="5380" width="18.75" style="1" customWidth="1"/>
    <col min="5381" max="5384" width="9" style="1"/>
    <col min="5385" max="5385" width="8.375" style="1" bestFit="1" customWidth="1"/>
    <col min="5386" max="5634" width="9" style="1"/>
    <col min="5635" max="5635" width="2.75" style="1" customWidth="1"/>
    <col min="5636" max="5636" width="18.75" style="1" customWidth="1"/>
    <col min="5637" max="5640" width="9" style="1"/>
    <col min="5641" max="5641" width="8.375" style="1" bestFit="1" customWidth="1"/>
    <col min="5642" max="5890" width="9" style="1"/>
    <col min="5891" max="5891" width="2.75" style="1" customWidth="1"/>
    <col min="5892" max="5892" width="18.75" style="1" customWidth="1"/>
    <col min="5893" max="5896" width="9" style="1"/>
    <col min="5897" max="5897" width="8.375" style="1" bestFit="1" customWidth="1"/>
    <col min="5898" max="6146" width="9" style="1"/>
    <col min="6147" max="6147" width="2.75" style="1" customWidth="1"/>
    <col min="6148" max="6148" width="18.75" style="1" customWidth="1"/>
    <col min="6149" max="6152" width="9" style="1"/>
    <col min="6153" max="6153" width="8.375" style="1" bestFit="1" customWidth="1"/>
    <col min="6154" max="6402" width="9" style="1"/>
    <col min="6403" max="6403" width="2.75" style="1" customWidth="1"/>
    <col min="6404" max="6404" width="18.75" style="1" customWidth="1"/>
    <col min="6405" max="6408" width="9" style="1"/>
    <col min="6409" max="6409" width="8.375" style="1" bestFit="1" customWidth="1"/>
    <col min="6410" max="6658" width="9" style="1"/>
    <col min="6659" max="6659" width="2.75" style="1" customWidth="1"/>
    <col min="6660" max="6660" width="18.75" style="1" customWidth="1"/>
    <col min="6661" max="6664" width="9" style="1"/>
    <col min="6665" max="6665" width="8.375" style="1" bestFit="1" customWidth="1"/>
    <col min="6666" max="6914" width="9" style="1"/>
    <col min="6915" max="6915" width="2.75" style="1" customWidth="1"/>
    <col min="6916" max="6916" width="18.75" style="1" customWidth="1"/>
    <col min="6917" max="6920" width="9" style="1"/>
    <col min="6921" max="6921" width="8.375" style="1" bestFit="1" customWidth="1"/>
    <col min="6922" max="7170" width="9" style="1"/>
    <col min="7171" max="7171" width="2.75" style="1" customWidth="1"/>
    <col min="7172" max="7172" width="18.75" style="1" customWidth="1"/>
    <col min="7173" max="7176" width="9" style="1"/>
    <col min="7177" max="7177" width="8.375" style="1" bestFit="1" customWidth="1"/>
    <col min="7178" max="7426" width="9" style="1"/>
    <col min="7427" max="7427" width="2.75" style="1" customWidth="1"/>
    <col min="7428" max="7428" width="18.75" style="1" customWidth="1"/>
    <col min="7429" max="7432" width="9" style="1"/>
    <col min="7433" max="7433" width="8.375" style="1" bestFit="1" customWidth="1"/>
    <col min="7434" max="7682" width="9" style="1"/>
    <col min="7683" max="7683" width="2.75" style="1" customWidth="1"/>
    <col min="7684" max="7684" width="18.75" style="1" customWidth="1"/>
    <col min="7685" max="7688" width="9" style="1"/>
    <col min="7689" max="7689" width="8.375" style="1" bestFit="1" customWidth="1"/>
    <col min="7690" max="7938" width="9" style="1"/>
    <col min="7939" max="7939" width="2.75" style="1" customWidth="1"/>
    <col min="7940" max="7940" width="18.75" style="1" customWidth="1"/>
    <col min="7941" max="7944" width="9" style="1"/>
    <col min="7945" max="7945" width="8.375" style="1" bestFit="1" customWidth="1"/>
    <col min="7946" max="8194" width="9" style="1"/>
    <col min="8195" max="8195" width="2.75" style="1" customWidth="1"/>
    <col min="8196" max="8196" width="18.75" style="1" customWidth="1"/>
    <col min="8197" max="8200" width="9" style="1"/>
    <col min="8201" max="8201" width="8.375" style="1" bestFit="1" customWidth="1"/>
    <col min="8202" max="8450" width="9" style="1"/>
    <col min="8451" max="8451" width="2.75" style="1" customWidth="1"/>
    <col min="8452" max="8452" width="18.75" style="1" customWidth="1"/>
    <col min="8453" max="8456" width="9" style="1"/>
    <col min="8457" max="8457" width="8.375" style="1" bestFit="1" customWidth="1"/>
    <col min="8458" max="8706" width="9" style="1"/>
    <col min="8707" max="8707" width="2.75" style="1" customWidth="1"/>
    <col min="8708" max="8708" width="18.75" style="1" customWidth="1"/>
    <col min="8709" max="8712" width="9" style="1"/>
    <col min="8713" max="8713" width="8.375" style="1" bestFit="1" customWidth="1"/>
    <col min="8714" max="8962" width="9" style="1"/>
    <col min="8963" max="8963" width="2.75" style="1" customWidth="1"/>
    <col min="8964" max="8964" width="18.75" style="1" customWidth="1"/>
    <col min="8965" max="8968" width="9" style="1"/>
    <col min="8969" max="8969" width="8.375" style="1" bestFit="1" customWidth="1"/>
    <col min="8970" max="9218" width="9" style="1"/>
    <col min="9219" max="9219" width="2.75" style="1" customWidth="1"/>
    <col min="9220" max="9220" width="18.75" style="1" customWidth="1"/>
    <col min="9221" max="9224" width="9" style="1"/>
    <col min="9225" max="9225" width="8.375" style="1" bestFit="1" customWidth="1"/>
    <col min="9226" max="9474" width="9" style="1"/>
    <col min="9475" max="9475" width="2.75" style="1" customWidth="1"/>
    <col min="9476" max="9476" width="18.75" style="1" customWidth="1"/>
    <col min="9477" max="9480" width="9" style="1"/>
    <col min="9481" max="9481" width="8.375" style="1" bestFit="1" customWidth="1"/>
    <col min="9482" max="9730" width="9" style="1"/>
    <col min="9731" max="9731" width="2.75" style="1" customWidth="1"/>
    <col min="9732" max="9732" width="18.75" style="1" customWidth="1"/>
    <col min="9733" max="9736" width="9" style="1"/>
    <col min="9737" max="9737" width="8.375" style="1" bestFit="1" customWidth="1"/>
    <col min="9738" max="9986" width="9" style="1"/>
    <col min="9987" max="9987" width="2.75" style="1" customWidth="1"/>
    <col min="9988" max="9988" width="18.75" style="1" customWidth="1"/>
    <col min="9989" max="9992" width="9" style="1"/>
    <col min="9993" max="9993" width="8.375" style="1" bestFit="1" customWidth="1"/>
    <col min="9994" max="10242" width="9" style="1"/>
    <col min="10243" max="10243" width="2.75" style="1" customWidth="1"/>
    <col min="10244" max="10244" width="18.75" style="1" customWidth="1"/>
    <col min="10245" max="10248" width="9" style="1"/>
    <col min="10249" max="10249" width="8.375" style="1" bestFit="1" customWidth="1"/>
    <col min="10250" max="10498" width="9" style="1"/>
    <col min="10499" max="10499" width="2.75" style="1" customWidth="1"/>
    <col min="10500" max="10500" width="18.75" style="1" customWidth="1"/>
    <col min="10501" max="10504" width="9" style="1"/>
    <col min="10505" max="10505" width="8.375" style="1" bestFit="1" customWidth="1"/>
    <col min="10506" max="10754" width="9" style="1"/>
    <col min="10755" max="10755" width="2.75" style="1" customWidth="1"/>
    <col min="10756" max="10756" width="18.75" style="1" customWidth="1"/>
    <col min="10757" max="10760" width="9" style="1"/>
    <col min="10761" max="10761" width="8.375" style="1" bestFit="1" customWidth="1"/>
    <col min="10762" max="11010" width="9" style="1"/>
    <col min="11011" max="11011" width="2.75" style="1" customWidth="1"/>
    <col min="11012" max="11012" width="18.75" style="1" customWidth="1"/>
    <col min="11013" max="11016" width="9" style="1"/>
    <col min="11017" max="11017" width="8.375" style="1" bestFit="1" customWidth="1"/>
    <col min="11018" max="11266" width="9" style="1"/>
    <col min="11267" max="11267" width="2.75" style="1" customWidth="1"/>
    <col min="11268" max="11268" width="18.75" style="1" customWidth="1"/>
    <col min="11269" max="11272" width="9" style="1"/>
    <col min="11273" max="11273" width="8.375" style="1" bestFit="1" customWidth="1"/>
    <col min="11274" max="11522" width="9" style="1"/>
    <col min="11523" max="11523" width="2.75" style="1" customWidth="1"/>
    <col min="11524" max="11524" width="18.75" style="1" customWidth="1"/>
    <col min="11525" max="11528" width="9" style="1"/>
    <col min="11529" max="11529" width="8.375" style="1" bestFit="1" customWidth="1"/>
    <col min="11530" max="11778" width="9" style="1"/>
    <col min="11779" max="11779" width="2.75" style="1" customWidth="1"/>
    <col min="11780" max="11780" width="18.75" style="1" customWidth="1"/>
    <col min="11781" max="11784" width="9" style="1"/>
    <col min="11785" max="11785" width="8.375" style="1" bestFit="1" customWidth="1"/>
    <col min="11786" max="12034" width="9" style="1"/>
    <col min="12035" max="12035" width="2.75" style="1" customWidth="1"/>
    <col min="12036" max="12036" width="18.75" style="1" customWidth="1"/>
    <col min="12037" max="12040" width="9" style="1"/>
    <col min="12041" max="12041" width="8.375" style="1" bestFit="1" customWidth="1"/>
    <col min="12042" max="12290" width="9" style="1"/>
    <col min="12291" max="12291" width="2.75" style="1" customWidth="1"/>
    <col min="12292" max="12292" width="18.75" style="1" customWidth="1"/>
    <col min="12293" max="12296" width="9" style="1"/>
    <col min="12297" max="12297" width="8.375" style="1" bestFit="1" customWidth="1"/>
    <col min="12298" max="12546" width="9" style="1"/>
    <col min="12547" max="12547" width="2.75" style="1" customWidth="1"/>
    <col min="12548" max="12548" width="18.75" style="1" customWidth="1"/>
    <col min="12549" max="12552" width="9" style="1"/>
    <col min="12553" max="12553" width="8.375" style="1" bestFit="1" customWidth="1"/>
    <col min="12554" max="12802" width="9" style="1"/>
    <col min="12803" max="12803" width="2.75" style="1" customWidth="1"/>
    <col min="12804" max="12804" width="18.75" style="1" customWidth="1"/>
    <col min="12805" max="12808" width="9" style="1"/>
    <col min="12809" max="12809" width="8.375" style="1" bestFit="1" customWidth="1"/>
    <col min="12810" max="13058" width="9" style="1"/>
    <col min="13059" max="13059" width="2.75" style="1" customWidth="1"/>
    <col min="13060" max="13060" width="18.75" style="1" customWidth="1"/>
    <col min="13061" max="13064" width="9" style="1"/>
    <col min="13065" max="13065" width="8.375" style="1" bestFit="1" customWidth="1"/>
    <col min="13066" max="13314" width="9" style="1"/>
    <col min="13315" max="13315" width="2.75" style="1" customWidth="1"/>
    <col min="13316" max="13316" width="18.75" style="1" customWidth="1"/>
    <col min="13317" max="13320" width="9" style="1"/>
    <col min="13321" max="13321" width="8.375" style="1" bestFit="1" customWidth="1"/>
    <col min="13322" max="13570" width="9" style="1"/>
    <col min="13571" max="13571" width="2.75" style="1" customWidth="1"/>
    <col min="13572" max="13572" width="18.75" style="1" customWidth="1"/>
    <col min="13573" max="13576" width="9" style="1"/>
    <col min="13577" max="13577" width="8.375" style="1" bestFit="1" customWidth="1"/>
    <col min="13578" max="13826" width="9" style="1"/>
    <col min="13827" max="13827" width="2.75" style="1" customWidth="1"/>
    <col min="13828" max="13828" width="18.75" style="1" customWidth="1"/>
    <col min="13829" max="13832" width="9" style="1"/>
    <col min="13833" max="13833" width="8.375" style="1" bestFit="1" customWidth="1"/>
    <col min="13834" max="14082" width="9" style="1"/>
    <col min="14083" max="14083" width="2.75" style="1" customWidth="1"/>
    <col min="14084" max="14084" width="18.75" style="1" customWidth="1"/>
    <col min="14085" max="14088" width="9" style="1"/>
    <col min="14089" max="14089" width="8.375" style="1" bestFit="1" customWidth="1"/>
    <col min="14090" max="14338" width="9" style="1"/>
    <col min="14339" max="14339" width="2.75" style="1" customWidth="1"/>
    <col min="14340" max="14340" width="18.75" style="1" customWidth="1"/>
    <col min="14341" max="14344" width="9" style="1"/>
    <col min="14345" max="14345" width="8.375" style="1" bestFit="1" customWidth="1"/>
    <col min="14346" max="14594" width="9" style="1"/>
    <col min="14595" max="14595" width="2.75" style="1" customWidth="1"/>
    <col min="14596" max="14596" width="18.75" style="1" customWidth="1"/>
    <col min="14597" max="14600" width="9" style="1"/>
    <col min="14601" max="14601" width="8.375" style="1" bestFit="1" customWidth="1"/>
    <col min="14602" max="14850" width="9" style="1"/>
    <col min="14851" max="14851" width="2.75" style="1" customWidth="1"/>
    <col min="14852" max="14852" width="18.75" style="1" customWidth="1"/>
    <col min="14853" max="14856" width="9" style="1"/>
    <col min="14857" max="14857" width="8.375" style="1" bestFit="1" customWidth="1"/>
    <col min="14858" max="15106" width="9" style="1"/>
    <col min="15107" max="15107" width="2.75" style="1" customWidth="1"/>
    <col min="15108" max="15108" width="18.75" style="1" customWidth="1"/>
    <col min="15109" max="15112" width="9" style="1"/>
    <col min="15113" max="15113" width="8.375" style="1" bestFit="1" customWidth="1"/>
    <col min="15114" max="15362" width="9" style="1"/>
    <col min="15363" max="15363" width="2.75" style="1" customWidth="1"/>
    <col min="15364" max="15364" width="18.75" style="1" customWidth="1"/>
    <col min="15365" max="15368" width="9" style="1"/>
    <col min="15369" max="15369" width="8.375" style="1" bestFit="1" customWidth="1"/>
    <col min="15370" max="15618" width="9" style="1"/>
    <col min="15619" max="15619" width="2.75" style="1" customWidth="1"/>
    <col min="15620" max="15620" width="18.75" style="1" customWidth="1"/>
    <col min="15621" max="15624" width="9" style="1"/>
    <col min="15625" max="15625" width="8.375" style="1" bestFit="1" customWidth="1"/>
    <col min="15626" max="15874" width="9" style="1"/>
    <col min="15875" max="15875" width="2.75" style="1" customWidth="1"/>
    <col min="15876" max="15876" width="18.75" style="1" customWidth="1"/>
    <col min="15877" max="15880" width="9" style="1"/>
    <col min="15881" max="15881" width="8.375" style="1" bestFit="1" customWidth="1"/>
    <col min="15882" max="16130" width="9" style="1"/>
    <col min="16131" max="16131" width="2.75" style="1" customWidth="1"/>
    <col min="16132" max="16132" width="18.75" style="1" customWidth="1"/>
    <col min="16133" max="16136" width="9" style="1"/>
    <col min="16137" max="16137" width="8.375" style="1" bestFit="1" customWidth="1"/>
    <col min="16138" max="16384" width="9" style="1"/>
  </cols>
  <sheetData>
    <row r="1" spans="1:16" ht="12" customHeight="1">
      <c r="B1" s="461" t="s">
        <v>25</v>
      </c>
      <c r="C1" s="461"/>
      <c r="D1" s="461"/>
      <c r="E1" s="461"/>
      <c r="F1" s="461"/>
      <c r="G1" s="461"/>
      <c r="H1" s="461"/>
      <c r="I1" s="461"/>
      <c r="J1" s="461"/>
      <c r="K1" s="461"/>
      <c r="N1" s="6"/>
      <c r="P1" s="409">
        <v>44022</v>
      </c>
    </row>
    <row r="2" spans="1:16" s="2" customFormat="1" ht="6.75" customHeight="1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124"/>
    </row>
    <row r="3" spans="1:16" ht="11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25" t="s">
        <v>26</v>
      </c>
    </row>
    <row r="4" spans="1:16" ht="11.25" customHeight="1">
      <c r="B4" s="11" t="s">
        <v>55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26" t="s">
        <v>27</v>
      </c>
    </row>
    <row r="5" spans="1:16" ht="12" customHeight="1">
      <c r="B5" s="467" t="s">
        <v>28</v>
      </c>
      <c r="C5" s="472" t="s">
        <v>29</v>
      </c>
      <c r="D5" s="472"/>
      <c r="E5" s="472" t="s">
        <v>30</v>
      </c>
      <c r="F5" s="472"/>
      <c r="G5" s="472" t="s">
        <v>32</v>
      </c>
      <c r="H5" s="472"/>
      <c r="I5" s="469" t="s">
        <v>58</v>
      </c>
      <c r="J5" s="470"/>
      <c r="K5" s="472" t="s">
        <v>57</v>
      </c>
      <c r="L5" s="491"/>
      <c r="M5" s="470" t="s">
        <v>5</v>
      </c>
      <c r="N5" s="472"/>
      <c r="O5" s="472" t="s">
        <v>33</v>
      </c>
      <c r="P5" s="491"/>
    </row>
    <row r="6" spans="1:16" ht="12" customHeight="1" thickBot="1">
      <c r="B6" s="468"/>
      <c r="C6" s="13" t="s">
        <v>34</v>
      </c>
      <c r="D6" s="13" t="s">
        <v>35</v>
      </c>
      <c r="E6" s="13" t="s">
        <v>34</v>
      </c>
      <c r="F6" s="13" t="s">
        <v>35</v>
      </c>
      <c r="G6" s="13" t="s">
        <v>34</v>
      </c>
      <c r="H6" s="13" t="s">
        <v>35</v>
      </c>
      <c r="I6" s="13" t="s">
        <v>59</v>
      </c>
      <c r="J6" s="13" t="s">
        <v>60</v>
      </c>
      <c r="K6" s="13" t="s">
        <v>34</v>
      </c>
      <c r="L6" s="14" t="s">
        <v>35</v>
      </c>
      <c r="M6" s="15" t="s">
        <v>34</v>
      </c>
      <c r="N6" s="13" t="s">
        <v>35</v>
      </c>
      <c r="O6" s="13" t="s">
        <v>34</v>
      </c>
      <c r="P6" s="14" t="s">
        <v>35</v>
      </c>
    </row>
    <row r="7" spans="1:16" ht="9.75" customHeight="1">
      <c r="A7" s="484">
        <v>2012</v>
      </c>
      <c r="B7" s="410">
        <v>1</v>
      </c>
      <c r="C7" s="411">
        <v>60</v>
      </c>
      <c r="D7" s="411">
        <v>197</v>
      </c>
      <c r="E7" s="411">
        <v>27</v>
      </c>
      <c r="F7" s="411">
        <v>84</v>
      </c>
      <c r="G7" s="411">
        <v>36</v>
      </c>
      <c r="H7" s="411">
        <v>104</v>
      </c>
      <c r="I7" s="411">
        <v>3</v>
      </c>
      <c r="J7" s="411">
        <v>18</v>
      </c>
      <c r="K7" s="411"/>
      <c r="L7" s="412"/>
      <c r="M7" s="413">
        <f t="shared" ref="M7:M38" si="0">+C7+E7+G7+I7+K7</f>
        <v>126</v>
      </c>
      <c r="N7" s="411">
        <f t="shared" ref="N7:N38" si="1">+D7+F7+H7+J7+L7</f>
        <v>403</v>
      </c>
      <c r="O7" s="414">
        <f>M7/31</f>
        <v>4.064516129032258</v>
      </c>
      <c r="P7" s="415">
        <f>N7/31</f>
        <v>13</v>
      </c>
    </row>
    <row r="8" spans="1:16" ht="9.75" customHeight="1">
      <c r="A8" s="485"/>
      <c r="B8" s="127">
        <v>2</v>
      </c>
      <c r="C8" s="128">
        <v>49</v>
      </c>
      <c r="D8" s="128">
        <v>131</v>
      </c>
      <c r="E8" s="128">
        <v>17</v>
      </c>
      <c r="F8" s="128">
        <v>60</v>
      </c>
      <c r="G8" s="128">
        <v>34</v>
      </c>
      <c r="H8" s="128">
        <v>128</v>
      </c>
      <c r="I8" s="128">
        <v>4</v>
      </c>
      <c r="J8" s="128">
        <v>6</v>
      </c>
      <c r="K8" s="128"/>
      <c r="L8" s="129"/>
      <c r="M8" s="130">
        <f t="shared" si="0"/>
        <v>104</v>
      </c>
      <c r="N8" s="128">
        <f t="shared" si="1"/>
        <v>325</v>
      </c>
      <c r="O8" s="131">
        <f>M8/29</f>
        <v>3.5862068965517242</v>
      </c>
      <c r="P8" s="132">
        <f>N8/29</f>
        <v>11.206896551724139</v>
      </c>
    </row>
    <row r="9" spans="1:16" ht="9.75" customHeight="1">
      <c r="A9" s="485"/>
      <c r="B9" s="127">
        <v>3</v>
      </c>
      <c r="C9" s="128">
        <v>93</v>
      </c>
      <c r="D9" s="128">
        <v>181</v>
      </c>
      <c r="E9" s="128">
        <v>17</v>
      </c>
      <c r="F9" s="128">
        <v>58</v>
      </c>
      <c r="G9" s="128">
        <v>35</v>
      </c>
      <c r="H9" s="128">
        <v>103</v>
      </c>
      <c r="I9" s="128">
        <v>5</v>
      </c>
      <c r="J9" s="128">
        <v>8</v>
      </c>
      <c r="K9" s="128"/>
      <c r="L9" s="129"/>
      <c r="M9" s="130">
        <f t="shared" si="0"/>
        <v>150</v>
      </c>
      <c r="N9" s="128">
        <f t="shared" si="1"/>
        <v>350</v>
      </c>
      <c r="O9" s="131">
        <f>M9/31</f>
        <v>4.838709677419355</v>
      </c>
      <c r="P9" s="132">
        <f>N9/31</f>
        <v>11.290322580645162</v>
      </c>
    </row>
    <row r="10" spans="1:16" ht="9.75" customHeight="1">
      <c r="A10" s="485"/>
      <c r="B10" s="127">
        <v>4</v>
      </c>
      <c r="C10" s="128">
        <v>129</v>
      </c>
      <c r="D10" s="128">
        <v>470</v>
      </c>
      <c r="E10" s="128">
        <v>1</v>
      </c>
      <c r="F10" s="128">
        <v>12</v>
      </c>
      <c r="G10" s="128">
        <v>24</v>
      </c>
      <c r="H10" s="128">
        <v>63</v>
      </c>
      <c r="I10" s="128">
        <v>10</v>
      </c>
      <c r="J10" s="128">
        <v>28</v>
      </c>
      <c r="K10" s="128"/>
      <c r="L10" s="129"/>
      <c r="M10" s="130">
        <f t="shared" si="0"/>
        <v>164</v>
      </c>
      <c r="N10" s="128">
        <f t="shared" si="1"/>
        <v>573</v>
      </c>
      <c r="O10" s="131">
        <f>M10/30</f>
        <v>5.4666666666666668</v>
      </c>
      <c r="P10" s="132">
        <f>N10/30</f>
        <v>19.100000000000001</v>
      </c>
    </row>
    <row r="11" spans="1:16" ht="9.75" customHeight="1">
      <c r="A11" s="485"/>
      <c r="B11" s="127">
        <v>5</v>
      </c>
      <c r="C11" s="128">
        <v>113</v>
      </c>
      <c r="D11" s="128">
        <v>396</v>
      </c>
      <c r="E11" s="128">
        <v>9</v>
      </c>
      <c r="F11" s="128">
        <v>15</v>
      </c>
      <c r="G11" s="128">
        <v>47</v>
      </c>
      <c r="H11" s="128">
        <v>137</v>
      </c>
      <c r="I11" s="128">
        <v>21</v>
      </c>
      <c r="J11" s="128">
        <v>68</v>
      </c>
      <c r="K11" s="128"/>
      <c r="L11" s="129"/>
      <c r="M11" s="130">
        <f t="shared" si="0"/>
        <v>190</v>
      </c>
      <c r="N11" s="128">
        <f t="shared" si="1"/>
        <v>616</v>
      </c>
      <c r="O11" s="131">
        <f>M11/31</f>
        <v>6.129032258064516</v>
      </c>
      <c r="P11" s="132">
        <f>N11/31</f>
        <v>19.870967741935484</v>
      </c>
    </row>
    <row r="12" spans="1:16" ht="9.75" customHeight="1">
      <c r="A12" s="485"/>
      <c r="B12" s="127">
        <v>6</v>
      </c>
      <c r="C12" s="128">
        <v>94</v>
      </c>
      <c r="D12" s="128">
        <v>205</v>
      </c>
      <c r="E12" s="128">
        <v>16</v>
      </c>
      <c r="F12" s="128">
        <v>36</v>
      </c>
      <c r="G12" s="128">
        <v>34</v>
      </c>
      <c r="H12" s="128">
        <v>96</v>
      </c>
      <c r="I12" s="128">
        <v>6</v>
      </c>
      <c r="J12" s="128">
        <v>11</v>
      </c>
      <c r="K12" s="128"/>
      <c r="L12" s="129"/>
      <c r="M12" s="130">
        <f t="shared" si="0"/>
        <v>150</v>
      </c>
      <c r="N12" s="128">
        <f t="shared" si="1"/>
        <v>348</v>
      </c>
      <c r="O12" s="131">
        <f>M12/30</f>
        <v>5</v>
      </c>
      <c r="P12" s="132">
        <f>N12/30</f>
        <v>11.6</v>
      </c>
    </row>
    <row r="13" spans="1:16" ht="9.75" customHeight="1">
      <c r="A13" s="485"/>
      <c r="B13" s="127">
        <v>7</v>
      </c>
      <c r="C13" s="128">
        <v>151</v>
      </c>
      <c r="D13" s="128">
        <v>431</v>
      </c>
      <c r="E13" s="128">
        <v>31</v>
      </c>
      <c r="F13" s="128">
        <v>97</v>
      </c>
      <c r="G13" s="128">
        <v>57</v>
      </c>
      <c r="H13" s="128">
        <v>155</v>
      </c>
      <c r="I13" s="128">
        <v>19</v>
      </c>
      <c r="J13" s="128">
        <v>55</v>
      </c>
      <c r="K13" s="128"/>
      <c r="L13" s="129"/>
      <c r="M13" s="130">
        <f t="shared" si="0"/>
        <v>258</v>
      </c>
      <c r="N13" s="128">
        <f t="shared" si="1"/>
        <v>738</v>
      </c>
      <c r="O13" s="131">
        <f>M13/31</f>
        <v>8.32258064516129</v>
      </c>
      <c r="P13" s="132">
        <f>N13/31</f>
        <v>23.806451612903224</v>
      </c>
    </row>
    <row r="14" spans="1:16" ht="9.75" customHeight="1">
      <c r="A14" s="485"/>
      <c r="B14" s="127">
        <v>8</v>
      </c>
      <c r="C14" s="128">
        <v>84</v>
      </c>
      <c r="D14" s="128">
        <v>234</v>
      </c>
      <c r="E14" s="128">
        <v>37</v>
      </c>
      <c r="F14" s="128">
        <v>129</v>
      </c>
      <c r="G14" s="128">
        <v>35</v>
      </c>
      <c r="H14" s="128">
        <v>69</v>
      </c>
      <c r="I14" s="128">
        <v>22</v>
      </c>
      <c r="J14" s="128">
        <v>61</v>
      </c>
      <c r="K14" s="128"/>
      <c r="L14" s="129"/>
      <c r="M14" s="130">
        <f t="shared" si="0"/>
        <v>178</v>
      </c>
      <c r="N14" s="128">
        <f t="shared" si="1"/>
        <v>493</v>
      </c>
      <c r="O14" s="131">
        <f>M14/31</f>
        <v>5.741935483870968</v>
      </c>
      <c r="P14" s="132">
        <f>N14/31</f>
        <v>15.903225806451612</v>
      </c>
    </row>
    <row r="15" spans="1:16" ht="9.75" customHeight="1">
      <c r="A15" s="485"/>
      <c r="B15" s="127">
        <v>9</v>
      </c>
      <c r="C15" s="128">
        <v>101</v>
      </c>
      <c r="D15" s="128">
        <v>235</v>
      </c>
      <c r="E15" s="128">
        <v>22</v>
      </c>
      <c r="F15" s="128">
        <v>53</v>
      </c>
      <c r="G15" s="128">
        <v>28</v>
      </c>
      <c r="H15" s="128">
        <v>34</v>
      </c>
      <c r="I15" s="128">
        <v>10</v>
      </c>
      <c r="J15" s="128">
        <v>25</v>
      </c>
      <c r="K15" s="128"/>
      <c r="L15" s="129"/>
      <c r="M15" s="130">
        <f t="shared" si="0"/>
        <v>161</v>
      </c>
      <c r="N15" s="128">
        <f t="shared" si="1"/>
        <v>347</v>
      </c>
      <c r="O15" s="131">
        <f>M15/30</f>
        <v>5.3666666666666663</v>
      </c>
      <c r="P15" s="132">
        <f>N15/30</f>
        <v>11.566666666666666</v>
      </c>
    </row>
    <row r="16" spans="1:16" ht="9.75" customHeight="1">
      <c r="A16" s="485"/>
      <c r="B16" s="127">
        <v>10</v>
      </c>
      <c r="C16" s="354">
        <v>135</v>
      </c>
      <c r="D16" s="354">
        <v>300</v>
      </c>
      <c r="E16" s="354">
        <v>13</v>
      </c>
      <c r="F16" s="354">
        <v>20</v>
      </c>
      <c r="G16" s="354">
        <v>33</v>
      </c>
      <c r="H16" s="354">
        <v>49</v>
      </c>
      <c r="I16" s="354">
        <v>10</v>
      </c>
      <c r="J16" s="354">
        <v>34</v>
      </c>
      <c r="K16" s="354"/>
      <c r="L16" s="355"/>
      <c r="M16" s="356">
        <f t="shared" si="0"/>
        <v>191</v>
      </c>
      <c r="N16" s="354">
        <f t="shared" si="1"/>
        <v>403</v>
      </c>
      <c r="O16" s="357">
        <f>M16/31</f>
        <v>6.161290322580645</v>
      </c>
      <c r="P16" s="355">
        <f>N16/31</f>
        <v>13</v>
      </c>
    </row>
    <row r="17" spans="1:16" ht="9.75" customHeight="1">
      <c r="A17" s="485"/>
      <c r="B17" s="127">
        <v>11</v>
      </c>
      <c r="C17" s="128">
        <v>152</v>
      </c>
      <c r="D17" s="128">
        <v>405</v>
      </c>
      <c r="E17" s="128">
        <v>19</v>
      </c>
      <c r="F17" s="128">
        <v>50</v>
      </c>
      <c r="G17" s="128">
        <v>33</v>
      </c>
      <c r="H17" s="128">
        <v>68</v>
      </c>
      <c r="I17" s="128">
        <v>7</v>
      </c>
      <c r="J17" s="128">
        <v>26</v>
      </c>
      <c r="K17" s="128"/>
      <c r="L17" s="129"/>
      <c r="M17" s="130">
        <f t="shared" si="0"/>
        <v>211</v>
      </c>
      <c r="N17" s="128">
        <f t="shared" si="1"/>
        <v>549</v>
      </c>
      <c r="O17" s="131">
        <f>M17/30</f>
        <v>7.0333333333333332</v>
      </c>
      <c r="P17" s="132">
        <f>N17/30</f>
        <v>18.3</v>
      </c>
    </row>
    <row r="18" spans="1:16" ht="9.75" customHeight="1" thickBot="1">
      <c r="A18" s="486"/>
      <c r="B18" s="127">
        <v>12</v>
      </c>
      <c r="C18" s="182">
        <v>119</v>
      </c>
      <c r="D18" s="182">
        <v>431</v>
      </c>
      <c r="E18" s="182">
        <v>38</v>
      </c>
      <c r="F18" s="182">
        <v>102</v>
      </c>
      <c r="G18" s="182">
        <v>34</v>
      </c>
      <c r="H18" s="182">
        <v>108</v>
      </c>
      <c r="I18" s="182">
        <v>11</v>
      </c>
      <c r="J18" s="182">
        <v>24</v>
      </c>
      <c r="K18" s="182"/>
      <c r="L18" s="183"/>
      <c r="M18" s="184">
        <f t="shared" si="0"/>
        <v>202</v>
      </c>
      <c r="N18" s="182">
        <f t="shared" si="1"/>
        <v>665</v>
      </c>
      <c r="O18" s="185">
        <f>M18/31</f>
        <v>6.5161290322580649</v>
      </c>
      <c r="P18" s="186">
        <f>N18/31</f>
        <v>21.451612903225808</v>
      </c>
    </row>
    <row r="19" spans="1:16" s="3" customFormat="1" ht="9.75" customHeight="1">
      <c r="A19" s="484">
        <v>2013</v>
      </c>
      <c r="B19" s="410">
        <v>1</v>
      </c>
      <c r="C19" s="411">
        <v>96</v>
      </c>
      <c r="D19" s="411">
        <v>199</v>
      </c>
      <c r="E19" s="411">
        <v>34</v>
      </c>
      <c r="F19" s="411">
        <v>83</v>
      </c>
      <c r="G19" s="411">
        <v>29</v>
      </c>
      <c r="H19" s="411">
        <v>75</v>
      </c>
      <c r="I19" s="411">
        <v>5</v>
      </c>
      <c r="J19" s="411">
        <v>12</v>
      </c>
      <c r="K19" s="411"/>
      <c r="L19" s="412"/>
      <c r="M19" s="413">
        <f t="shared" si="0"/>
        <v>164</v>
      </c>
      <c r="N19" s="411">
        <f t="shared" si="1"/>
        <v>369</v>
      </c>
      <c r="O19" s="414">
        <f>M19/31</f>
        <v>5.290322580645161</v>
      </c>
      <c r="P19" s="415">
        <f>N19/31</f>
        <v>11.903225806451612</v>
      </c>
    </row>
    <row r="20" spans="1:16" s="3" customFormat="1" ht="9.75" customHeight="1">
      <c r="A20" s="485"/>
      <c r="B20" s="127">
        <v>2</v>
      </c>
      <c r="C20" s="128">
        <v>87</v>
      </c>
      <c r="D20" s="128">
        <v>183</v>
      </c>
      <c r="E20" s="128">
        <v>31</v>
      </c>
      <c r="F20" s="128">
        <v>96</v>
      </c>
      <c r="G20" s="128">
        <v>45</v>
      </c>
      <c r="H20" s="128">
        <v>86</v>
      </c>
      <c r="I20" s="128">
        <v>10</v>
      </c>
      <c r="J20" s="128">
        <v>14</v>
      </c>
      <c r="K20" s="128"/>
      <c r="L20" s="129"/>
      <c r="M20" s="130">
        <f t="shared" si="0"/>
        <v>173</v>
      </c>
      <c r="N20" s="128">
        <f t="shared" si="1"/>
        <v>379</v>
      </c>
      <c r="O20" s="131">
        <f>M20/28</f>
        <v>6.1785714285714288</v>
      </c>
      <c r="P20" s="132">
        <f>N20/28</f>
        <v>13.535714285714286</v>
      </c>
    </row>
    <row r="21" spans="1:16" s="3" customFormat="1" ht="9.75" customHeight="1">
      <c r="A21" s="485"/>
      <c r="B21" s="127">
        <v>3</v>
      </c>
      <c r="C21" s="128">
        <v>248</v>
      </c>
      <c r="D21" s="128">
        <v>509</v>
      </c>
      <c r="E21" s="128">
        <v>21</v>
      </c>
      <c r="F21" s="128">
        <v>54</v>
      </c>
      <c r="G21" s="128">
        <v>53</v>
      </c>
      <c r="H21" s="128">
        <v>85</v>
      </c>
      <c r="I21" s="128">
        <v>16</v>
      </c>
      <c r="J21" s="128">
        <v>42</v>
      </c>
      <c r="K21" s="128"/>
      <c r="L21" s="129"/>
      <c r="M21" s="130">
        <f t="shared" si="0"/>
        <v>338</v>
      </c>
      <c r="N21" s="128">
        <f t="shared" si="1"/>
        <v>690</v>
      </c>
      <c r="O21" s="131">
        <f>M21/31</f>
        <v>10.903225806451612</v>
      </c>
      <c r="P21" s="132">
        <f>N21/31</f>
        <v>22.258064516129032</v>
      </c>
    </row>
    <row r="22" spans="1:16" s="3" customFormat="1" ht="9.75" customHeight="1">
      <c r="A22" s="485"/>
      <c r="B22" s="127">
        <v>4</v>
      </c>
      <c r="C22" s="128">
        <v>315</v>
      </c>
      <c r="D22" s="128">
        <v>831</v>
      </c>
      <c r="E22" s="128">
        <v>18</v>
      </c>
      <c r="F22" s="128">
        <v>46</v>
      </c>
      <c r="G22" s="128">
        <v>47</v>
      </c>
      <c r="H22" s="128">
        <v>118</v>
      </c>
      <c r="I22" s="128">
        <v>18</v>
      </c>
      <c r="J22" s="128">
        <v>25</v>
      </c>
      <c r="K22" s="128"/>
      <c r="L22" s="129"/>
      <c r="M22" s="130">
        <f t="shared" si="0"/>
        <v>398</v>
      </c>
      <c r="N22" s="128">
        <f t="shared" si="1"/>
        <v>1020</v>
      </c>
      <c r="O22" s="131">
        <f>M22/30</f>
        <v>13.266666666666667</v>
      </c>
      <c r="P22" s="132">
        <f>N22/30</f>
        <v>34</v>
      </c>
    </row>
    <row r="23" spans="1:16" s="3" customFormat="1" ht="9.75" customHeight="1">
      <c r="A23" s="485"/>
      <c r="B23" s="127">
        <v>5</v>
      </c>
      <c r="C23" s="128">
        <v>256</v>
      </c>
      <c r="D23" s="128">
        <v>729</v>
      </c>
      <c r="E23" s="128">
        <v>31</v>
      </c>
      <c r="F23" s="128">
        <v>84</v>
      </c>
      <c r="G23" s="128">
        <v>81</v>
      </c>
      <c r="H23" s="128">
        <v>192</v>
      </c>
      <c r="I23" s="128">
        <v>70</v>
      </c>
      <c r="J23" s="128">
        <v>30</v>
      </c>
      <c r="K23" s="128"/>
      <c r="L23" s="129"/>
      <c r="M23" s="130">
        <f t="shared" si="0"/>
        <v>438</v>
      </c>
      <c r="N23" s="128">
        <f t="shared" si="1"/>
        <v>1035</v>
      </c>
      <c r="O23" s="131">
        <f>M23/31</f>
        <v>14.129032258064516</v>
      </c>
      <c r="P23" s="132">
        <f>N23/31</f>
        <v>33.387096774193552</v>
      </c>
    </row>
    <row r="24" spans="1:16" s="3" customFormat="1" ht="9.75" customHeight="1">
      <c r="A24" s="485"/>
      <c r="B24" s="127">
        <v>6</v>
      </c>
      <c r="C24" s="128">
        <v>198</v>
      </c>
      <c r="D24" s="128">
        <v>502</v>
      </c>
      <c r="E24" s="128">
        <v>42</v>
      </c>
      <c r="F24" s="128">
        <v>108</v>
      </c>
      <c r="G24" s="128">
        <v>109</v>
      </c>
      <c r="H24" s="128">
        <v>258</v>
      </c>
      <c r="I24" s="128">
        <v>25</v>
      </c>
      <c r="J24" s="128">
        <v>64</v>
      </c>
      <c r="K24" s="128"/>
      <c r="L24" s="129"/>
      <c r="M24" s="130">
        <f t="shared" si="0"/>
        <v>374</v>
      </c>
      <c r="N24" s="128">
        <f t="shared" si="1"/>
        <v>932</v>
      </c>
      <c r="O24" s="131">
        <f>M24/30</f>
        <v>12.466666666666667</v>
      </c>
      <c r="P24" s="132">
        <f>N24/30</f>
        <v>31.066666666666666</v>
      </c>
    </row>
    <row r="25" spans="1:16" s="3" customFormat="1" ht="9.75" customHeight="1">
      <c r="A25" s="485"/>
      <c r="B25" s="127">
        <v>7</v>
      </c>
      <c r="C25" s="128">
        <v>380</v>
      </c>
      <c r="D25" s="128">
        <v>884</v>
      </c>
      <c r="E25" s="128">
        <v>109</v>
      </c>
      <c r="F25" s="128">
        <v>287</v>
      </c>
      <c r="G25" s="128">
        <v>112</v>
      </c>
      <c r="H25" s="128">
        <v>173</v>
      </c>
      <c r="I25" s="128">
        <v>27</v>
      </c>
      <c r="J25" s="128">
        <v>74</v>
      </c>
      <c r="K25" s="128"/>
      <c r="L25" s="129"/>
      <c r="M25" s="130">
        <f t="shared" si="0"/>
        <v>628</v>
      </c>
      <c r="N25" s="128">
        <f t="shared" si="1"/>
        <v>1418</v>
      </c>
      <c r="O25" s="131">
        <f t="shared" ref="O25:O52" si="2">M25/31</f>
        <v>20.258064516129032</v>
      </c>
      <c r="P25" s="132">
        <f t="shared" ref="P25:P52" si="3">N25/31</f>
        <v>45.741935483870968</v>
      </c>
    </row>
    <row r="26" spans="1:16" s="3" customFormat="1" ht="9.75" customHeight="1">
      <c r="A26" s="485"/>
      <c r="B26" s="127">
        <v>8</v>
      </c>
      <c r="C26" s="128">
        <v>312</v>
      </c>
      <c r="D26" s="128">
        <v>744</v>
      </c>
      <c r="E26" s="128">
        <v>92</v>
      </c>
      <c r="F26" s="128">
        <v>226</v>
      </c>
      <c r="G26" s="128">
        <v>88</v>
      </c>
      <c r="H26" s="128">
        <v>204</v>
      </c>
      <c r="I26" s="128">
        <v>21</v>
      </c>
      <c r="J26" s="128">
        <v>75</v>
      </c>
      <c r="K26" s="128"/>
      <c r="L26" s="129"/>
      <c r="M26" s="130">
        <f t="shared" si="0"/>
        <v>513</v>
      </c>
      <c r="N26" s="128">
        <f t="shared" si="1"/>
        <v>1249</v>
      </c>
      <c r="O26" s="131">
        <f t="shared" si="2"/>
        <v>16.548387096774192</v>
      </c>
      <c r="P26" s="132">
        <f t="shared" si="3"/>
        <v>40.29032258064516</v>
      </c>
    </row>
    <row r="27" spans="1:16" s="3" customFormat="1" ht="9.75" customHeight="1">
      <c r="A27" s="485"/>
      <c r="B27" s="127">
        <v>9</v>
      </c>
      <c r="C27" s="133">
        <v>282</v>
      </c>
      <c r="D27" s="133">
        <v>630</v>
      </c>
      <c r="E27" s="133">
        <v>40</v>
      </c>
      <c r="F27" s="133">
        <v>107</v>
      </c>
      <c r="G27" s="133">
        <v>84</v>
      </c>
      <c r="H27" s="133">
        <v>141</v>
      </c>
      <c r="I27" s="133">
        <v>37</v>
      </c>
      <c r="J27" s="133">
        <v>85</v>
      </c>
      <c r="K27" s="133"/>
      <c r="L27" s="134"/>
      <c r="M27" s="135">
        <f t="shared" si="0"/>
        <v>443</v>
      </c>
      <c r="N27" s="133">
        <f t="shared" si="1"/>
        <v>963</v>
      </c>
      <c r="O27" s="136">
        <f t="shared" si="2"/>
        <v>14.290322580645162</v>
      </c>
      <c r="P27" s="137">
        <f t="shared" si="3"/>
        <v>31.06451612903226</v>
      </c>
    </row>
    <row r="28" spans="1:16" s="3" customFormat="1" ht="9.75" customHeight="1">
      <c r="A28" s="485"/>
      <c r="B28" s="127">
        <v>10</v>
      </c>
      <c r="C28" s="128">
        <v>370</v>
      </c>
      <c r="D28" s="128">
        <v>850</v>
      </c>
      <c r="E28" s="128">
        <v>28</v>
      </c>
      <c r="F28" s="128">
        <v>96</v>
      </c>
      <c r="G28" s="128">
        <v>26</v>
      </c>
      <c r="H28" s="128">
        <v>115</v>
      </c>
      <c r="I28" s="128">
        <v>10</v>
      </c>
      <c r="J28" s="128">
        <v>19</v>
      </c>
      <c r="K28" s="128"/>
      <c r="L28" s="129"/>
      <c r="M28" s="130">
        <f t="shared" si="0"/>
        <v>434</v>
      </c>
      <c r="N28" s="128">
        <f t="shared" si="1"/>
        <v>1080</v>
      </c>
      <c r="O28" s="131">
        <f t="shared" si="2"/>
        <v>14</v>
      </c>
      <c r="P28" s="132">
        <f t="shared" si="3"/>
        <v>34.838709677419352</v>
      </c>
    </row>
    <row r="29" spans="1:16" s="3" customFormat="1" ht="9.75" customHeight="1">
      <c r="A29" s="485"/>
      <c r="B29" s="127">
        <v>11</v>
      </c>
      <c r="C29" s="138">
        <v>422</v>
      </c>
      <c r="D29" s="138">
        <v>1117</v>
      </c>
      <c r="E29" s="138">
        <v>24</v>
      </c>
      <c r="F29" s="138">
        <v>103</v>
      </c>
      <c r="G29" s="138">
        <v>79</v>
      </c>
      <c r="H29" s="138">
        <v>185</v>
      </c>
      <c r="I29" s="138">
        <v>10</v>
      </c>
      <c r="J29" s="138">
        <v>1</v>
      </c>
      <c r="K29" s="138"/>
      <c r="L29" s="139"/>
      <c r="M29" s="140">
        <f t="shared" si="0"/>
        <v>535</v>
      </c>
      <c r="N29" s="138">
        <f t="shared" si="1"/>
        <v>1406</v>
      </c>
      <c r="O29" s="141">
        <f t="shared" si="2"/>
        <v>17.258064516129032</v>
      </c>
      <c r="P29" s="142">
        <f t="shared" si="3"/>
        <v>45.354838709677416</v>
      </c>
    </row>
    <row r="30" spans="1:16" s="3" customFormat="1" ht="9.75" customHeight="1" thickBot="1">
      <c r="A30" s="486"/>
      <c r="B30" s="127">
        <v>12</v>
      </c>
      <c r="C30" s="182">
        <v>631</v>
      </c>
      <c r="D30" s="182">
        <v>1114</v>
      </c>
      <c r="E30" s="182">
        <v>41</v>
      </c>
      <c r="F30" s="182">
        <v>97</v>
      </c>
      <c r="G30" s="182">
        <v>77</v>
      </c>
      <c r="H30" s="182">
        <v>197</v>
      </c>
      <c r="I30" s="182">
        <v>14</v>
      </c>
      <c r="J30" s="182">
        <v>48</v>
      </c>
      <c r="K30" s="182"/>
      <c r="L30" s="183"/>
      <c r="M30" s="184">
        <f t="shared" si="0"/>
        <v>763</v>
      </c>
      <c r="N30" s="182">
        <f t="shared" si="1"/>
        <v>1456</v>
      </c>
      <c r="O30" s="185">
        <f t="shared" si="2"/>
        <v>24.612903225806452</v>
      </c>
      <c r="P30" s="186">
        <f t="shared" si="3"/>
        <v>46.967741935483872</v>
      </c>
    </row>
    <row r="31" spans="1:16" s="3" customFormat="1" ht="9.75" customHeight="1">
      <c r="A31" s="487">
        <v>2014</v>
      </c>
      <c r="B31" s="410">
        <v>1</v>
      </c>
      <c r="C31" s="133">
        <v>286</v>
      </c>
      <c r="D31" s="133">
        <v>806</v>
      </c>
      <c r="E31" s="133">
        <v>67</v>
      </c>
      <c r="F31" s="133">
        <v>160</v>
      </c>
      <c r="G31" s="133">
        <v>81</v>
      </c>
      <c r="H31" s="133">
        <v>192</v>
      </c>
      <c r="I31" s="133">
        <v>23</v>
      </c>
      <c r="J31" s="133">
        <v>56</v>
      </c>
      <c r="K31" s="133"/>
      <c r="L31" s="134"/>
      <c r="M31" s="135">
        <f t="shared" si="0"/>
        <v>457</v>
      </c>
      <c r="N31" s="133">
        <f t="shared" si="1"/>
        <v>1214</v>
      </c>
      <c r="O31" s="136">
        <f t="shared" si="2"/>
        <v>14.741935483870968</v>
      </c>
      <c r="P31" s="137">
        <f t="shared" si="3"/>
        <v>39.161290322580648</v>
      </c>
    </row>
    <row r="32" spans="1:16" s="3" customFormat="1" ht="9.75" customHeight="1">
      <c r="A32" s="488"/>
      <c r="B32" s="127">
        <v>2</v>
      </c>
      <c r="C32" s="128">
        <v>249</v>
      </c>
      <c r="D32" s="128">
        <v>618</v>
      </c>
      <c r="E32" s="128">
        <v>69</v>
      </c>
      <c r="F32" s="128">
        <v>173</v>
      </c>
      <c r="G32" s="128">
        <v>43</v>
      </c>
      <c r="H32" s="128">
        <v>86</v>
      </c>
      <c r="I32" s="128">
        <v>22</v>
      </c>
      <c r="J32" s="128">
        <v>49</v>
      </c>
      <c r="K32" s="128"/>
      <c r="L32" s="129"/>
      <c r="M32" s="130">
        <f t="shared" si="0"/>
        <v>383</v>
      </c>
      <c r="N32" s="128">
        <f t="shared" si="1"/>
        <v>926</v>
      </c>
      <c r="O32" s="131">
        <f t="shared" si="2"/>
        <v>12.35483870967742</v>
      </c>
      <c r="P32" s="132">
        <f t="shared" si="3"/>
        <v>29.870967741935484</v>
      </c>
    </row>
    <row r="33" spans="1:60" s="3" customFormat="1" ht="9.75" customHeight="1">
      <c r="A33" s="488"/>
      <c r="B33" s="127">
        <v>3</v>
      </c>
      <c r="C33" s="128">
        <v>1118</v>
      </c>
      <c r="D33" s="128">
        <v>1747</v>
      </c>
      <c r="E33" s="128">
        <v>43</v>
      </c>
      <c r="F33" s="128">
        <v>111</v>
      </c>
      <c r="G33" s="128">
        <v>202</v>
      </c>
      <c r="H33" s="128">
        <v>312</v>
      </c>
      <c r="I33" s="128">
        <v>75</v>
      </c>
      <c r="J33" s="128">
        <v>114</v>
      </c>
      <c r="K33" s="128"/>
      <c r="L33" s="129"/>
      <c r="M33" s="130">
        <f t="shared" si="0"/>
        <v>1438</v>
      </c>
      <c r="N33" s="128">
        <f t="shared" si="1"/>
        <v>2284</v>
      </c>
      <c r="O33" s="131">
        <f t="shared" si="2"/>
        <v>46.387096774193552</v>
      </c>
      <c r="P33" s="132">
        <f t="shared" si="3"/>
        <v>73.677419354838705</v>
      </c>
    </row>
    <row r="34" spans="1:60" s="3" customFormat="1" ht="9.75" customHeight="1">
      <c r="A34" s="488"/>
      <c r="B34" s="127">
        <v>4</v>
      </c>
      <c r="C34" s="138">
        <v>1395</v>
      </c>
      <c r="D34" s="138">
        <v>3476</v>
      </c>
      <c r="E34" s="138">
        <v>59</v>
      </c>
      <c r="F34" s="138">
        <v>95</v>
      </c>
      <c r="G34" s="138">
        <v>206</v>
      </c>
      <c r="H34" s="138">
        <v>428</v>
      </c>
      <c r="I34" s="138">
        <v>67</v>
      </c>
      <c r="J34" s="138">
        <v>147</v>
      </c>
      <c r="K34" s="138"/>
      <c r="L34" s="143"/>
      <c r="M34" s="135">
        <f t="shared" si="0"/>
        <v>1727</v>
      </c>
      <c r="N34" s="138">
        <f t="shared" si="1"/>
        <v>4146</v>
      </c>
      <c r="O34" s="141">
        <f t="shared" si="2"/>
        <v>55.70967741935484</v>
      </c>
      <c r="P34" s="142">
        <f t="shared" si="3"/>
        <v>133.74193548387098</v>
      </c>
    </row>
    <row r="35" spans="1:60" s="3" customFormat="1" ht="9.75" customHeight="1">
      <c r="A35" s="488"/>
      <c r="B35" s="127">
        <v>5</v>
      </c>
      <c r="C35" s="133">
        <v>1240</v>
      </c>
      <c r="D35" s="133">
        <v>2450</v>
      </c>
      <c r="E35" s="133">
        <v>115</v>
      </c>
      <c r="F35" s="133">
        <v>131</v>
      </c>
      <c r="G35" s="133">
        <v>300</v>
      </c>
      <c r="H35" s="133">
        <v>319</v>
      </c>
      <c r="I35" s="133">
        <v>85</v>
      </c>
      <c r="J35" s="133">
        <v>138</v>
      </c>
      <c r="K35" s="133"/>
      <c r="L35" s="144"/>
      <c r="M35" s="135">
        <f t="shared" si="0"/>
        <v>1740</v>
      </c>
      <c r="N35" s="145">
        <f t="shared" si="1"/>
        <v>3038</v>
      </c>
      <c r="O35" s="136">
        <f t="shared" si="2"/>
        <v>56.12903225806452</v>
      </c>
      <c r="P35" s="299">
        <f t="shared" si="3"/>
        <v>98</v>
      </c>
    </row>
    <row r="36" spans="1:60" s="3" customFormat="1" ht="9.75" customHeight="1">
      <c r="A36" s="488"/>
      <c r="B36" s="127">
        <v>6</v>
      </c>
      <c r="C36" s="133">
        <v>1150</v>
      </c>
      <c r="D36" s="133">
        <v>2202</v>
      </c>
      <c r="E36" s="133">
        <v>181</v>
      </c>
      <c r="F36" s="133">
        <v>260</v>
      </c>
      <c r="G36" s="133">
        <v>373</v>
      </c>
      <c r="H36" s="133">
        <v>622</v>
      </c>
      <c r="I36" s="133">
        <v>103</v>
      </c>
      <c r="J36" s="133">
        <v>126</v>
      </c>
      <c r="K36" s="133"/>
      <c r="L36" s="134"/>
      <c r="M36" s="145">
        <f t="shared" si="0"/>
        <v>1807</v>
      </c>
      <c r="N36" s="145">
        <f t="shared" si="1"/>
        <v>3210</v>
      </c>
      <c r="O36" s="136">
        <f t="shared" si="2"/>
        <v>58.29032258064516</v>
      </c>
      <c r="P36" s="137">
        <f t="shared" si="3"/>
        <v>103.54838709677419</v>
      </c>
    </row>
    <row r="37" spans="1:60" s="3" customFormat="1" ht="9.75" customHeight="1">
      <c r="A37" s="488"/>
      <c r="B37" s="127">
        <v>7</v>
      </c>
      <c r="C37" s="128">
        <v>1397</v>
      </c>
      <c r="D37" s="128">
        <v>2627</v>
      </c>
      <c r="E37" s="128">
        <v>247</v>
      </c>
      <c r="F37" s="128">
        <v>295</v>
      </c>
      <c r="G37" s="128">
        <v>292</v>
      </c>
      <c r="H37" s="128">
        <v>518</v>
      </c>
      <c r="I37" s="128">
        <v>105</v>
      </c>
      <c r="J37" s="128">
        <v>135</v>
      </c>
      <c r="K37" s="128"/>
      <c r="L37" s="129"/>
      <c r="M37" s="146">
        <f t="shared" si="0"/>
        <v>2041</v>
      </c>
      <c r="N37" s="146">
        <f t="shared" si="1"/>
        <v>3575</v>
      </c>
      <c r="O37" s="131">
        <f t="shared" si="2"/>
        <v>65.838709677419359</v>
      </c>
      <c r="P37" s="132">
        <f t="shared" si="3"/>
        <v>115.3225806451613</v>
      </c>
    </row>
    <row r="38" spans="1:60" s="3" customFormat="1" ht="9.75" customHeight="1">
      <c r="A38" s="488"/>
      <c r="B38" s="127">
        <v>8</v>
      </c>
      <c r="C38" s="133">
        <v>1013</v>
      </c>
      <c r="D38" s="133">
        <v>1818</v>
      </c>
      <c r="E38" s="133">
        <v>283</v>
      </c>
      <c r="F38" s="133">
        <v>428</v>
      </c>
      <c r="G38" s="133">
        <v>278</v>
      </c>
      <c r="H38" s="133">
        <v>357</v>
      </c>
      <c r="I38" s="133">
        <v>103</v>
      </c>
      <c r="J38" s="133">
        <v>145</v>
      </c>
      <c r="K38" s="133"/>
      <c r="L38" s="134"/>
      <c r="M38" s="135">
        <f t="shared" si="0"/>
        <v>1677</v>
      </c>
      <c r="N38" s="145">
        <f t="shared" si="1"/>
        <v>2748</v>
      </c>
      <c r="O38" s="136">
        <f t="shared" si="2"/>
        <v>54.096774193548384</v>
      </c>
      <c r="P38" s="137">
        <f t="shared" si="3"/>
        <v>88.645161290322577</v>
      </c>
    </row>
    <row r="39" spans="1:60" s="3" customFormat="1" ht="9.75" customHeight="1">
      <c r="A39" s="488"/>
      <c r="B39" s="127">
        <v>9</v>
      </c>
      <c r="C39" s="133">
        <v>1064</v>
      </c>
      <c r="D39" s="133">
        <v>1390</v>
      </c>
      <c r="E39" s="133">
        <v>156</v>
      </c>
      <c r="F39" s="133">
        <v>204</v>
      </c>
      <c r="G39" s="133">
        <v>241</v>
      </c>
      <c r="H39" s="133">
        <v>264</v>
      </c>
      <c r="I39" s="133">
        <v>143</v>
      </c>
      <c r="J39" s="133">
        <v>104</v>
      </c>
      <c r="K39" s="133"/>
      <c r="L39" s="134"/>
      <c r="M39" s="135">
        <f t="shared" ref="M39:M70" si="4">+C39+E39+G39+I39+K39</f>
        <v>1604</v>
      </c>
      <c r="N39" s="145">
        <f t="shared" ref="N39:N70" si="5">+D39+F39+H39+J39+L39</f>
        <v>1962</v>
      </c>
      <c r="O39" s="136">
        <f t="shared" si="2"/>
        <v>51.741935483870968</v>
      </c>
      <c r="P39" s="137">
        <f t="shared" si="3"/>
        <v>63.29032258064516</v>
      </c>
    </row>
    <row r="40" spans="1:60" s="3" customFormat="1" ht="9.75" customHeight="1">
      <c r="A40" s="488"/>
      <c r="B40" s="127">
        <v>10</v>
      </c>
      <c r="C40" s="128">
        <v>1658</v>
      </c>
      <c r="D40" s="128">
        <v>2556</v>
      </c>
      <c r="E40" s="128">
        <v>123</v>
      </c>
      <c r="F40" s="128">
        <v>193</v>
      </c>
      <c r="G40" s="128">
        <v>405</v>
      </c>
      <c r="H40" s="128">
        <v>328</v>
      </c>
      <c r="I40" s="128">
        <v>121</v>
      </c>
      <c r="J40" s="128">
        <v>169</v>
      </c>
      <c r="K40" s="128"/>
      <c r="L40" s="129"/>
      <c r="M40" s="130">
        <f t="shared" si="4"/>
        <v>2307</v>
      </c>
      <c r="N40" s="146">
        <f t="shared" si="5"/>
        <v>3246</v>
      </c>
      <c r="O40" s="131">
        <f t="shared" si="2"/>
        <v>74.41935483870968</v>
      </c>
      <c r="P40" s="132">
        <f t="shared" si="3"/>
        <v>104.70967741935483</v>
      </c>
    </row>
    <row r="41" spans="1:60" s="3" customFormat="1" ht="9.75" customHeight="1">
      <c r="A41" s="488"/>
      <c r="B41" s="127">
        <v>11</v>
      </c>
      <c r="C41" s="133">
        <v>1907</v>
      </c>
      <c r="D41" s="133">
        <v>3467</v>
      </c>
      <c r="E41" s="133">
        <v>85</v>
      </c>
      <c r="F41" s="133">
        <v>83</v>
      </c>
      <c r="G41" s="133">
        <v>433</v>
      </c>
      <c r="H41" s="133">
        <v>570</v>
      </c>
      <c r="I41" s="133">
        <v>151</v>
      </c>
      <c r="J41" s="133">
        <v>188</v>
      </c>
      <c r="K41" s="133"/>
      <c r="L41" s="134"/>
      <c r="M41" s="135">
        <f t="shared" si="4"/>
        <v>2576</v>
      </c>
      <c r="N41" s="145">
        <f t="shared" si="5"/>
        <v>4308</v>
      </c>
      <c r="O41" s="136">
        <f t="shared" si="2"/>
        <v>83.096774193548384</v>
      </c>
      <c r="P41" s="137">
        <f t="shared" si="3"/>
        <v>138.96774193548387</v>
      </c>
    </row>
    <row r="42" spans="1:60" s="3" customFormat="1" ht="9.75" customHeight="1" thickBot="1">
      <c r="A42" s="488"/>
      <c r="B42" s="127">
        <v>12</v>
      </c>
      <c r="C42" s="133">
        <v>1682</v>
      </c>
      <c r="D42" s="133">
        <v>3575</v>
      </c>
      <c r="E42" s="133">
        <v>131</v>
      </c>
      <c r="F42" s="133">
        <v>223</v>
      </c>
      <c r="G42" s="133">
        <v>474</v>
      </c>
      <c r="H42" s="133">
        <v>604</v>
      </c>
      <c r="I42" s="133">
        <v>146</v>
      </c>
      <c r="J42" s="133">
        <v>214</v>
      </c>
      <c r="K42" s="133"/>
      <c r="L42" s="134"/>
      <c r="M42" s="135">
        <f t="shared" si="4"/>
        <v>2433</v>
      </c>
      <c r="N42" s="145">
        <f t="shared" si="5"/>
        <v>4616</v>
      </c>
      <c r="O42" s="136">
        <f t="shared" si="2"/>
        <v>78.483870967741936</v>
      </c>
      <c r="P42" s="137">
        <f t="shared" si="3"/>
        <v>148.90322580645162</v>
      </c>
    </row>
    <row r="43" spans="1:60" s="3" customFormat="1" ht="9.75" customHeight="1">
      <c r="A43" s="487">
        <v>2015</v>
      </c>
      <c r="B43" s="410">
        <v>1</v>
      </c>
      <c r="C43" s="416">
        <v>1353</v>
      </c>
      <c r="D43" s="416">
        <v>2623</v>
      </c>
      <c r="E43" s="416">
        <v>291</v>
      </c>
      <c r="F43" s="416">
        <v>402</v>
      </c>
      <c r="G43" s="416">
        <v>588</v>
      </c>
      <c r="H43" s="416">
        <v>699</v>
      </c>
      <c r="I43" s="416">
        <v>188</v>
      </c>
      <c r="J43" s="416">
        <v>156</v>
      </c>
      <c r="K43" s="416"/>
      <c r="L43" s="417"/>
      <c r="M43" s="418">
        <f t="shared" si="4"/>
        <v>2420</v>
      </c>
      <c r="N43" s="419">
        <f t="shared" si="5"/>
        <v>3880</v>
      </c>
      <c r="O43" s="420">
        <f t="shared" si="2"/>
        <v>78.064516129032256</v>
      </c>
      <c r="P43" s="421">
        <f t="shared" si="3"/>
        <v>125.16129032258064</v>
      </c>
      <c r="Q43" s="343"/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  <c r="AJ43" s="343"/>
      <c r="AK43" s="343"/>
      <c r="AL43" s="343"/>
      <c r="AM43" s="343"/>
      <c r="AN43" s="343"/>
      <c r="AO43" s="343"/>
      <c r="AP43" s="343"/>
      <c r="AQ43" s="343"/>
      <c r="AR43" s="343"/>
      <c r="AS43" s="343"/>
      <c r="AT43" s="343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343"/>
      <c r="BG43" s="343"/>
      <c r="BH43" s="343"/>
    </row>
    <row r="44" spans="1:60" s="3" customFormat="1" ht="9.75" customHeight="1">
      <c r="A44" s="488"/>
      <c r="B44" s="127">
        <v>2</v>
      </c>
      <c r="C44" s="128">
        <v>1370</v>
      </c>
      <c r="D44" s="128">
        <v>2010</v>
      </c>
      <c r="E44" s="128">
        <v>239</v>
      </c>
      <c r="F44" s="128">
        <v>485</v>
      </c>
      <c r="G44" s="128">
        <v>515</v>
      </c>
      <c r="H44" s="128">
        <v>814</v>
      </c>
      <c r="I44" s="128">
        <v>255</v>
      </c>
      <c r="J44" s="128">
        <v>436</v>
      </c>
      <c r="K44" s="128"/>
      <c r="L44" s="129"/>
      <c r="M44" s="130">
        <f t="shared" si="4"/>
        <v>2379</v>
      </c>
      <c r="N44" s="146">
        <f t="shared" si="5"/>
        <v>3745</v>
      </c>
      <c r="O44" s="131">
        <f t="shared" si="2"/>
        <v>76.741935483870961</v>
      </c>
      <c r="P44" s="132">
        <f t="shared" si="3"/>
        <v>120.80645161290323</v>
      </c>
      <c r="Q44" s="343"/>
      <c r="R44" s="343"/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3"/>
      <c r="AD44" s="343"/>
      <c r="AE44" s="343"/>
      <c r="AF44" s="343"/>
      <c r="AG44" s="343"/>
      <c r="AH44" s="343"/>
      <c r="AI44" s="343"/>
      <c r="AJ44" s="343"/>
      <c r="AK44" s="343"/>
      <c r="AL44" s="343"/>
      <c r="AM44" s="343"/>
      <c r="AN44" s="343"/>
      <c r="AO44" s="343"/>
      <c r="AP44" s="343"/>
      <c r="AQ44" s="343"/>
      <c r="AR44" s="343"/>
      <c r="AS44" s="343"/>
      <c r="AT44" s="343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343"/>
      <c r="BG44" s="343"/>
      <c r="BH44" s="343"/>
    </row>
    <row r="45" spans="1:60" s="3" customFormat="1" ht="9.75" customHeight="1">
      <c r="A45" s="488"/>
      <c r="B45" s="127">
        <v>3</v>
      </c>
      <c r="C45" s="128">
        <v>3513</v>
      </c>
      <c r="D45" s="128">
        <v>3926</v>
      </c>
      <c r="E45" s="128">
        <v>190</v>
      </c>
      <c r="F45" s="128">
        <v>191</v>
      </c>
      <c r="G45" s="128">
        <v>882</v>
      </c>
      <c r="H45" s="128">
        <v>985</v>
      </c>
      <c r="I45" s="128">
        <v>369</v>
      </c>
      <c r="J45" s="128">
        <v>325</v>
      </c>
      <c r="K45" s="128"/>
      <c r="L45" s="129"/>
      <c r="M45" s="130">
        <f t="shared" si="4"/>
        <v>4954</v>
      </c>
      <c r="N45" s="146">
        <f t="shared" si="5"/>
        <v>5427</v>
      </c>
      <c r="O45" s="131">
        <f t="shared" si="2"/>
        <v>159.80645161290323</v>
      </c>
      <c r="P45" s="132">
        <f t="shared" si="3"/>
        <v>175.06451612903226</v>
      </c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3"/>
      <c r="AD45" s="343"/>
      <c r="AE45" s="343"/>
      <c r="AF45" s="343"/>
      <c r="AG45" s="343"/>
      <c r="AH45" s="343"/>
      <c r="AI45" s="343"/>
      <c r="AJ45" s="343"/>
      <c r="AK45" s="343"/>
      <c r="AL45" s="343"/>
      <c r="AM45" s="343"/>
      <c r="AN45" s="343"/>
      <c r="AO45" s="343"/>
      <c r="AP45" s="343"/>
      <c r="AQ45" s="343"/>
      <c r="AR45" s="343"/>
      <c r="AS45" s="343"/>
      <c r="AT45" s="343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343"/>
      <c r="BG45" s="343"/>
      <c r="BH45" s="343"/>
    </row>
    <row r="46" spans="1:60" s="3" customFormat="1" ht="9.75" customHeight="1">
      <c r="A46" s="488"/>
      <c r="B46" s="127">
        <v>4</v>
      </c>
      <c r="C46" s="128">
        <v>3216</v>
      </c>
      <c r="D46" s="128">
        <v>5927</v>
      </c>
      <c r="E46" s="128">
        <v>195</v>
      </c>
      <c r="F46" s="128">
        <v>273</v>
      </c>
      <c r="G46" s="128">
        <v>649</v>
      </c>
      <c r="H46" s="128">
        <v>933</v>
      </c>
      <c r="I46" s="128">
        <v>270</v>
      </c>
      <c r="J46" s="128">
        <v>474</v>
      </c>
      <c r="K46" s="128"/>
      <c r="L46" s="129"/>
      <c r="M46" s="130">
        <f t="shared" si="4"/>
        <v>4330</v>
      </c>
      <c r="N46" s="146">
        <f t="shared" si="5"/>
        <v>7607</v>
      </c>
      <c r="O46" s="131">
        <f t="shared" si="2"/>
        <v>139.67741935483872</v>
      </c>
      <c r="P46" s="132">
        <f t="shared" si="3"/>
        <v>245.38709677419354</v>
      </c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  <c r="AI46" s="343"/>
      <c r="AJ46" s="343"/>
      <c r="AK46" s="343"/>
      <c r="AL46" s="343"/>
      <c r="AM46" s="343"/>
      <c r="AN46" s="343"/>
      <c r="AO46" s="343"/>
      <c r="AP46" s="343"/>
      <c r="AQ46" s="343"/>
      <c r="AR46" s="343"/>
      <c r="AS46" s="343"/>
      <c r="AT46" s="343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343"/>
      <c r="BG46" s="343"/>
      <c r="BH46" s="343"/>
    </row>
    <row r="47" spans="1:60" s="3" customFormat="1" ht="9.75" customHeight="1">
      <c r="A47" s="488"/>
      <c r="B47" s="127">
        <v>5</v>
      </c>
      <c r="C47" s="138">
        <v>2648</v>
      </c>
      <c r="D47" s="138">
        <v>5096</v>
      </c>
      <c r="E47" s="138">
        <v>226</v>
      </c>
      <c r="F47" s="138">
        <v>264</v>
      </c>
      <c r="G47" s="138">
        <v>871</v>
      </c>
      <c r="H47" s="138">
        <v>999</v>
      </c>
      <c r="I47" s="138">
        <v>293</v>
      </c>
      <c r="J47" s="138">
        <v>283</v>
      </c>
      <c r="K47" s="138"/>
      <c r="L47" s="139"/>
      <c r="M47" s="135">
        <f t="shared" si="4"/>
        <v>4038</v>
      </c>
      <c r="N47" s="145">
        <f t="shared" si="5"/>
        <v>6642</v>
      </c>
      <c r="O47" s="136">
        <f t="shared" si="2"/>
        <v>130.25806451612902</v>
      </c>
      <c r="P47" s="137">
        <f t="shared" si="3"/>
        <v>214.25806451612902</v>
      </c>
      <c r="Q47" s="343"/>
      <c r="R47" s="343"/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  <c r="AJ47" s="343"/>
      <c r="AK47" s="343"/>
      <c r="AL47" s="343"/>
      <c r="AM47" s="343"/>
      <c r="AN47" s="343"/>
      <c r="AO47" s="343"/>
      <c r="AP47" s="343"/>
      <c r="AQ47" s="343"/>
      <c r="AR47" s="343"/>
      <c r="AS47" s="343"/>
      <c r="AT47" s="343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343"/>
      <c r="BG47" s="343"/>
      <c r="BH47" s="343"/>
    </row>
    <row r="48" spans="1:60" s="3" customFormat="1" ht="9.75" customHeight="1">
      <c r="A48" s="488"/>
      <c r="B48" s="127">
        <v>6</v>
      </c>
      <c r="C48" s="133">
        <v>2037</v>
      </c>
      <c r="D48" s="133">
        <v>3850</v>
      </c>
      <c r="E48" s="133">
        <v>390</v>
      </c>
      <c r="F48" s="133">
        <v>439</v>
      </c>
      <c r="G48" s="133">
        <v>975</v>
      </c>
      <c r="H48" s="133">
        <v>1297</v>
      </c>
      <c r="I48" s="133">
        <v>299</v>
      </c>
      <c r="J48" s="133">
        <v>471</v>
      </c>
      <c r="K48" s="133"/>
      <c r="L48" s="144"/>
      <c r="M48" s="135">
        <f t="shared" si="4"/>
        <v>3701</v>
      </c>
      <c r="N48" s="145">
        <f t="shared" si="5"/>
        <v>6057</v>
      </c>
      <c r="O48" s="136">
        <f t="shared" si="2"/>
        <v>119.38709677419355</v>
      </c>
      <c r="P48" s="137">
        <f t="shared" si="3"/>
        <v>195.38709677419354</v>
      </c>
      <c r="Q48" s="343"/>
      <c r="R48" s="343"/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  <c r="AJ48" s="343"/>
      <c r="AK48" s="343"/>
      <c r="AL48" s="343"/>
      <c r="AM48" s="343"/>
      <c r="AN48" s="343"/>
      <c r="AO48" s="343"/>
      <c r="AP48" s="343"/>
      <c r="AQ48" s="343"/>
      <c r="AR48" s="343"/>
      <c r="AS48" s="343"/>
      <c r="AT48" s="343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343"/>
      <c r="BG48" s="343"/>
      <c r="BH48" s="343"/>
    </row>
    <row r="49" spans="1:60" s="3" customFormat="1" ht="9.75" customHeight="1">
      <c r="A49" s="488"/>
      <c r="B49" s="127">
        <v>7</v>
      </c>
      <c r="C49" s="133">
        <v>2129</v>
      </c>
      <c r="D49" s="133">
        <v>4037</v>
      </c>
      <c r="E49" s="133">
        <v>533</v>
      </c>
      <c r="F49" s="133">
        <v>782</v>
      </c>
      <c r="G49" s="133">
        <v>848</v>
      </c>
      <c r="H49" s="133">
        <v>1329</v>
      </c>
      <c r="I49" s="133">
        <v>282</v>
      </c>
      <c r="J49" s="133">
        <v>409</v>
      </c>
      <c r="K49" s="133"/>
      <c r="L49" s="144"/>
      <c r="M49" s="135">
        <f t="shared" si="4"/>
        <v>3792</v>
      </c>
      <c r="N49" s="145">
        <f t="shared" si="5"/>
        <v>6557</v>
      </c>
      <c r="O49" s="136">
        <f t="shared" si="2"/>
        <v>122.3225806451613</v>
      </c>
      <c r="P49" s="137">
        <f t="shared" si="3"/>
        <v>211.51612903225808</v>
      </c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  <c r="AI49" s="343"/>
      <c r="AJ49" s="343"/>
      <c r="AK49" s="343"/>
      <c r="AL49" s="343"/>
      <c r="AM49" s="343"/>
      <c r="AN49" s="343"/>
      <c r="AO49" s="343"/>
      <c r="AP49" s="343"/>
      <c r="AQ49" s="343"/>
      <c r="AR49" s="343"/>
      <c r="AS49" s="343"/>
      <c r="AT49" s="343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343"/>
      <c r="BG49" s="343"/>
      <c r="BH49" s="343"/>
    </row>
    <row r="50" spans="1:60" s="3" customFormat="1" ht="9.75" customHeight="1">
      <c r="A50" s="488"/>
      <c r="B50" s="127">
        <v>8</v>
      </c>
      <c r="C50" s="133">
        <v>1875</v>
      </c>
      <c r="D50" s="133">
        <v>3082</v>
      </c>
      <c r="E50" s="133">
        <v>448</v>
      </c>
      <c r="F50" s="133">
        <v>731</v>
      </c>
      <c r="G50" s="133">
        <v>863</v>
      </c>
      <c r="H50" s="133">
        <v>1138</v>
      </c>
      <c r="I50" s="133">
        <v>295</v>
      </c>
      <c r="J50" s="133">
        <v>352</v>
      </c>
      <c r="K50" s="133"/>
      <c r="L50" s="144"/>
      <c r="M50" s="135">
        <f t="shared" si="4"/>
        <v>3481</v>
      </c>
      <c r="N50" s="145">
        <f t="shared" si="5"/>
        <v>5303</v>
      </c>
      <c r="O50" s="136">
        <f t="shared" si="2"/>
        <v>112.29032258064517</v>
      </c>
      <c r="P50" s="137">
        <f t="shared" si="3"/>
        <v>171.06451612903226</v>
      </c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343"/>
      <c r="AL50" s="343"/>
      <c r="AM50" s="343"/>
      <c r="AN50" s="343"/>
      <c r="AO50" s="343"/>
      <c r="AP50" s="343"/>
      <c r="AQ50" s="343"/>
      <c r="AR50" s="343"/>
      <c r="AS50" s="343"/>
      <c r="AT50" s="343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343"/>
      <c r="BG50" s="343"/>
      <c r="BH50" s="343"/>
    </row>
    <row r="51" spans="1:60" s="3" customFormat="1" ht="9.75" customHeight="1">
      <c r="A51" s="488"/>
      <c r="B51" s="127">
        <v>9</v>
      </c>
      <c r="C51" s="133">
        <v>2232</v>
      </c>
      <c r="D51" s="133">
        <v>2618</v>
      </c>
      <c r="E51" s="133">
        <v>277</v>
      </c>
      <c r="F51" s="133">
        <v>320</v>
      </c>
      <c r="G51" s="133">
        <v>917</v>
      </c>
      <c r="H51" s="133">
        <v>1079</v>
      </c>
      <c r="I51" s="133">
        <v>430</v>
      </c>
      <c r="J51" s="133">
        <v>450</v>
      </c>
      <c r="K51" s="133"/>
      <c r="L51" s="144"/>
      <c r="M51" s="135">
        <f t="shared" si="4"/>
        <v>3856</v>
      </c>
      <c r="N51" s="145">
        <f t="shared" si="5"/>
        <v>4467</v>
      </c>
      <c r="O51" s="136">
        <f t="shared" si="2"/>
        <v>124.38709677419355</v>
      </c>
      <c r="P51" s="137">
        <f t="shared" si="3"/>
        <v>144.09677419354838</v>
      </c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343"/>
      <c r="BG51" s="343"/>
      <c r="BH51" s="343"/>
    </row>
    <row r="52" spans="1:60" s="3" customFormat="1" ht="9.75" customHeight="1">
      <c r="A52" s="488"/>
      <c r="B52" s="127">
        <v>10</v>
      </c>
      <c r="C52" s="128">
        <v>4303</v>
      </c>
      <c r="D52" s="128">
        <v>5839</v>
      </c>
      <c r="E52" s="128">
        <v>246</v>
      </c>
      <c r="F52" s="128">
        <v>318</v>
      </c>
      <c r="G52" s="128">
        <v>1191</v>
      </c>
      <c r="H52" s="128">
        <v>1262</v>
      </c>
      <c r="I52" s="128">
        <v>279</v>
      </c>
      <c r="J52" s="128">
        <v>428</v>
      </c>
      <c r="K52" s="128"/>
      <c r="L52" s="129"/>
      <c r="M52" s="135">
        <f t="shared" si="4"/>
        <v>6019</v>
      </c>
      <c r="N52" s="145">
        <f t="shared" si="5"/>
        <v>7847</v>
      </c>
      <c r="O52" s="136">
        <f t="shared" si="2"/>
        <v>194.16129032258064</v>
      </c>
      <c r="P52" s="137">
        <f t="shared" si="3"/>
        <v>253.12903225806451</v>
      </c>
      <c r="Q52" s="343"/>
      <c r="R52" s="343"/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  <c r="AJ52" s="343"/>
      <c r="AK52" s="343"/>
      <c r="AL52" s="343"/>
      <c r="AM52" s="343"/>
      <c r="AN52" s="343"/>
      <c r="AO52" s="343"/>
      <c r="AP52" s="343"/>
      <c r="AQ52" s="343"/>
      <c r="AR52" s="343"/>
      <c r="AS52" s="343"/>
      <c r="AT52" s="343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343"/>
      <c r="BG52" s="343"/>
      <c r="BH52" s="343"/>
    </row>
    <row r="53" spans="1:60" s="3" customFormat="1" ht="9.75" customHeight="1">
      <c r="A53" s="488"/>
      <c r="B53" s="127">
        <v>11</v>
      </c>
      <c r="C53" s="361">
        <v>4482</v>
      </c>
      <c r="D53" s="361">
        <v>6033</v>
      </c>
      <c r="E53" s="361">
        <v>200</v>
      </c>
      <c r="F53" s="361">
        <v>236</v>
      </c>
      <c r="G53" s="361">
        <v>1151</v>
      </c>
      <c r="H53" s="361">
        <v>1510</v>
      </c>
      <c r="I53" s="361">
        <v>172</v>
      </c>
      <c r="J53" s="361">
        <v>264</v>
      </c>
      <c r="K53" s="361"/>
      <c r="L53" s="362"/>
      <c r="M53" s="135">
        <f t="shared" si="4"/>
        <v>6005</v>
      </c>
      <c r="N53" s="145">
        <f t="shared" si="5"/>
        <v>8043</v>
      </c>
      <c r="O53" s="136">
        <f>M53/31</f>
        <v>193.70967741935485</v>
      </c>
      <c r="P53" s="137">
        <f>N53/30</f>
        <v>268.10000000000002</v>
      </c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343"/>
      <c r="BG53" s="343"/>
      <c r="BH53" s="343"/>
    </row>
    <row r="54" spans="1:60" s="3" customFormat="1" ht="9.75" customHeight="1" thickBot="1">
      <c r="A54" s="489"/>
      <c r="B54" s="127">
        <v>12</v>
      </c>
      <c r="C54" s="133">
        <v>3565</v>
      </c>
      <c r="D54" s="133">
        <v>6685</v>
      </c>
      <c r="E54" s="133">
        <v>384</v>
      </c>
      <c r="F54" s="133">
        <v>608</v>
      </c>
      <c r="G54" s="133">
        <v>1085</v>
      </c>
      <c r="H54" s="133">
        <v>1331</v>
      </c>
      <c r="I54" s="133">
        <v>195</v>
      </c>
      <c r="J54" s="133">
        <v>241</v>
      </c>
      <c r="K54" s="133"/>
      <c r="L54" s="144"/>
      <c r="M54" s="135">
        <f t="shared" si="4"/>
        <v>5229</v>
      </c>
      <c r="N54" s="145">
        <f t="shared" si="5"/>
        <v>8865</v>
      </c>
      <c r="O54" s="136">
        <f>M54/31</f>
        <v>168.67741935483872</v>
      </c>
      <c r="P54" s="137">
        <f>N54/31</f>
        <v>285.96774193548384</v>
      </c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  <c r="AI54" s="343"/>
      <c r="AJ54" s="343"/>
      <c r="AK54" s="343"/>
      <c r="AL54" s="343"/>
      <c r="AM54" s="343"/>
      <c r="AN54" s="343"/>
      <c r="AO54" s="343"/>
      <c r="AP54" s="343"/>
      <c r="AQ54" s="343"/>
      <c r="AR54" s="343"/>
      <c r="AS54" s="343"/>
      <c r="AT54" s="343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343"/>
      <c r="BG54" s="343"/>
      <c r="BH54" s="343"/>
    </row>
    <row r="55" spans="1:60" s="3" customFormat="1" ht="9.75" customHeight="1">
      <c r="A55" s="487">
        <v>2016</v>
      </c>
      <c r="B55" s="410">
        <v>1</v>
      </c>
      <c r="C55" s="416">
        <v>2988</v>
      </c>
      <c r="D55" s="416">
        <v>4815</v>
      </c>
      <c r="E55" s="416">
        <v>508</v>
      </c>
      <c r="F55" s="416">
        <v>822</v>
      </c>
      <c r="G55" s="416">
        <v>1422</v>
      </c>
      <c r="H55" s="416">
        <v>1760</v>
      </c>
      <c r="I55" s="416">
        <v>495</v>
      </c>
      <c r="J55" s="416">
        <v>501</v>
      </c>
      <c r="K55" s="416"/>
      <c r="L55" s="417"/>
      <c r="M55" s="418">
        <f t="shared" si="4"/>
        <v>5413</v>
      </c>
      <c r="N55" s="419">
        <f t="shared" si="5"/>
        <v>7898</v>
      </c>
      <c r="O55" s="420">
        <f>M55/31</f>
        <v>174.61290322580646</v>
      </c>
      <c r="P55" s="421">
        <f>N55/31</f>
        <v>254.7741935483871</v>
      </c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343"/>
      <c r="BG55" s="343"/>
      <c r="BH55" s="343"/>
    </row>
    <row r="56" spans="1:60" s="3" customFormat="1" ht="9.75" customHeight="1">
      <c r="A56" s="488"/>
      <c r="B56" s="127">
        <v>2</v>
      </c>
      <c r="C56" s="128">
        <v>2862</v>
      </c>
      <c r="D56" s="128">
        <v>3500</v>
      </c>
      <c r="E56" s="128">
        <v>376</v>
      </c>
      <c r="F56" s="128">
        <v>623</v>
      </c>
      <c r="G56" s="128">
        <v>971</v>
      </c>
      <c r="H56" s="128">
        <v>1193</v>
      </c>
      <c r="I56" s="128">
        <v>380</v>
      </c>
      <c r="J56" s="128">
        <v>566</v>
      </c>
      <c r="K56" s="128"/>
      <c r="L56" s="129"/>
      <c r="M56" s="130">
        <f t="shared" si="4"/>
        <v>4589</v>
      </c>
      <c r="N56" s="146">
        <f t="shared" si="5"/>
        <v>5882</v>
      </c>
      <c r="O56" s="131">
        <f>M56/29</f>
        <v>158.24137931034483</v>
      </c>
      <c r="P56" s="132">
        <f>N56/29</f>
        <v>202.82758620689654</v>
      </c>
      <c r="Q56" s="343"/>
      <c r="R56" s="343"/>
      <c r="S56" s="343"/>
      <c r="T56" s="343"/>
      <c r="U56" s="343"/>
      <c r="V56" s="343"/>
      <c r="W56" s="343"/>
      <c r="X56" s="343"/>
      <c r="Y56" s="343"/>
      <c r="Z56" s="343"/>
      <c r="AA56" s="343"/>
      <c r="AB56" s="343"/>
      <c r="AC56" s="343"/>
      <c r="AD56" s="343"/>
      <c r="AE56" s="343"/>
      <c r="AF56" s="343"/>
      <c r="AG56" s="343"/>
      <c r="AH56" s="343"/>
      <c r="AI56" s="343"/>
      <c r="AJ56" s="343"/>
      <c r="AK56" s="343"/>
      <c r="AL56" s="343"/>
      <c r="AM56" s="343"/>
      <c r="AN56" s="343"/>
      <c r="AO56" s="343"/>
      <c r="AP56" s="343"/>
      <c r="AQ56" s="343"/>
      <c r="AR56" s="343"/>
      <c r="AS56" s="343"/>
      <c r="AT56" s="343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343"/>
      <c r="BG56" s="343"/>
      <c r="BH56" s="343"/>
    </row>
    <row r="57" spans="1:60" s="3" customFormat="1" ht="9.75" customHeight="1">
      <c r="A57" s="488"/>
      <c r="B57" s="127">
        <v>3</v>
      </c>
      <c r="C57" s="128">
        <v>5107</v>
      </c>
      <c r="D57" s="128">
        <v>4632</v>
      </c>
      <c r="E57" s="128">
        <v>196</v>
      </c>
      <c r="F57" s="128">
        <v>188</v>
      </c>
      <c r="G57" s="128">
        <v>1107</v>
      </c>
      <c r="H57" s="128">
        <v>833</v>
      </c>
      <c r="I57" s="128">
        <v>472</v>
      </c>
      <c r="J57" s="128">
        <v>400</v>
      </c>
      <c r="K57" s="128"/>
      <c r="L57" s="129"/>
      <c r="M57" s="130">
        <f t="shared" si="4"/>
        <v>6882</v>
      </c>
      <c r="N57" s="146">
        <f t="shared" si="5"/>
        <v>6053</v>
      </c>
      <c r="O57" s="131">
        <f>M57/31</f>
        <v>222</v>
      </c>
      <c r="P57" s="132">
        <f>N57/31</f>
        <v>195.25806451612902</v>
      </c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  <c r="AO57" s="343"/>
      <c r="AP57" s="343"/>
      <c r="AQ57" s="343"/>
      <c r="AR57" s="343"/>
      <c r="AS57" s="343"/>
      <c r="AT57" s="343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343"/>
      <c r="BG57" s="343"/>
      <c r="BH57" s="343"/>
    </row>
    <row r="58" spans="1:60" s="3" customFormat="1" ht="9.75" customHeight="1">
      <c r="A58" s="488"/>
      <c r="B58" s="127">
        <v>4</v>
      </c>
      <c r="C58" s="128">
        <v>2854</v>
      </c>
      <c r="D58" s="128">
        <v>3989</v>
      </c>
      <c r="E58" s="128">
        <v>112</v>
      </c>
      <c r="F58" s="128">
        <v>121</v>
      </c>
      <c r="G58" s="128">
        <v>571</v>
      </c>
      <c r="H58" s="128">
        <v>583</v>
      </c>
      <c r="I58" s="128">
        <v>272</v>
      </c>
      <c r="J58" s="128">
        <v>287</v>
      </c>
      <c r="K58" s="128"/>
      <c r="L58" s="129"/>
      <c r="M58" s="130">
        <f t="shared" si="4"/>
        <v>3809</v>
      </c>
      <c r="N58" s="146">
        <f t="shared" si="5"/>
        <v>4980</v>
      </c>
      <c r="O58" s="131">
        <f>M58/30</f>
        <v>126.96666666666667</v>
      </c>
      <c r="P58" s="132">
        <f>N58/30</f>
        <v>166</v>
      </c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  <c r="AI58" s="343"/>
      <c r="AJ58" s="343"/>
      <c r="AK58" s="343"/>
      <c r="AL58" s="343"/>
      <c r="AM58" s="343"/>
      <c r="AN58" s="343"/>
      <c r="AO58" s="343"/>
      <c r="AP58" s="343"/>
      <c r="AQ58" s="343"/>
      <c r="AR58" s="343"/>
      <c r="AS58" s="343"/>
      <c r="AT58" s="343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343"/>
      <c r="BG58" s="343"/>
      <c r="BH58" s="343"/>
    </row>
    <row r="59" spans="1:60" s="3" customFormat="1" ht="9.75" customHeight="1">
      <c r="A59" s="488"/>
      <c r="B59" s="127">
        <v>5</v>
      </c>
      <c r="C59" s="138">
        <v>1983</v>
      </c>
      <c r="D59" s="138">
        <v>3087</v>
      </c>
      <c r="E59" s="138">
        <v>144</v>
      </c>
      <c r="F59" s="138">
        <v>120</v>
      </c>
      <c r="G59" s="138">
        <v>938</v>
      </c>
      <c r="H59" s="138">
        <v>823</v>
      </c>
      <c r="I59" s="138">
        <v>318</v>
      </c>
      <c r="J59" s="138">
        <v>248</v>
      </c>
      <c r="K59" s="138"/>
      <c r="L59" s="139"/>
      <c r="M59" s="135">
        <f t="shared" si="4"/>
        <v>3383</v>
      </c>
      <c r="N59" s="145">
        <f t="shared" si="5"/>
        <v>4278</v>
      </c>
      <c r="O59" s="136">
        <f>M59/31</f>
        <v>109.12903225806451</v>
      </c>
      <c r="P59" s="137">
        <f>N59/31</f>
        <v>138</v>
      </c>
      <c r="Q59" s="343"/>
      <c r="R59" s="343"/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  <c r="AI59" s="343"/>
      <c r="AJ59" s="343"/>
      <c r="AK59" s="343"/>
      <c r="AL59" s="343"/>
      <c r="AM59" s="343"/>
      <c r="AN59" s="343"/>
      <c r="AO59" s="343"/>
      <c r="AP59" s="343"/>
      <c r="AQ59" s="343"/>
      <c r="AR59" s="343"/>
      <c r="AS59" s="343"/>
      <c r="AT59" s="343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343"/>
      <c r="BG59" s="343"/>
      <c r="BH59" s="343"/>
    </row>
    <row r="60" spans="1:60" s="3" customFormat="1" ht="9.75" customHeight="1">
      <c r="A60" s="488"/>
      <c r="B60" s="127">
        <v>6</v>
      </c>
      <c r="C60" s="133">
        <v>1424</v>
      </c>
      <c r="D60" s="133">
        <v>1479</v>
      </c>
      <c r="E60" s="133">
        <v>158</v>
      </c>
      <c r="F60" s="133">
        <v>81</v>
      </c>
      <c r="G60" s="133">
        <v>1164</v>
      </c>
      <c r="H60" s="133">
        <v>973</v>
      </c>
      <c r="I60" s="133">
        <v>326</v>
      </c>
      <c r="J60" s="133">
        <v>341</v>
      </c>
      <c r="K60" s="133"/>
      <c r="L60" s="144"/>
      <c r="M60" s="135">
        <f t="shared" si="4"/>
        <v>3072</v>
      </c>
      <c r="N60" s="145">
        <f t="shared" si="5"/>
        <v>2874</v>
      </c>
      <c r="O60" s="136">
        <f>M60/30</f>
        <v>102.4</v>
      </c>
      <c r="P60" s="137">
        <f>N60/30</f>
        <v>95.8</v>
      </c>
      <c r="Q60" s="343"/>
      <c r="R60" s="343"/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  <c r="AJ60" s="343"/>
      <c r="AK60" s="343"/>
      <c r="AL60" s="343"/>
      <c r="AM60" s="343"/>
      <c r="AN60" s="343"/>
      <c r="AO60" s="343"/>
      <c r="AP60" s="343"/>
      <c r="AQ60" s="343"/>
      <c r="AR60" s="343"/>
      <c r="AS60" s="343"/>
      <c r="AT60" s="343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343"/>
      <c r="BG60" s="343"/>
      <c r="BH60" s="343"/>
    </row>
    <row r="61" spans="1:60" s="3" customFormat="1" ht="9.75" customHeight="1">
      <c r="A61" s="488"/>
      <c r="B61" s="127">
        <v>7</v>
      </c>
      <c r="C61" s="133">
        <v>2020</v>
      </c>
      <c r="D61" s="133">
        <v>3281</v>
      </c>
      <c r="E61" s="133">
        <v>354</v>
      </c>
      <c r="F61" s="133">
        <v>385</v>
      </c>
      <c r="G61" s="133">
        <v>1242</v>
      </c>
      <c r="H61" s="133">
        <v>1514</v>
      </c>
      <c r="I61" s="133">
        <v>306</v>
      </c>
      <c r="J61" s="133">
        <v>412</v>
      </c>
      <c r="K61" s="133"/>
      <c r="L61" s="144"/>
      <c r="M61" s="135">
        <f t="shared" si="4"/>
        <v>3922</v>
      </c>
      <c r="N61" s="145">
        <f t="shared" si="5"/>
        <v>5592</v>
      </c>
      <c r="O61" s="136">
        <f>M61/31</f>
        <v>126.51612903225806</v>
      </c>
      <c r="P61" s="137">
        <f>N61/31</f>
        <v>180.38709677419354</v>
      </c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3"/>
      <c r="AB61" s="343"/>
      <c r="AC61" s="343"/>
      <c r="AD61" s="343"/>
      <c r="AE61" s="343"/>
      <c r="AF61" s="343"/>
      <c r="AG61" s="343"/>
      <c r="AH61" s="343"/>
      <c r="AI61" s="343"/>
      <c r="AJ61" s="343"/>
      <c r="AK61" s="343"/>
      <c r="AL61" s="343"/>
      <c r="AM61" s="343"/>
      <c r="AN61" s="343"/>
      <c r="AO61" s="343"/>
      <c r="AP61" s="343"/>
      <c r="AQ61" s="343"/>
      <c r="AR61" s="343"/>
      <c r="AS61" s="343"/>
      <c r="AT61" s="343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343"/>
      <c r="BG61" s="343"/>
      <c r="BH61" s="343"/>
    </row>
    <row r="62" spans="1:60" s="3" customFormat="1" ht="9.75" customHeight="1">
      <c r="A62" s="488"/>
      <c r="B62" s="127">
        <v>8</v>
      </c>
      <c r="C62" s="133">
        <v>1845</v>
      </c>
      <c r="D62" s="133">
        <v>2493</v>
      </c>
      <c r="E62" s="133">
        <v>571</v>
      </c>
      <c r="F62" s="133">
        <v>657</v>
      </c>
      <c r="G62" s="133">
        <v>1135</v>
      </c>
      <c r="H62" s="133">
        <v>1147</v>
      </c>
      <c r="I62" s="133">
        <v>430</v>
      </c>
      <c r="J62" s="133">
        <v>412</v>
      </c>
      <c r="K62" s="133"/>
      <c r="L62" s="144"/>
      <c r="M62" s="135">
        <f t="shared" si="4"/>
        <v>3981</v>
      </c>
      <c r="N62" s="145">
        <f t="shared" si="5"/>
        <v>4709</v>
      </c>
      <c r="O62" s="136">
        <f>M62/31</f>
        <v>128.41935483870967</v>
      </c>
      <c r="P62" s="137">
        <f>N62/31</f>
        <v>151.90322580645162</v>
      </c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  <c r="AI62" s="343"/>
      <c r="AJ62" s="343"/>
      <c r="AK62" s="343"/>
      <c r="AL62" s="343"/>
      <c r="AM62" s="343"/>
      <c r="AN62" s="343"/>
      <c r="AO62" s="343"/>
      <c r="AP62" s="343"/>
      <c r="AQ62" s="343"/>
      <c r="AR62" s="343"/>
      <c r="AS62" s="343"/>
      <c r="AT62" s="343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343"/>
      <c r="BG62" s="343"/>
      <c r="BH62" s="343"/>
    </row>
    <row r="63" spans="1:60" s="3" customFormat="1" ht="9.75" customHeight="1">
      <c r="A63" s="488"/>
      <c r="B63" s="127">
        <v>9</v>
      </c>
      <c r="C63" s="133">
        <v>2710</v>
      </c>
      <c r="D63" s="133">
        <v>2827</v>
      </c>
      <c r="E63" s="133">
        <v>520</v>
      </c>
      <c r="F63" s="133">
        <v>524</v>
      </c>
      <c r="G63" s="133">
        <v>1052</v>
      </c>
      <c r="H63" s="133">
        <v>1049</v>
      </c>
      <c r="I63" s="133">
        <v>524</v>
      </c>
      <c r="J63" s="133">
        <v>540</v>
      </c>
      <c r="K63" s="133"/>
      <c r="L63" s="144"/>
      <c r="M63" s="135">
        <f t="shared" si="4"/>
        <v>4806</v>
      </c>
      <c r="N63" s="145">
        <f t="shared" si="5"/>
        <v>4940</v>
      </c>
      <c r="O63" s="136">
        <f>M63/30</f>
        <v>160.19999999999999</v>
      </c>
      <c r="P63" s="137">
        <f>N63/30</f>
        <v>164.66666666666666</v>
      </c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  <c r="AI63" s="343"/>
      <c r="AJ63" s="343"/>
      <c r="AK63" s="343"/>
      <c r="AL63" s="343"/>
      <c r="AM63" s="343"/>
      <c r="AN63" s="343"/>
      <c r="AO63" s="343"/>
      <c r="AP63" s="343"/>
      <c r="AQ63" s="343"/>
      <c r="AR63" s="343"/>
      <c r="AS63" s="343"/>
      <c r="AT63" s="343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343"/>
      <c r="BG63" s="343"/>
      <c r="BH63" s="343"/>
    </row>
    <row r="64" spans="1:60" s="3" customFormat="1" ht="9.75" customHeight="1">
      <c r="A64" s="488"/>
      <c r="B64" s="127">
        <v>10</v>
      </c>
      <c r="C64" s="128">
        <v>5077</v>
      </c>
      <c r="D64" s="128">
        <v>5981</v>
      </c>
      <c r="E64" s="128">
        <v>318</v>
      </c>
      <c r="F64" s="128">
        <v>411</v>
      </c>
      <c r="G64" s="128">
        <v>1857</v>
      </c>
      <c r="H64" s="128">
        <v>1489</v>
      </c>
      <c r="I64" s="128">
        <v>411</v>
      </c>
      <c r="J64" s="128">
        <v>517</v>
      </c>
      <c r="K64" s="128"/>
      <c r="L64" s="129"/>
      <c r="M64" s="135">
        <f t="shared" si="4"/>
        <v>7663</v>
      </c>
      <c r="N64" s="145">
        <f t="shared" si="5"/>
        <v>8398</v>
      </c>
      <c r="O64" s="136">
        <f>M64/31</f>
        <v>247.19354838709677</v>
      </c>
      <c r="P64" s="137">
        <f>N64/31</f>
        <v>270.90322580645159</v>
      </c>
      <c r="Q64" s="343"/>
      <c r="R64" s="343"/>
      <c r="S64" s="343"/>
      <c r="T64" s="343"/>
      <c r="U64" s="343"/>
      <c r="V64" s="343"/>
      <c r="W64" s="343"/>
      <c r="X64" s="343"/>
      <c r="Y64" s="343"/>
      <c r="Z64" s="343"/>
      <c r="AA64" s="343"/>
      <c r="AB64" s="343"/>
      <c r="AC64" s="343"/>
      <c r="AD64" s="343"/>
      <c r="AE64" s="343"/>
      <c r="AF64" s="343"/>
      <c r="AG64" s="343"/>
      <c r="AH64" s="343"/>
      <c r="AI64" s="343"/>
      <c r="AJ64" s="343"/>
      <c r="AK64" s="343"/>
      <c r="AL64" s="343"/>
      <c r="AM64" s="343"/>
      <c r="AN64" s="343"/>
      <c r="AO64" s="343"/>
      <c r="AP64" s="343"/>
      <c r="AQ64" s="343"/>
      <c r="AR64" s="343"/>
      <c r="AS64" s="343"/>
      <c r="AT64" s="343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343"/>
      <c r="BG64" s="343"/>
      <c r="BH64" s="343"/>
    </row>
    <row r="65" spans="1:60" s="3" customFormat="1" ht="9.75" customHeight="1">
      <c r="A65" s="488"/>
      <c r="B65" s="127">
        <v>11</v>
      </c>
      <c r="C65" s="361">
        <v>4958</v>
      </c>
      <c r="D65" s="361">
        <v>6217</v>
      </c>
      <c r="E65" s="361">
        <v>295</v>
      </c>
      <c r="F65" s="361">
        <v>243</v>
      </c>
      <c r="G65" s="361">
        <v>1891</v>
      </c>
      <c r="H65" s="361">
        <v>2119</v>
      </c>
      <c r="I65" s="361">
        <v>343</v>
      </c>
      <c r="J65" s="361">
        <v>404</v>
      </c>
      <c r="K65" s="361"/>
      <c r="L65" s="362"/>
      <c r="M65" s="135">
        <f t="shared" si="4"/>
        <v>7487</v>
      </c>
      <c r="N65" s="145">
        <f t="shared" si="5"/>
        <v>8983</v>
      </c>
      <c r="O65" s="136">
        <f>M65/30</f>
        <v>249.56666666666666</v>
      </c>
      <c r="P65" s="137">
        <f>N65/30</f>
        <v>299.43333333333334</v>
      </c>
      <c r="Q65" s="343"/>
      <c r="R65" s="343"/>
      <c r="S65" s="343"/>
      <c r="T65" s="343"/>
      <c r="U65" s="343"/>
      <c r="V65" s="343"/>
      <c r="W65" s="343"/>
      <c r="X65" s="343"/>
      <c r="Y65" s="343"/>
      <c r="Z65" s="343"/>
      <c r="AA65" s="343"/>
      <c r="AB65" s="343"/>
      <c r="AC65" s="343"/>
      <c r="AD65" s="343"/>
      <c r="AE65" s="343"/>
      <c r="AF65" s="343"/>
      <c r="AG65" s="343"/>
      <c r="AH65" s="343"/>
      <c r="AI65" s="343"/>
      <c r="AJ65" s="343"/>
      <c r="AK65" s="343"/>
      <c r="AL65" s="343"/>
      <c r="AM65" s="343"/>
      <c r="AN65" s="343"/>
      <c r="AO65" s="343"/>
      <c r="AP65" s="343"/>
      <c r="AQ65" s="343"/>
      <c r="AR65" s="343"/>
      <c r="AS65" s="343"/>
      <c r="AT65" s="343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343"/>
      <c r="BG65" s="343"/>
      <c r="BH65" s="343"/>
    </row>
    <row r="66" spans="1:60" s="3" customFormat="1" ht="9.75" customHeight="1" thickBot="1">
      <c r="A66" s="489"/>
      <c r="B66" s="127">
        <v>12</v>
      </c>
      <c r="C66" s="133">
        <v>3905</v>
      </c>
      <c r="D66" s="133">
        <v>6558</v>
      </c>
      <c r="E66" s="133">
        <v>404</v>
      </c>
      <c r="F66" s="133">
        <v>453</v>
      </c>
      <c r="G66" s="133">
        <v>1803</v>
      </c>
      <c r="H66" s="133">
        <v>2089</v>
      </c>
      <c r="I66" s="133">
        <v>462</v>
      </c>
      <c r="J66" s="133">
        <v>476</v>
      </c>
      <c r="K66" s="133"/>
      <c r="L66" s="144"/>
      <c r="M66" s="135">
        <f t="shared" si="4"/>
        <v>6574</v>
      </c>
      <c r="N66" s="145">
        <f t="shared" si="5"/>
        <v>9576</v>
      </c>
      <c r="O66" s="136">
        <f>M66/31</f>
        <v>212.06451612903226</v>
      </c>
      <c r="P66" s="137">
        <f>N66/31</f>
        <v>308.90322580645159</v>
      </c>
      <c r="Q66" s="343"/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  <c r="AI66" s="343"/>
      <c r="AJ66" s="343"/>
      <c r="AK66" s="343"/>
      <c r="AL66" s="343"/>
      <c r="AM66" s="343"/>
      <c r="AN66" s="343"/>
      <c r="AO66" s="343"/>
      <c r="AP66" s="343"/>
      <c r="AQ66" s="343"/>
      <c r="AR66" s="343"/>
      <c r="AS66" s="343"/>
      <c r="AT66" s="343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343"/>
      <c r="BG66" s="343"/>
      <c r="BH66" s="343"/>
    </row>
    <row r="67" spans="1:60" ht="12" customHeight="1">
      <c r="A67" s="473">
        <v>2017</v>
      </c>
      <c r="B67" s="410">
        <v>1</v>
      </c>
      <c r="C67" s="422">
        <v>3733</v>
      </c>
      <c r="D67" s="422">
        <v>5448</v>
      </c>
      <c r="E67" s="422">
        <v>669</v>
      </c>
      <c r="F67" s="422">
        <v>697</v>
      </c>
      <c r="G67" s="422">
        <v>2249</v>
      </c>
      <c r="H67" s="422">
        <v>2847</v>
      </c>
      <c r="I67" s="422">
        <v>808</v>
      </c>
      <c r="J67" s="422">
        <v>1104</v>
      </c>
      <c r="K67" s="422"/>
      <c r="L67" s="423"/>
      <c r="M67" s="424">
        <f t="shared" si="4"/>
        <v>7459</v>
      </c>
      <c r="N67" s="425">
        <f t="shared" si="5"/>
        <v>10096</v>
      </c>
      <c r="O67" s="426">
        <f>M67/31</f>
        <v>240.61290322580646</v>
      </c>
      <c r="P67" s="427">
        <f>N67/31</f>
        <v>325.67741935483872</v>
      </c>
    </row>
    <row r="68" spans="1:60" ht="12" customHeight="1">
      <c r="A68" s="474"/>
      <c r="B68" s="127">
        <v>2</v>
      </c>
      <c r="C68" s="147">
        <v>3346</v>
      </c>
      <c r="D68" s="147">
        <v>3363</v>
      </c>
      <c r="E68" s="147">
        <v>489</v>
      </c>
      <c r="F68" s="147">
        <v>682</v>
      </c>
      <c r="G68" s="147">
        <v>2151</v>
      </c>
      <c r="H68" s="147">
        <v>2351</v>
      </c>
      <c r="I68" s="147">
        <v>530</v>
      </c>
      <c r="J68" s="147">
        <v>661</v>
      </c>
      <c r="K68" s="147"/>
      <c r="L68" s="148"/>
      <c r="M68" s="149">
        <f t="shared" si="4"/>
        <v>6516</v>
      </c>
      <c r="N68" s="150">
        <f t="shared" si="5"/>
        <v>7057</v>
      </c>
      <c r="O68" s="151">
        <f>M68/28</f>
        <v>232.71428571428572</v>
      </c>
      <c r="P68" s="152">
        <f>N68/28</f>
        <v>252.03571428571428</v>
      </c>
    </row>
    <row r="69" spans="1:60" ht="12" customHeight="1">
      <c r="A69" s="474"/>
      <c r="B69" s="127">
        <v>3</v>
      </c>
      <c r="C69" s="147">
        <v>7061</v>
      </c>
      <c r="D69" s="147">
        <v>6079</v>
      </c>
      <c r="E69" s="147">
        <v>343</v>
      </c>
      <c r="F69" s="147">
        <v>276</v>
      </c>
      <c r="G69" s="147">
        <v>3054</v>
      </c>
      <c r="H69" s="147">
        <v>2752</v>
      </c>
      <c r="I69" s="147">
        <v>804</v>
      </c>
      <c r="J69" s="147">
        <v>715</v>
      </c>
      <c r="K69" s="147"/>
      <c r="L69" s="148"/>
      <c r="M69" s="149">
        <f t="shared" si="4"/>
        <v>11262</v>
      </c>
      <c r="N69" s="150">
        <f t="shared" si="5"/>
        <v>9822</v>
      </c>
      <c r="O69" s="151">
        <f>M69/31</f>
        <v>363.29032258064518</v>
      </c>
      <c r="P69" s="152">
        <f>N69/31</f>
        <v>316.83870967741933</v>
      </c>
    </row>
    <row r="70" spans="1:60" ht="12" customHeight="1">
      <c r="A70" s="474"/>
      <c r="B70" s="127">
        <v>4</v>
      </c>
      <c r="C70" s="147">
        <v>6654</v>
      </c>
      <c r="D70" s="147">
        <v>10073</v>
      </c>
      <c r="E70" s="147">
        <v>448</v>
      </c>
      <c r="F70" s="147">
        <v>319</v>
      </c>
      <c r="G70" s="147">
        <v>2373</v>
      </c>
      <c r="H70" s="147">
        <v>2783</v>
      </c>
      <c r="I70" s="147">
        <v>534</v>
      </c>
      <c r="J70" s="147">
        <v>774</v>
      </c>
      <c r="K70" s="147"/>
      <c r="L70" s="148"/>
      <c r="M70" s="149">
        <f t="shared" si="4"/>
        <v>10009</v>
      </c>
      <c r="N70" s="150">
        <f t="shared" si="5"/>
        <v>13949</v>
      </c>
      <c r="O70" s="151">
        <f>M70/30</f>
        <v>333.63333333333333</v>
      </c>
      <c r="P70" s="152">
        <f>N70/30</f>
        <v>464.96666666666664</v>
      </c>
    </row>
    <row r="71" spans="1:60" ht="12" customHeight="1">
      <c r="A71" s="474"/>
      <c r="B71" s="127">
        <v>5</v>
      </c>
      <c r="C71" s="153">
        <v>4658</v>
      </c>
      <c r="D71" s="153">
        <v>9093</v>
      </c>
      <c r="E71" s="153">
        <v>371</v>
      </c>
      <c r="F71" s="153">
        <v>440</v>
      </c>
      <c r="G71" s="153">
        <v>2514</v>
      </c>
      <c r="H71" s="153">
        <v>3588</v>
      </c>
      <c r="I71" s="153">
        <v>477</v>
      </c>
      <c r="J71" s="153">
        <v>709</v>
      </c>
      <c r="K71" s="153">
        <v>84</v>
      </c>
      <c r="L71" s="300">
        <v>68</v>
      </c>
      <c r="M71" s="154">
        <f t="shared" ref="M71:M90" si="6">+C71+E71+G71+I71+K71</f>
        <v>8104</v>
      </c>
      <c r="N71" s="155">
        <f t="shared" ref="N71:N90" si="7">+D71+F71+H71+J71+L71</f>
        <v>13898</v>
      </c>
      <c r="O71" s="156">
        <f>M71/31</f>
        <v>261.41935483870969</v>
      </c>
      <c r="P71" s="157">
        <f>N71/31</f>
        <v>448.32258064516128</v>
      </c>
    </row>
    <row r="72" spans="1:60" ht="12" customHeight="1">
      <c r="A72" s="474"/>
      <c r="B72" s="127">
        <v>6</v>
      </c>
      <c r="C72" s="158">
        <v>2461</v>
      </c>
      <c r="D72" s="158">
        <v>5036</v>
      </c>
      <c r="E72" s="158">
        <v>311</v>
      </c>
      <c r="F72" s="158">
        <v>469</v>
      </c>
      <c r="G72" s="158">
        <v>2203</v>
      </c>
      <c r="H72" s="158">
        <v>4274</v>
      </c>
      <c r="I72" s="158">
        <v>324</v>
      </c>
      <c r="J72" s="158">
        <v>716</v>
      </c>
      <c r="K72" s="158">
        <v>269</v>
      </c>
      <c r="L72" s="159">
        <v>611</v>
      </c>
      <c r="M72" s="154">
        <f t="shared" si="6"/>
        <v>5568</v>
      </c>
      <c r="N72" s="155">
        <f t="shared" si="7"/>
        <v>11106</v>
      </c>
      <c r="O72" s="156">
        <f>M72/30</f>
        <v>185.6</v>
      </c>
      <c r="P72" s="157">
        <f>N72/30</f>
        <v>370.2</v>
      </c>
    </row>
    <row r="73" spans="1:60" ht="12" customHeight="1">
      <c r="A73" s="474"/>
      <c r="B73" s="127">
        <v>7</v>
      </c>
      <c r="C73" s="158">
        <v>2648</v>
      </c>
      <c r="D73" s="158">
        <v>5906</v>
      </c>
      <c r="E73" s="158">
        <v>516</v>
      </c>
      <c r="F73" s="158">
        <v>757</v>
      </c>
      <c r="G73" s="158">
        <v>2076</v>
      </c>
      <c r="H73" s="158">
        <v>6554</v>
      </c>
      <c r="I73" s="158">
        <v>492</v>
      </c>
      <c r="J73" s="158">
        <v>1221</v>
      </c>
      <c r="K73" s="158">
        <v>206</v>
      </c>
      <c r="L73" s="159">
        <v>876</v>
      </c>
      <c r="M73" s="154">
        <f t="shared" si="6"/>
        <v>5938</v>
      </c>
      <c r="N73" s="155">
        <f t="shared" si="7"/>
        <v>15314</v>
      </c>
      <c r="O73" s="156">
        <f>M73/31</f>
        <v>191.54838709677421</v>
      </c>
      <c r="P73" s="157">
        <f>N73/31</f>
        <v>494</v>
      </c>
    </row>
    <row r="74" spans="1:60" ht="12" customHeight="1">
      <c r="A74" s="474"/>
      <c r="B74" s="127">
        <v>8</v>
      </c>
      <c r="C74" s="158">
        <v>2570</v>
      </c>
      <c r="D74" s="158">
        <v>4321</v>
      </c>
      <c r="E74" s="158">
        <v>289</v>
      </c>
      <c r="F74" s="158">
        <v>420</v>
      </c>
      <c r="G74" s="158">
        <v>1859</v>
      </c>
      <c r="H74" s="158">
        <v>4972</v>
      </c>
      <c r="I74" s="158">
        <v>424</v>
      </c>
      <c r="J74" s="158">
        <v>1375</v>
      </c>
      <c r="K74" s="158">
        <v>80</v>
      </c>
      <c r="L74" s="159">
        <v>248</v>
      </c>
      <c r="M74" s="154">
        <f t="shared" si="6"/>
        <v>5222</v>
      </c>
      <c r="N74" s="155">
        <f t="shared" si="7"/>
        <v>11336</v>
      </c>
      <c r="O74" s="156">
        <f>M74/31</f>
        <v>168.45161290322579</v>
      </c>
      <c r="P74" s="157">
        <f>N74/31</f>
        <v>365.67741935483872</v>
      </c>
    </row>
    <row r="75" spans="1:60" ht="12" customHeight="1">
      <c r="A75" s="474"/>
      <c r="B75" s="127">
        <v>9</v>
      </c>
      <c r="C75" s="158">
        <v>3221</v>
      </c>
      <c r="D75" s="158">
        <v>7477</v>
      </c>
      <c r="E75" s="158">
        <v>340</v>
      </c>
      <c r="F75" s="158">
        <v>645</v>
      </c>
      <c r="G75" s="158">
        <v>1934</v>
      </c>
      <c r="H75" s="158">
        <v>4550</v>
      </c>
      <c r="I75" s="158">
        <v>713</v>
      </c>
      <c r="J75" s="158">
        <v>966</v>
      </c>
      <c r="K75" s="158">
        <v>477</v>
      </c>
      <c r="L75" s="159">
        <v>558</v>
      </c>
      <c r="M75" s="154">
        <f t="shared" si="6"/>
        <v>6685</v>
      </c>
      <c r="N75" s="155">
        <f t="shared" si="7"/>
        <v>14196</v>
      </c>
      <c r="O75" s="156">
        <f>M75/30</f>
        <v>222.83333333333334</v>
      </c>
      <c r="P75" s="157">
        <f>N75/30</f>
        <v>473.2</v>
      </c>
    </row>
    <row r="76" spans="1:60" ht="12" customHeight="1">
      <c r="A76" s="474"/>
      <c r="B76" s="127">
        <v>10</v>
      </c>
      <c r="C76" s="147">
        <v>3376</v>
      </c>
      <c r="D76" s="147">
        <v>6817</v>
      </c>
      <c r="E76" s="147">
        <v>218</v>
      </c>
      <c r="F76" s="147">
        <v>374</v>
      </c>
      <c r="G76" s="147">
        <v>2191</v>
      </c>
      <c r="H76" s="147">
        <v>4800</v>
      </c>
      <c r="I76" s="147">
        <v>433</v>
      </c>
      <c r="J76" s="147">
        <v>1892</v>
      </c>
      <c r="K76" s="147">
        <v>1176</v>
      </c>
      <c r="L76" s="148">
        <v>2685</v>
      </c>
      <c r="M76" s="154">
        <f t="shared" si="6"/>
        <v>7394</v>
      </c>
      <c r="N76" s="155">
        <f t="shared" si="7"/>
        <v>16568</v>
      </c>
      <c r="O76" s="156">
        <f>M76/31</f>
        <v>238.51612903225808</v>
      </c>
      <c r="P76" s="157">
        <f>N76/31</f>
        <v>534.45161290322585</v>
      </c>
    </row>
    <row r="77" spans="1:60" ht="12" customHeight="1">
      <c r="A77" s="474"/>
      <c r="B77" s="127">
        <v>11</v>
      </c>
      <c r="C77" s="363">
        <v>3942</v>
      </c>
      <c r="D77" s="363">
        <v>10542</v>
      </c>
      <c r="E77" s="363">
        <v>190</v>
      </c>
      <c r="F77" s="363">
        <v>305</v>
      </c>
      <c r="G77" s="363">
        <v>2560</v>
      </c>
      <c r="H77" s="363">
        <v>6994</v>
      </c>
      <c r="I77" s="363">
        <v>438</v>
      </c>
      <c r="J77" s="363">
        <v>1080</v>
      </c>
      <c r="K77" s="363">
        <v>1304</v>
      </c>
      <c r="L77" s="364">
        <v>4463</v>
      </c>
      <c r="M77" s="154">
        <f t="shared" si="6"/>
        <v>8434</v>
      </c>
      <c r="N77" s="155">
        <f t="shared" si="7"/>
        <v>23384</v>
      </c>
      <c r="O77" s="156">
        <f>M77/30</f>
        <v>281.13333333333333</v>
      </c>
      <c r="P77" s="157">
        <f>N77/30</f>
        <v>779.4666666666667</v>
      </c>
    </row>
    <row r="78" spans="1:60" ht="12" customHeight="1" thickBot="1">
      <c r="A78" s="475"/>
      <c r="B78" s="127">
        <v>12</v>
      </c>
      <c r="C78" s="158">
        <v>3154</v>
      </c>
      <c r="D78" s="158">
        <v>9141</v>
      </c>
      <c r="E78" s="158">
        <v>193</v>
      </c>
      <c r="F78" s="158">
        <v>277</v>
      </c>
      <c r="G78" s="158">
        <v>2170</v>
      </c>
      <c r="H78" s="158">
        <v>5320</v>
      </c>
      <c r="I78" s="158">
        <v>474</v>
      </c>
      <c r="J78" s="158">
        <v>1115</v>
      </c>
      <c r="K78" s="158">
        <v>711</v>
      </c>
      <c r="L78" s="159">
        <v>2990</v>
      </c>
      <c r="M78" s="154">
        <f t="shared" si="6"/>
        <v>6702</v>
      </c>
      <c r="N78" s="155">
        <f t="shared" si="7"/>
        <v>18843</v>
      </c>
      <c r="O78" s="156">
        <f>M78/31</f>
        <v>216.19354838709677</v>
      </c>
      <c r="P78" s="157">
        <f>N78/31</f>
        <v>607.83870967741939</v>
      </c>
    </row>
    <row r="79" spans="1:60" ht="12" customHeight="1">
      <c r="A79" s="473">
        <v>2018</v>
      </c>
      <c r="B79" s="410">
        <v>1</v>
      </c>
      <c r="C79" s="422">
        <v>2789</v>
      </c>
      <c r="D79" s="422">
        <v>6528</v>
      </c>
      <c r="E79" s="422">
        <v>350</v>
      </c>
      <c r="F79" s="422">
        <v>529</v>
      </c>
      <c r="G79" s="422">
        <v>2245</v>
      </c>
      <c r="H79" s="422">
        <v>5174</v>
      </c>
      <c r="I79" s="422">
        <v>538</v>
      </c>
      <c r="J79" s="422">
        <v>978</v>
      </c>
      <c r="K79" s="422">
        <v>503</v>
      </c>
      <c r="L79" s="423">
        <v>1758</v>
      </c>
      <c r="M79" s="424">
        <f t="shared" si="6"/>
        <v>6425</v>
      </c>
      <c r="N79" s="425">
        <f t="shared" si="7"/>
        <v>14967</v>
      </c>
      <c r="O79" s="426">
        <f>M79/31</f>
        <v>207.25806451612902</v>
      </c>
      <c r="P79" s="427">
        <f>N79/31</f>
        <v>482.80645161290323</v>
      </c>
    </row>
    <row r="80" spans="1:60" ht="12" customHeight="1">
      <c r="A80" s="474"/>
      <c r="B80" s="127">
        <v>2</v>
      </c>
      <c r="C80" s="147">
        <v>2255</v>
      </c>
      <c r="D80" s="147">
        <v>5034</v>
      </c>
      <c r="E80" s="147">
        <v>277</v>
      </c>
      <c r="F80" s="147">
        <v>636</v>
      </c>
      <c r="G80" s="147">
        <v>1833</v>
      </c>
      <c r="H80" s="147">
        <v>5841</v>
      </c>
      <c r="I80" s="147">
        <v>663</v>
      </c>
      <c r="J80" s="147">
        <v>2242</v>
      </c>
      <c r="K80" s="147">
        <v>520</v>
      </c>
      <c r="L80" s="148">
        <v>1246</v>
      </c>
      <c r="M80" s="149">
        <f t="shared" si="6"/>
        <v>5548</v>
      </c>
      <c r="N80" s="150">
        <f t="shared" si="7"/>
        <v>14999</v>
      </c>
      <c r="O80" s="151">
        <f>M80/28</f>
        <v>198.14285714285714</v>
      </c>
      <c r="P80" s="152">
        <f>N80/28</f>
        <v>535.67857142857144</v>
      </c>
    </row>
    <row r="81" spans="1:16" ht="12" customHeight="1">
      <c r="A81" s="474"/>
      <c r="B81" s="127">
        <v>3</v>
      </c>
      <c r="C81" s="147">
        <v>4364</v>
      </c>
      <c r="D81" s="147">
        <v>7904</v>
      </c>
      <c r="E81" s="147">
        <v>232</v>
      </c>
      <c r="F81" s="147">
        <v>321</v>
      </c>
      <c r="G81" s="147">
        <v>3444</v>
      </c>
      <c r="H81" s="147">
        <v>5720</v>
      </c>
      <c r="I81" s="147">
        <v>929</v>
      </c>
      <c r="J81" s="147">
        <v>1587</v>
      </c>
      <c r="K81" s="147">
        <v>1201</v>
      </c>
      <c r="L81" s="148">
        <v>2784</v>
      </c>
      <c r="M81" s="149">
        <f t="shared" si="6"/>
        <v>10170</v>
      </c>
      <c r="N81" s="150">
        <f t="shared" si="7"/>
        <v>18316</v>
      </c>
      <c r="O81" s="151">
        <f>M81/31</f>
        <v>328.06451612903226</v>
      </c>
      <c r="P81" s="152">
        <f>N81/31</f>
        <v>590.83870967741939</v>
      </c>
    </row>
    <row r="82" spans="1:16" ht="12" customHeight="1">
      <c r="A82" s="474"/>
      <c r="B82" s="127">
        <v>4</v>
      </c>
      <c r="C82" s="147">
        <v>4959</v>
      </c>
      <c r="D82" s="147">
        <v>13886</v>
      </c>
      <c r="E82" s="147">
        <v>231</v>
      </c>
      <c r="F82" s="147">
        <v>378</v>
      </c>
      <c r="G82" s="147">
        <v>2963</v>
      </c>
      <c r="H82" s="147">
        <v>9411</v>
      </c>
      <c r="I82" s="147">
        <v>950</v>
      </c>
      <c r="J82" s="147">
        <v>2670</v>
      </c>
      <c r="K82" s="147">
        <v>1364</v>
      </c>
      <c r="L82" s="148">
        <v>5046</v>
      </c>
      <c r="M82" s="149">
        <f t="shared" si="6"/>
        <v>10467</v>
      </c>
      <c r="N82" s="150">
        <f t="shared" si="7"/>
        <v>31391</v>
      </c>
      <c r="O82" s="151">
        <f>M82/30</f>
        <v>348.9</v>
      </c>
      <c r="P82" s="152">
        <f>N82/30</f>
        <v>1046.3666666666666</v>
      </c>
    </row>
    <row r="83" spans="1:16" ht="12" customHeight="1">
      <c r="A83" s="474"/>
      <c r="B83" s="127">
        <v>5</v>
      </c>
      <c r="C83" s="153">
        <v>3626</v>
      </c>
      <c r="D83" s="153">
        <v>9891</v>
      </c>
      <c r="E83" s="153">
        <v>269</v>
      </c>
      <c r="F83" s="153">
        <v>308</v>
      </c>
      <c r="G83" s="153">
        <v>2763</v>
      </c>
      <c r="H83" s="153">
        <v>7374</v>
      </c>
      <c r="I83" s="153">
        <v>656</v>
      </c>
      <c r="J83" s="153">
        <v>1899</v>
      </c>
      <c r="K83" s="153">
        <v>1001</v>
      </c>
      <c r="L83" s="300">
        <v>4147</v>
      </c>
      <c r="M83" s="154">
        <f t="shared" si="6"/>
        <v>8315</v>
      </c>
      <c r="N83" s="155">
        <f t="shared" si="7"/>
        <v>23619</v>
      </c>
      <c r="O83" s="156">
        <f>M83/31</f>
        <v>268.22580645161293</v>
      </c>
      <c r="P83" s="157">
        <f>N83/31</f>
        <v>761.90322580645159</v>
      </c>
    </row>
    <row r="84" spans="1:16" ht="12" customHeight="1">
      <c r="A84" s="474"/>
      <c r="B84" s="127">
        <v>6</v>
      </c>
      <c r="C84" s="158">
        <v>2616</v>
      </c>
      <c r="D84" s="158">
        <v>6539</v>
      </c>
      <c r="E84" s="158">
        <v>221</v>
      </c>
      <c r="F84" s="158">
        <v>372</v>
      </c>
      <c r="G84" s="158">
        <v>2430</v>
      </c>
      <c r="H84" s="158">
        <v>5936</v>
      </c>
      <c r="I84" s="158">
        <v>580</v>
      </c>
      <c r="J84" s="158">
        <v>1612</v>
      </c>
      <c r="K84" s="158">
        <v>416</v>
      </c>
      <c r="L84" s="159">
        <v>1562</v>
      </c>
      <c r="M84" s="154">
        <f t="shared" si="6"/>
        <v>6263</v>
      </c>
      <c r="N84" s="155">
        <f t="shared" si="7"/>
        <v>16021</v>
      </c>
      <c r="O84" s="156">
        <f>M84/30</f>
        <v>208.76666666666668</v>
      </c>
      <c r="P84" s="157">
        <f>N84/30</f>
        <v>534.0333333333333</v>
      </c>
    </row>
    <row r="85" spans="1:16" ht="12" customHeight="1">
      <c r="A85" s="474"/>
      <c r="B85" s="127">
        <v>7</v>
      </c>
      <c r="C85" s="158">
        <v>3271</v>
      </c>
      <c r="D85" s="158">
        <v>5419</v>
      </c>
      <c r="E85" s="158">
        <v>352</v>
      </c>
      <c r="F85" s="158">
        <v>382</v>
      </c>
      <c r="G85" s="158">
        <v>2396</v>
      </c>
      <c r="H85" s="158">
        <v>6868</v>
      </c>
      <c r="I85" s="158">
        <v>637</v>
      </c>
      <c r="J85" s="158">
        <v>1770</v>
      </c>
      <c r="K85" s="158">
        <v>257</v>
      </c>
      <c r="L85" s="159">
        <v>1033</v>
      </c>
      <c r="M85" s="154">
        <f t="shared" si="6"/>
        <v>6913</v>
      </c>
      <c r="N85" s="155">
        <f t="shared" si="7"/>
        <v>15472</v>
      </c>
      <c r="O85" s="156">
        <f>M85/31</f>
        <v>223</v>
      </c>
      <c r="P85" s="157">
        <f>N85/31</f>
        <v>499.09677419354841</v>
      </c>
    </row>
    <row r="86" spans="1:16" ht="12" customHeight="1">
      <c r="A86" s="474"/>
      <c r="B86" s="127">
        <v>8</v>
      </c>
      <c r="C86" s="158">
        <v>4099</v>
      </c>
      <c r="D86" s="158">
        <v>9556</v>
      </c>
      <c r="E86" s="158">
        <v>313</v>
      </c>
      <c r="F86" s="158">
        <v>786</v>
      </c>
      <c r="G86" s="158">
        <v>2201</v>
      </c>
      <c r="H86" s="158">
        <v>6430</v>
      </c>
      <c r="I86" s="158">
        <v>623</v>
      </c>
      <c r="J86" s="158">
        <v>1846</v>
      </c>
      <c r="K86" s="158">
        <v>145</v>
      </c>
      <c r="L86" s="159">
        <v>414</v>
      </c>
      <c r="M86" s="154">
        <f t="shared" si="6"/>
        <v>7381</v>
      </c>
      <c r="N86" s="155">
        <f t="shared" si="7"/>
        <v>19032</v>
      </c>
      <c r="O86" s="156">
        <f>M86/31</f>
        <v>238.09677419354838</v>
      </c>
      <c r="P86" s="157">
        <f>N86/31</f>
        <v>613.93548387096769</v>
      </c>
    </row>
    <row r="87" spans="1:16" ht="12" customHeight="1">
      <c r="A87" s="474"/>
      <c r="B87" s="127">
        <v>9</v>
      </c>
      <c r="C87" s="158">
        <v>2483</v>
      </c>
      <c r="D87" s="158">
        <v>5545</v>
      </c>
      <c r="E87" s="158">
        <v>238</v>
      </c>
      <c r="F87" s="158">
        <v>382</v>
      </c>
      <c r="G87" s="158">
        <v>1908</v>
      </c>
      <c r="H87" s="158">
        <v>4756</v>
      </c>
      <c r="I87" s="158">
        <v>879</v>
      </c>
      <c r="J87" s="158">
        <v>1489</v>
      </c>
      <c r="K87" s="158">
        <v>497</v>
      </c>
      <c r="L87" s="159">
        <v>764</v>
      </c>
      <c r="M87" s="154">
        <f t="shared" si="6"/>
        <v>6005</v>
      </c>
      <c r="N87" s="155">
        <f t="shared" si="7"/>
        <v>12936</v>
      </c>
      <c r="O87" s="156">
        <f>M87/30</f>
        <v>200.16666666666666</v>
      </c>
      <c r="P87" s="157">
        <f>N87/30</f>
        <v>431.2</v>
      </c>
    </row>
    <row r="88" spans="1:16" ht="12" customHeight="1">
      <c r="A88" s="474"/>
      <c r="B88" s="127">
        <v>10</v>
      </c>
      <c r="C88" s="147">
        <v>3358</v>
      </c>
      <c r="D88" s="147">
        <v>6723</v>
      </c>
      <c r="E88" s="147">
        <v>202</v>
      </c>
      <c r="F88" s="147">
        <v>326</v>
      </c>
      <c r="G88" s="147">
        <v>2658</v>
      </c>
      <c r="H88" s="147">
        <v>4952</v>
      </c>
      <c r="I88" s="147">
        <v>683</v>
      </c>
      <c r="J88" s="147">
        <v>2295</v>
      </c>
      <c r="K88" s="147">
        <v>1439</v>
      </c>
      <c r="L88" s="148">
        <v>3281</v>
      </c>
      <c r="M88" s="154">
        <f t="shared" si="6"/>
        <v>8340</v>
      </c>
      <c r="N88" s="155">
        <f t="shared" si="7"/>
        <v>17577</v>
      </c>
      <c r="O88" s="156">
        <f>M88/31</f>
        <v>269.03225806451616</v>
      </c>
      <c r="P88" s="157">
        <f>N88/31</f>
        <v>567</v>
      </c>
    </row>
    <row r="89" spans="1:16" ht="12" customHeight="1">
      <c r="A89" s="474"/>
      <c r="B89" s="127">
        <v>11</v>
      </c>
      <c r="C89" s="363">
        <v>3464</v>
      </c>
      <c r="D89" s="363">
        <v>9746</v>
      </c>
      <c r="E89" s="363">
        <v>221</v>
      </c>
      <c r="F89" s="363">
        <v>327</v>
      </c>
      <c r="G89" s="363">
        <v>2956</v>
      </c>
      <c r="H89" s="363">
        <v>8573</v>
      </c>
      <c r="I89" s="363">
        <v>685</v>
      </c>
      <c r="J89" s="363">
        <v>1764</v>
      </c>
      <c r="K89" s="363">
        <v>1417</v>
      </c>
      <c r="L89" s="364">
        <v>5065</v>
      </c>
      <c r="M89" s="154">
        <f t="shared" si="6"/>
        <v>8743</v>
      </c>
      <c r="N89" s="155">
        <f t="shared" si="7"/>
        <v>25475</v>
      </c>
      <c r="O89" s="156">
        <f>M89/30</f>
        <v>291.43333333333334</v>
      </c>
      <c r="P89" s="157">
        <f>N89/30</f>
        <v>849.16666666666663</v>
      </c>
    </row>
    <row r="90" spans="1:16" ht="12" customHeight="1" thickBot="1">
      <c r="A90" s="475"/>
      <c r="B90" s="127">
        <v>12</v>
      </c>
      <c r="C90" s="158">
        <v>2670</v>
      </c>
      <c r="D90" s="158">
        <v>8093</v>
      </c>
      <c r="E90" s="158">
        <v>340</v>
      </c>
      <c r="F90" s="158">
        <v>544</v>
      </c>
      <c r="G90" s="158">
        <v>2422</v>
      </c>
      <c r="H90" s="158">
        <v>6092</v>
      </c>
      <c r="I90" s="158">
        <v>781</v>
      </c>
      <c r="J90" s="158">
        <v>1589</v>
      </c>
      <c r="K90" s="158">
        <v>723</v>
      </c>
      <c r="L90" s="159">
        <v>3057</v>
      </c>
      <c r="M90" s="154">
        <f t="shared" si="6"/>
        <v>6936</v>
      </c>
      <c r="N90" s="155">
        <f t="shared" si="7"/>
        <v>19375</v>
      </c>
      <c r="O90" s="156">
        <f>M90/31</f>
        <v>223.74193548387098</v>
      </c>
      <c r="P90" s="157">
        <f>N90/31</f>
        <v>625</v>
      </c>
    </row>
    <row r="91" spans="1:16" ht="12" customHeight="1">
      <c r="A91" s="473">
        <v>2019</v>
      </c>
      <c r="B91" s="410">
        <v>1</v>
      </c>
      <c r="C91" s="422">
        <v>2204</v>
      </c>
      <c r="D91" s="422">
        <v>5884</v>
      </c>
      <c r="E91" s="422">
        <v>408</v>
      </c>
      <c r="F91" s="422">
        <v>693</v>
      </c>
      <c r="G91" s="422">
        <v>2409</v>
      </c>
      <c r="H91" s="422">
        <v>5719</v>
      </c>
      <c r="I91" s="422">
        <v>1076</v>
      </c>
      <c r="J91" s="422">
        <v>2137</v>
      </c>
      <c r="K91" s="422">
        <v>912</v>
      </c>
      <c r="L91" s="423">
        <v>2312</v>
      </c>
      <c r="M91" s="424">
        <f t="shared" ref="M91:M102" si="8">+C91+E91+G91+I91+K91</f>
        <v>7009</v>
      </c>
      <c r="N91" s="425">
        <f t="shared" ref="N91:N102" si="9">+D91+F91+H91+J91+L91</f>
        <v>16745</v>
      </c>
      <c r="O91" s="426">
        <f>M91/31</f>
        <v>226.09677419354838</v>
      </c>
      <c r="P91" s="427">
        <f>N91/31</f>
        <v>540.16129032258061</v>
      </c>
    </row>
    <row r="92" spans="1:16" ht="12" customHeight="1">
      <c r="A92" s="474"/>
      <c r="B92" s="127">
        <v>2</v>
      </c>
      <c r="C92" s="147">
        <v>2029</v>
      </c>
      <c r="D92" s="147">
        <v>4635</v>
      </c>
      <c r="E92" s="147">
        <v>304</v>
      </c>
      <c r="F92" s="147">
        <v>672</v>
      </c>
      <c r="G92" s="147">
        <v>2028</v>
      </c>
      <c r="H92" s="147">
        <v>6195</v>
      </c>
      <c r="I92" s="147">
        <v>964</v>
      </c>
      <c r="J92" s="147">
        <v>3396</v>
      </c>
      <c r="K92" s="147">
        <v>936</v>
      </c>
      <c r="L92" s="148">
        <v>3018</v>
      </c>
      <c r="M92" s="149">
        <f t="shared" si="8"/>
        <v>6261</v>
      </c>
      <c r="N92" s="150">
        <f t="shared" si="9"/>
        <v>17916</v>
      </c>
      <c r="O92" s="151">
        <f>M92/28</f>
        <v>223.60714285714286</v>
      </c>
      <c r="P92" s="152">
        <f>N92/28</f>
        <v>639.85714285714289</v>
      </c>
    </row>
    <row r="93" spans="1:16" ht="12" customHeight="1">
      <c r="A93" s="474"/>
      <c r="B93" s="127">
        <v>3</v>
      </c>
      <c r="C93" s="147">
        <v>3671</v>
      </c>
      <c r="D93" s="147">
        <v>7296</v>
      </c>
      <c r="E93" s="147">
        <v>207</v>
      </c>
      <c r="F93" s="147">
        <v>314</v>
      </c>
      <c r="G93" s="147">
        <v>2751</v>
      </c>
      <c r="H93" s="147">
        <v>5704</v>
      </c>
      <c r="I93" s="147">
        <v>1321</v>
      </c>
      <c r="J93" s="147">
        <v>2430</v>
      </c>
      <c r="K93" s="147">
        <v>1304</v>
      </c>
      <c r="L93" s="148">
        <v>3621</v>
      </c>
      <c r="M93" s="149">
        <f t="shared" si="8"/>
        <v>9254</v>
      </c>
      <c r="N93" s="150">
        <f t="shared" si="9"/>
        <v>19365</v>
      </c>
      <c r="O93" s="151">
        <f>M93/31</f>
        <v>298.51612903225805</v>
      </c>
      <c r="P93" s="152">
        <f>N93/31</f>
        <v>624.67741935483866</v>
      </c>
    </row>
    <row r="94" spans="1:16" ht="12" customHeight="1">
      <c r="A94" s="474"/>
      <c r="B94" s="127">
        <v>4</v>
      </c>
      <c r="C94" s="147">
        <v>3826</v>
      </c>
      <c r="D94" s="147">
        <v>10977</v>
      </c>
      <c r="E94" s="147">
        <v>236</v>
      </c>
      <c r="F94" s="147">
        <v>388</v>
      </c>
      <c r="G94" s="147">
        <v>2250</v>
      </c>
      <c r="H94" s="147">
        <v>6821</v>
      </c>
      <c r="I94" s="147">
        <v>1325</v>
      </c>
      <c r="J94" s="147">
        <v>3586</v>
      </c>
      <c r="K94" s="147">
        <v>1236</v>
      </c>
      <c r="L94" s="148">
        <v>4569</v>
      </c>
      <c r="M94" s="149">
        <f t="shared" si="8"/>
        <v>8873</v>
      </c>
      <c r="N94" s="150">
        <f t="shared" si="9"/>
        <v>26341</v>
      </c>
      <c r="O94" s="151">
        <f>M94/30</f>
        <v>295.76666666666665</v>
      </c>
      <c r="P94" s="152">
        <f>N94/30</f>
        <v>878.0333333333333</v>
      </c>
    </row>
    <row r="95" spans="1:16" ht="12" customHeight="1">
      <c r="A95" s="474"/>
      <c r="B95" s="127">
        <v>5</v>
      </c>
      <c r="C95" s="153">
        <v>2938</v>
      </c>
      <c r="D95" s="153">
        <v>7798</v>
      </c>
      <c r="E95" s="153">
        <v>239</v>
      </c>
      <c r="F95" s="153">
        <v>370</v>
      </c>
      <c r="G95" s="153">
        <v>2245</v>
      </c>
      <c r="H95" s="153">
        <v>5723</v>
      </c>
      <c r="I95" s="153">
        <v>1085</v>
      </c>
      <c r="J95" s="153">
        <v>2772</v>
      </c>
      <c r="K95" s="153">
        <v>822</v>
      </c>
      <c r="L95" s="300">
        <v>3699</v>
      </c>
      <c r="M95" s="154">
        <f t="shared" si="8"/>
        <v>7329</v>
      </c>
      <c r="N95" s="155">
        <f t="shared" si="9"/>
        <v>20362</v>
      </c>
      <c r="O95" s="156">
        <f>M95/31</f>
        <v>236.41935483870967</v>
      </c>
      <c r="P95" s="157">
        <f>N95/31</f>
        <v>656.83870967741939</v>
      </c>
    </row>
    <row r="96" spans="1:16" ht="12" customHeight="1">
      <c r="A96" s="474"/>
      <c r="B96" s="127">
        <v>6</v>
      </c>
      <c r="C96" s="158">
        <v>2468</v>
      </c>
      <c r="D96" s="158">
        <v>4547</v>
      </c>
      <c r="E96" s="158">
        <v>282</v>
      </c>
      <c r="F96" s="158">
        <v>263</v>
      </c>
      <c r="G96" s="158">
        <v>2070</v>
      </c>
      <c r="H96" s="158">
        <v>4621</v>
      </c>
      <c r="I96" s="158">
        <v>1042</v>
      </c>
      <c r="J96" s="158">
        <v>3019</v>
      </c>
      <c r="K96" s="158">
        <v>243</v>
      </c>
      <c r="L96" s="159">
        <v>615</v>
      </c>
      <c r="M96" s="154">
        <f t="shared" si="8"/>
        <v>6105</v>
      </c>
      <c r="N96" s="155">
        <f t="shared" si="9"/>
        <v>13065</v>
      </c>
      <c r="O96" s="156">
        <f>M96/30</f>
        <v>203.5</v>
      </c>
      <c r="P96" s="157">
        <f>N96/30</f>
        <v>435.5</v>
      </c>
    </row>
    <row r="97" spans="1:16" ht="12" customHeight="1">
      <c r="A97" s="474"/>
      <c r="B97" s="127">
        <v>7</v>
      </c>
      <c r="C97" s="158">
        <v>4355</v>
      </c>
      <c r="D97" s="158">
        <v>9061</v>
      </c>
      <c r="E97" s="158">
        <v>392</v>
      </c>
      <c r="F97" s="158">
        <v>718</v>
      </c>
      <c r="G97" s="158">
        <v>2300</v>
      </c>
      <c r="H97" s="158">
        <v>6244</v>
      </c>
      <c r="I97" s="158">
        <v>1091</v>
      </c>
      <c r="J97" s="158">
        <v>3246</v>
      </c>
      <c r="K97" s="158">
        <v>290</v>
      </c>
      <c r="L97" s="159">
        <v>1003</v>
      </c>
      <c r="M97" s="154">
        <f t="shared" si="8"/>
        <v>8428</v>
      </c>
      <c r="N97" s="155">
        <f t="shared" si="9"/>
        <v>20272</v>
      </c>
      <c r="O97" s="156">
        <f>M97/31</f>
        <v>271.87096774193549</v>
      </c>
      <c r="P97" s="157">
        <f>N97/31</f>
        <v>653.93548387096769</v>
      </c>
    </row>
    <row r="98" spans="1:16" ht="12" customHeight="1">
      <c r="A98" s="474"/>
      <c r="B98" s="127">
        <v>8</v>
      </c>
      <c r="C98" s="158">
        <v>3936</v>
      </c>
      <c r="D98" s="158">
        <v>8782</v>
      </c>
      <c r="E98" s="158">
        <v>212</v>
      </c>
      <c r="F98" s="158">
        <v>477</v>
      </c>
      <c r="G98" s="158">
        <v>2041</v>
      </c>
      <c r="H98" s="158">
        <v>6038</v>
      </c>
      <c r="I98" s="158">
        <v>995</v>
      </c>
      <c r="J98" s="158">
        <v>2867</v>
      </c>
      <c r="K98" s="158">
        <v>122</v>
      </c>
      <c r="L98" s="159">
        <v>387</v>
      </c>
      <c r="M98" s="154">
        <f t="shared" si="8"/>
        <v>7306</v>
      </c>
      <c r="N98" s="155">
        <f t="shared" si="9"/>
        <v>18551</v>
      </c>
      <c r="O98" s="156">
        <f>M98/31</f>
        <v>235.67741935483872</v>
      </c>
      <c r="P98" s="157">
        <f>N98/31</f>
        <v>598.41935483870964</v>
      </c>
    </row>
    <row r="99" spans="1:16" ht="12" customHeight="1">
      <c r="A99" s="474"/>
      <c r="B99" s="127">
        <v>9</v>
      </c>
      <c r="C99" s="158">
        <v>2425</v>
      </c>
      <c r="D99" s="158">
        <v>6034</v>
      </c>
      <c r="E99" s="158">
        <v>106</v>
      </c>
      <c r="F99" s="158">
        <v>174</v>
      </c>
      <c r="G99" s="158">
        <v>1862</v>
      </c>
      <c r="H99" s="158">
        <v>4199</v>
      </c>
      <c r="I99" s="158">
        <v>1130</v>
      </c>
      <c r="J99" s="158">
        <v>1932</v>
      </c>
      <c r="K99" s="158">
        <v>552</v>
      </c>
      <c r="L99" s="159">
        <v>546</v>
      </c>
      <c r="M99" s="154">
        <f t="shared" si="8"/>
        <v>6075</v>
      </c>
      <c r="N99" s="155">
        <f t="shared" si="9"/>
        <v>12885</v>
      </c>
      <c r="O99" s="156">
        <f>M99/30</f>
        <v>202.5</v>
      </c>
      <c r="P99" s="157">
        <f>N99/30</f>
        <v>429.5</v>
      </c>
    </row>
    <row r="100" spans="1:16" ht="12" customHeight="1">
      <c r="A100" s="474"/>
      <c r="B100" s="127">
        <v>10</v>
      </c>
      <c r="C100" s="147">
        <v>2828</v>
      </c>
      <c r="D100" s="147">
        <v>5047</v>
      </c>
      <c r="E100" s="147">
        <v>84</v>
      </c>
      <c r="F100" s="147">
        <v>181</v>
      </c>
      <c r="G100" s="147">
        <v>2244</v>
      </c>
      <c r="H100" s="147">
        <v>3887</v>
      </c>
      <c r="I100" s="147">
        <v>848</v>
      </c>
      <c r="J100" s="147">
        <v>2614</v>
      </c>
      <c r="K100" s="147">
        <v>1449</v>
      </c>
      <c r="L100" s="148">
        <v>2731</v>
      </c>
      <c r="M100" s="154">
        <f t="shared" si="8"/>
        <v>7453</v>
      </c>
      <c r="N100" s="155">
        <f t="shared" si="9"/>
        <v>14460</v>
      </c>
      <c r="O100" s="156">
        <f>M100/31</f>
        <v>240.41935483870967</v>
      </c>
      <c r="P100" s="157">
        <f>N100/31</f>
        <v>466.45161290322579</v>
      </c>
    </row>
    <row r="101" spans="1:16" ht="12" customHeight="1">
      <c r="A101" s="474"/>
      <c r="B101" s="127">
        <v>11</v>
      </c>
      <c r="C101" s="363">
        <v>3651</v>
      </c>
      <c r="D101" s="363">
        <v>10000</v>
      </c>
      <c r="E101" s="363">
        <v>87</v>
      </c>
      <c r="F101" s="363">
        <v>107</v>
      </c>
      <c r="G101" s="363">
        <v>3251</v>
      </c>
      <c r="H101" s="363">
        <v>8035</v>
      </c>
      <c r="I101" s="363">
        <v>853</v>
      </c>
      <c r="J101" s="363">
        <v>2231</v>
      </c>
      <c r="K101" s="363">
        <v>2079</v>
      </c>
      <c r="L101" s="364">
        <v>6767</v>
      </c>
      <c r="M101" s="154">
        <f t="shared" si="8"/>
        <v>9921</v>
      </c>
      <c r="N101" s="155">
        <f t="shared" si="9"/>
        <v>27140</v>
      </c>
      <c r="O101" s="156">
        <f>M101/30</f>
        <v>330.7</v>
      </c>
      <c r="P101" s="157">
        <f>N101/30</f>
        <v>904.66666666666663</v>
      </c>
    </row>
    <row r="102" spans="1:16" ht="12" customHeight="1" thickBot="1">
      <c r="A102" s="475"/>
      <c r="B102" s="127">
        <v>12</v>
      </c>
      <c r="C102" s="363">
        <v>2598</v>
      </c>
      <c r="D102" s="363">
        <v>7756</v>
      </c>
      <c r="E102" s="363">
        <v>96</v>
      </c>
      <c r="F102" s="363">
        <v>151</v>
      </c>
      <c r="G102" s="363">
        <v>2650</v>
      </c>
      <c r="H102" s="363">
        <v>6792</v>
      </c>
      <c r="I102" s="363">
        <v>1120</v>
      </c>
      <c r="J102" s="363">
        <v>2086</v>
      </c>
      <c r="K102" s="363">
        <v>1266</v>
      </c>
      <c r="L102" s="364">
        <v>5017</v>
      </c>
      <c r="M102" s="154">
        <f t="shared" si="8"/>
        <v>7730</v>
      </c>
      <c r="N102" s="155">
        <f t="shared" si="9"/>
        <v>21802</v>
      </c>
      <c r="O102" s="156">
        <f>M102/31</f>
        <v>249.35483870967741</v>
      </c>
      <c r="P102" s="157">
        <f>N102/31</f>
        <v>703.29032258064512</v>
      </c>
    </row>
    <row r="103" spans="1:16" ht="12" customHeight="1">
      <c r="A103" s="473">
        <v>2020</v>
      </c>
      <c r="B103" s="410">
        <v>1</v>
      </c>
      <c r="C103" s="434">
        <v>1796</v>
      </c>
      <c r="D103" s="434">
        <v>4988</v>
      </c>
      <c r="E103" s="434">
        <v>166</v>
      </c>
      <c r="F103" s="434">
        <v>259</v>
      </c>
      <c r="G103" s="434">
        <v>2126</v>
      </c>
      <c r="H103" s="434">
        <v>6110</v>
      </c>
      <c r="I103" s="434">
        <v>1261</v>
      </c>
      <c r="J103" s="434">
        <v>3947</v>
      </c>
      <c r="K103" s="434">
        <v>793</v>
      </c>
      <c r="L103" s="436">
        <v>2500</v>
      </c>
      <c r="M103" s="424">
        <f t="shared" ref="M103:M114" si="10">+C103+E103+G103+I103+K103</f>
        <v>6142</v>
      </c>
      <c r="N103" s="425">
        <f t="shared" ref="N103:N114" si="11">+D103+F103+H103+J103+L103</f>
        <v>17804</v>
      </c>
      <c r="O103" s="426">
        <f>M103/31</f>
        <v>198.12903225806451</v>
      </c>
      <c r="P103" s="427">
        <f>N103/31</f>
        <v>574.32258064516134</v>
      </c>
    </row>
    <row r="104" spans="1:16" ht="12" customHeight="1">
      <c r="A104" s="474"/>
      <c r="B104" s="127">
        <v>2</v>
      </c>
      <c r="C104" s="147">
        <v>1274</v>
      </c>
      <c r="D104" s="147">
        <v>3473</v>
      </c>
      <c r="E104" s="147">
        <v>70</v>
      </c>
      <c r="F104" s="147">
        <v>147</v>
      </c>
      <c r="G104" s="147">
        <v>602</v>
      </c>
      <c r="H104" s="147">
        <v>2766</v>
      </c>
      <c r="I104" s="147">
        <v>197</v>
      </c>
      <c r="J104" s="147">
        <v>747</v>
      </c>
      <c r="K104" s="147">
        <v>334</v>
      </c>
      <c r="L104" s="148">
        <v>1864</v>
      </c>
      <c r="M104" s="149">
        <f t="shared" si="10"/>
        <v>2477</v>
      </c>
      <c r="N104" s="150">
        <f t="shared" si="11"/>
        <v>8997</v>
      </c>
      <c r="O104" s="151">
        <f>M104/28</f>
        <v>88.464285714285708</v>
      </c>
      <c r="P104" s="152">
        <f>N104/28</f>
        <v>321.32142857142856</v>
      </c>
    </row>
    <row r="105" spans="1:16" ht="12" customHeight="1">
      <c r="A105" s="474"/>
      <c r="B105" s="127">
        <v>3</v>
      </c>
      <c r="C105" s="147">
        <v>432</v>
      </c>
      <c r="D105" s="147">
        <v>1051</v>
      </c>
      <c r="E105" s="147">
        <v>13</v>
      </c>
      <c r="F105" s="147">
        <v>32</v>
      </c>
      <c r="G105" s="147">
        <v>38</v>
      </c>
      <c r="H105" s="147">
        <v>128</v>
      </c>
      <c r="I105" s="147">
        <v>8</v>
      </c>
      <c r="J105" s="147">
        <v>14</v>
      </c>
      <c r="K105" s="147">
        <v>1</v>
      </c>
      <c r="L105" s="148">
        <v>44</v>
      </c>
      <c r="M105" s="149">
        <f t="shared" si="10"/>
        <v>492</v>
      </c>
      <c r="N105" s="150">
        <f t="shared" si="11"/>
        <v>1269</v>
      </c>
      <c r="O105" s="151">
        <f>M105/31</f>
        <v>15.870967741935484</v>
      </c>
      <c r="P105" s="152">
        <f>N105/31</f>
        <v>40.935483870967744</v>
      </c>
    </row>
    <row r="106" spans="1:16" ht="12" customHeight="1">
      <c r="A106" s="474"/>
      <c r="B106" s="127">
        <v>4</v>
      </c>
      <c r="C106" s="147">
        <v>37</v>
      </c>
      <c r="D106" s="147">
        <v>106</v>
      </c>
      <c r="E106" s="147">
        <v>0</v>
      </c>
      <c r="F106" s="147">
        <v>0</v>
      </c>
      <c r="G106" s="147">
        <v>2</v>
      </c>
      <c r="H106" s="147">
        <v>7</v>
      </c>
      <c r="I106" s="147">
        <v>3</v>
      </c>
      <c r="J106" s="147">
        <v>3</v>
      </c>
      <c r="K106" s="147">
        <v>0</v>
      </c>
      <c r="L106" s="148">
        <v>0</v>
      </c>
      <c r="M106" s="149">
        <f t="shared" si="10"/>
        <v>42</v>
      </c>
      <c r="N106" s="150">
        <f t="shared" si="11"/>
        <v>116</v>
      </c>
      <c r="O106" s="151">
        <f>M106/30</f>
        <v>1.4</v>
      </c>
      <c r="P106" s="152">
        <f>N106/30</f>
        <v>3.8666666666666667</v>
      </c>
    </row>
    <row r="107" spans="1:16" ht="12" customHeight="1">
      <c r="A107" s="474"/>
      <c r="B107" s="127">
        <v>5</v>
      </c>
      <c r="C107" s="147">
        <v>57</v>
      </c>
      <c r="D107" s="147">
        <v>88</v>
      </c>
      <c r="E107" s="147">
        <v>5</v>
      </c>
      <c r="F107" s="147">
        <v>9</v>
      </c>
      <c r="G107" s="147">
        <v>1</v>
      </c>
      <c r="H107" s="147">
        <v>1</v>
      </c>
      <c r="I107" s="147">
        <v>1</v>
      </c>
      <c r="J107" s="147">
        <v>1</v>
      </c>
      <c r="K107" s="147">
        <v>0</v>
      </c>
      <c r="L107" s="148">
        <v>0</v>
      </c>
      <c r="M107" s="154">
        <f t="shared" si="10"/>
        <v>64</v>
      </c>
      <c r="N107" s="155">
        <f t="shared" si="11"/>
        <v>99</v>
      </c>
      <c r="O107" s="156">
        <f>M107/31</f>
        <v>2.064516129032258</v>
      </c>
      <c r="P107" s="157">
        <f>N107/31</f>
        <v>3.193548387096774</v>
      </c>
    </row>
    <row r="108" spans="1:16" ht="12" customHeight="1">
      <c r="A108" s="474"/>
      <c r="B108" s="127">
        <v>6</v>
      </c>
      <c r="C108" s="147">
        <f>集計用!C20+集計用!C32</f>
        <v>66</v>
      </c>
      <c r="D108" s="147">
        <f>集計用!S20+集計用!S32</f>
        <v>108</v>
      </c>
      <c r="E108" s="147">
        <f>集計用!E20+集計用!E32</f>
        <v>4</v>
      </c>
      <c r="F108" s="147">
        <f>集計用!U20+集計用!U32</f>
        <v>6</v>
      </c>
      <c r="G108" s="147">
        <f>集計用!G20+集計用!G32</f>
        <v>2</v>
      </c>
      <c r="H108" s="147">
        <f>集計用!W20+集計用!W32</f>
        <v>2</v>
      </c>
      <c r="I108" s="147">
        <f>集計用!I20+集計用!I32</f>
        <v>4</v>
      </c>
      <c r="J108" s="147">
        <f>集計用!Y20+集計用!Y32</f>
        <v>8</v>
      </c>
      <c r="K108" s="147">
        <f>集計用!K32</f>
        <v>0</v>
      </c>
      <c r="L108" s="148">
        <f>集計用!AA32</f>
        <v>0</v>
      </c>
      <c r="M108" s="154">
        <f t="shared" si="10"/>
        <v>76</v>
      </c>
      <c r="N108" s="155">
        <f t="shared" si="11"/>
        <v>124</v>
      </c>
      <c r="O108" s="156">
        <f>M108/30</f>
        <v>2.5333333333333332</v>
      </c>
      <c r="P108" s="157">
        <f>N108/30</f>
        <v>4.1333333333333337</v>
      </c>
    </row>
    <row r="109" spans="1:16" ht="12" customHeight="1">
      <c r="A109" s="474"/>
      <c r="B109" s="127">
        <v>7</v>
      </c>
      <c r="C109" s="158"/>
      <c r="D109" s="158"/>
      <c r="E109" s="158"/>
      <c r="F109" s="158"/>
      <c r="G109" s="158"/>
      <c r="H109" s="158"/>
      <c r="I109" s="158"/>
      <c r="J109" s="158"/>
      <c r="K109" s="158"/>
      <c r="L109" s="159"/>
      <c r="M109" s="154">
        <f t="shared" si="10"/>
        <v>0</v>
      </c>
      <c r="N109" s="155">
        <f t="shared" si="11"/>
        <v>0</v>
      </c>
      <c r="O109" s="156">
        <f>M109/31</f>
        <v>0</v>
      </c>
      <c r="P109" s="157">
        <f>N109/31</f>
        <v>0</v>
      </c>
    </row>
    <row r="110" spans="1:16" ht="12" customHeight="1">
      <c r="A110" s="474"/>
      <c r="B110" s="127">
        <v>8</v>
      </c>
      <c r="C110" s="158"/>
      <c r="D110" s="158"/>
      <c r="E110" s="158"/>
      <c r="F110" s="158"/>
      <c r="G110" s="158"/>
      <c r="H110" s="158"/>
      <c r="I110" s="158"/>
      <c r="J110" s="158"/>
      <c r="K110" s="158"/>
      <c r="L110" s="159"/>
      <c r="M110" s="154">
        <f t="shared" si="10"/>
        <v>0</v>
      </c>
      <c r="N110" s="155">
        <f t="shared" si="11"/>
        <v>0</v>
      </c>
      <c r="O110" s="156">
        <f>M110/31</f>
        <v>0</v>
      </c>
      <c r="P110" s="157">
        <f>N110/31</f>
        <v>0</v>
      </c>
    </row>
    <row r="111" spans="1:16" ht="12" customHeight="1">
      <c r="A111" s="474"/>
      <c r="B111" s="127">
        <v>9</v>
      </c>
      <c r="C111" s="158"/>
      <c r="D111" s="158"/>
      <c r="E111" s="158"/>
      <c r="F111" s="158"/>
      <c r="G111" s="158"/>
      <c r="H111" s="158"/>
      <c r="I111" s="158"/>
      <c r="J111" s="158"/>
      <c r="K111" s="158"/>
      <c r="L111" s="159"/>
      <c r="M111" s="154">
        <f t="shared" si="10"/>
        <v>0</v>
      </c>
      <c r="N111" s="155">
        <f t="shared" si="11"/>
        <v>0</v>
      </c>
      <c r="O111" s="156">
        <f>M111/30</f>
        <v>0</v>
      </c>
      <c r="P111" s="157">
        <f>N111/30</f>
        <v>0</v>
      </c>
    </row>
    <row r="112" spans="1:16" ht="12" customHeight="1">
      <c r="A112" s="474"/>
      <c r="B112" s="127">
        <v>10</v>
      </c>
      <c r="C112" s="147"/>
      <c r="D112" s="147"/>
      <c r="E112" s="147"/>
      <c r="F112" s="147"/>
      <c r="G112" s="147"/>
      <c r="H112" s="147"/>
      <c r="I112" s="147"/>
      <c r="J112" s="147"/>
      <c r="K112" s="147"/>
      <c r="L112" s="148"/>
      <c r="M112" s="154">
        <f t="shared" si="10"/>
        <v>0</v>
      </c>
      <c r="N112" s="155">
        <f t="shared" si="11"/>
        <v>0</v>
      </c>
      <c r="O112" s="156">
        <f>M112/31</f>
        <v>0</v>
      </c>
      <c r="P112" s="157">
        <f>N112/31</f>
        <v>0</v>
      </c>
    </row>
    <row r="113" spans="1:16" ht="12" customHeight="1">
      <c r="A113" s="474"/>
      <c r="B113" s="127">
        <v>11</v>
      </c>
      <c r="C113" s="363"/>
      <c r="D113" s="363"/>
      <c r="E113" s="363"/>
      <c r="F113" s="363"/>
      <c r="G113" s="363"/>
      <c r="H113" s="363"/>
      <c r="I113" s="363"/>
      <c r="J113" s="363"/>
      <c r="K113" s="363"/>
      <c r="L113" s="364"/>
      <c r="M113" s="154">
        <f t="shared" si="10"/>
        <v>0</v>
      </c>
      <c r="N113" s="155">
        <f t="shared" si="11"/>
        <v>0</v>
      </c>
      <c r="O113" s="156">
        <f>M113/30</f>
        <v>0</v>
      </c>
      <c r="P113" s="157">
        <f>N113/30</f>
        <v>0</v>
      </c>
    </row>
    <row r="114" spans="1:16" ht="12" customHeight="1" thickBot="1">
      <c r="A114" s="475"/>
      <c r="B114" s="127">
        <v>12</v>
      </c>
      <c r="C114" s="158"/>
      <c r="D114" s="158"/>
      <c r="E114" s="158"/>
      <c r="F114" s="158"/>
      <c r="G114" s="158"/>
      <c r="H114" s="158"/>
      <c r="I114" s="158"/>
      <c r="J114" s="158"/>
      <c r="K114" s="158"/>
      <c r="L114" s="159"/>
      <c r="M114" s="154">
        <f t="shared" si="10"/>
        <v>0</v>
      </c>
      <c r="N114" s="155">
        <f t="shared" si="11"/>
        <v>0</v>
      </c>
      <c r="O114" s="156">
        <f>M114/31</f>
        <v>0</v>
      </c>
      <c r="P114" s="157">
        <f>N114/31</f>
        <v>0</v>
      </c>
    </row>
    <row r="115" spans="1:16" s="2" customFormat="1" ht="18" customHeight="1" thickBot="1">
      <c r="B115" s="160" t="s">
        <v>5</v>
      </c>
      <c r="C115" s="161">
        <f>SUM(C7:C114)</f>
        <v>216861</v>
      </c>
      <c r="D115" s="161">
        <f t="shared" ref="D115:L115" si="12">SUM(D7:D114)</f>
        <v>415016</v>
      </c>
      <c r="E115" s="161">
        <f t="shared" si="12"/>
        <v>20426</v>
      </c>
      <c r="F115" s="161">
        <f t="shared" si="12"/>
        <v>30049</v>
      </c>
      <c r="G115" s="161">
        <f t="shared" si="12"/>
        <v>118701</v>
      </c>
      <c r="H115" s="161">
        <f t="shared" si="12"/>
        <v>244395</v>
      </c>
      <c r="I115" s="161">
        <f t="shared" si="12"/>
        <v>38980</v>
      </c>
      <c r="J115" s="161">
        <f t="shared" si="12"/>
        <v>82936</v>
      </c>
      <c r="K115" s="161">
        <f t="shared" si="12"/>
        <v>26129</v>
      </c>
      <c r="L115" s="161">
        <f t="shared" si="12"/>
        <v>81349</v>
      </c>
      <c r="M115" s="162">
        <f>SUM(M7:M114)</f>
        <v>421097</v>
      </c>
      <c r="N115" s="162">
        <f t="shared" ref="N115:P115" si="13">SUM(N7:N114)</f>
        <v>853745</v>
      </c>
      <c r="O115" s="162">
        <f t="shared" si="13"/>
        <v>13789.179890354364</v>
      </c>
      <c r="P115" s="162">
        <f t="shared" si="13"/>
        <v>28005.944774617295</v>
      </c>
    </row>
    <row r="116" spans="1:16" ht="6" customHeight="1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>
      <c r="B117" s="490" t="s">
        <v>154</v>
      </c>
      <c r="C117" s="469" t="s">
        <v>29</v>
      </c>
      <c r="D117" s="470"/>
      <c r="E117" s="469" t="s">
        <v>30</v>
      </c>
      <c r="F117" s="470"/>
      <c r="G117" s="469" t="s">
        <v>31</v>
      </c>
      <c r="H117" s="470"/>
      <c r="I117" s="469" t="s">
        <v>58</v>
      </c>
      <c r="J117" s="470"/>
      <c r="K117" s="469" t="s">
        <v>57</v>
      </c>
      <c r="L117" s="471"/>
      <c r="M117" s="479" t="s">
        <v>5</v>
      </c>
      <c r="N117" s="470"/>
      <c r="O117" s="472" t="s">
        <v>33</v>
      </c>
      <c r="P117" s="472"/>
    </row>
    <row r="118" spans="1:16" ht="12" customHeight="1" thickBot="1">
      <c r="B118" s="468"/>
      <c r="C118" s="13" t="s">
        <v>34</v>
      </c>
      <c r="D118" s="13" t="s">
        <v>35</v>
      </c>
      <c r="E118" s="13" t="s">
        <v>34</v>
      </c>
      <c r="F118" s="13" t="s">
        <v>35</v>
      </c>
      <c r="G118" s="13" t="s">
        <v>34</v>
      </c>
      <c r="H118" s="13" t="s">
        <v>35</v>
      </c>
      <c r="I118" s="13" t="s">
        <v>59</v>
      </c>
      <c r="J118" s="13" t="s">
        <v>60</v>
      </c>
      <c r="K118" s="13" t="s">
        <v>34</v>
      </c>
      <c r="L118" s="14" t="s">
        <v>35</v>
      </c>
      <c r="M118" s="15" t="s">
        <v>34</v>
      </c>
      <c r="N118" s="13" t="s">
        <v>35</v>
      </c>
      <c r="O118" s="163" t="s">
        <v>34</v>
      </c>
      <c r="P118" s="163" t="s">
        <v>35</v>
      </c>
    </row>
    <row r="119" spans="1:16" ht="9.75" customHeight="1">
      <c r="A119" s="484">
        <v>2012</v>
      </c>
      <c r="B119" s="410">
        <v>1</v>
      </c>
      <c r="C119" s="411" t="s">
        <v>43</v>
      </c>
      <c r="D119" s="411" t="s">
        <v>43</v>
      </c>
      <c r="E119" s="411" t="s">
        <v>43</v>
      </c>
      <c r="F119" s="411" t="s">
        <v>43</v>
      </c>
      <c r="G119" s="411" t="s">
        <v>43</v>
      </c>
      <c r="H119" s="411" t="s">
        <v>43</v>
      </c>
      <c r="I119" s="411" t="s">
        <v>61</v>
      </c>
      <c r="J119" s="411" t="s">
        <v>61</v>
      </c>
      <c r="K119" s="411"/>
      <c r="L119" s="412"/>
      <c r="M119" s="413" t="s">
        <v>43</v>
      </c>
      <c r="N119" s="411" t="s">
        <v>43</v>
      </c>
      <c r="O119" s="414" t="s">
        <v>43</v>
      </c>
      <c r="P119" s="415" t="s">
        <v>43</v>
      </c>
    </row>
    <row r="120" spans="1:16" ht="9.75" customHeight="1">
      <c r="A120" s="485"/>
      <c r="B120" s="127">
        <v>2</v>
      </c>
      <c r="C120" s="128" t="s">
        <v>43</v>
      </c>
      <c r="D120" s="128" t="s">
        <v>43</v>
      </c>
      <c r="E120" s="128" t="s">
        <v>43</v>
      </c>
      <c r="F120" s="128" t="s">
        <v>43</v>
      </c>
      <c r="G120" s="128" t="s">
        <v>43</v>
      </c>
      <c r="H120" s="128" t="s">
        <v>43</v>
      </c>
      <c r="I120" s="128" t="s">
        <v>61</v>
      </c>
      <c r="J120" s="128" t="s">
        <v>61</v>
      </c>
      <c r="K120" s="128"/>
      <c r="L120" s="129"/>
      <c r="M120" s="130" t="s">
        <v>43</v>
      </c>
      <c r="N120" s="128" t="s">
        <v>43</v>
      </c>
      <c r="O120" s="131" t="s">
        <v>43</v>
      </c>
      <c r="P120" s="132" t="s">
        <v>43</v>
      </c>
    </row>
    <row r="121" spans="1:16" ht="9.75" customHeight="1">
      <c r="A121" s="485"/>
      <c r="B121" s="127">
        <v>3</v>
      </c>
      <c r="C121" s="128" t="s">
        <v>43</v>
      </c>
      <c r="D121" s="128" t="s">
        <v>43</v>
      </c>
      <c r="E121" s="128" t="s">
        <v>43</v>
      </c>
      <c r="F121" s="128" t="s">
        <v>43</v>
      </c>
      <c r="G121" s="128" t="s">
        <v>43</v>
      </c>
      <c r="H121" s="128" t="s">
        <v>43</v>
      </c>
      <c r="I121" s="128" t="s">
        <v>61</v>
      </c>
      <c r="J121" s="128" t="s">
        <v>61</v>
      </c>
      <c r="K121" s="128"/>
      <c r="L121" s="129"/>
      <c r="M121" s="130" t="s">
        <v>43</v>
      </c>
      <c r="N121" s="128" t="s">
        <v>43</v>
      </c>
      <c r="O121" s="131" t="s">
        <v>43</v>
      </c>
      <c r="P121" s="132" t="s">
        <v>43</v>
      </c>
    </row>
    <row r="122" spans="1:16" ht="9.75" customHeight="1">
      <c r="A122" s="485"/>
      <c r="B122" s="127">
        <v>4</v>
      </c>
      <c r="C122" s="128">
        <v>33</v>
      </c>
      <c r="D122" s="128">
        <v>42</v>
      </c>
      <c r="E122" s="128">
        <v>1</v>
      </c>
      <c r="F122" s="128">
        <v>0</v>
      </c>
      <c r="G122" s="128">
        <v>0</v>
      </c>
      <c r="H122" s="128">
        <v>0</v>
      </c>
      <c r="I122" s="128">
        <v>0</v>
      </c>
      <c r="J122" s="128">
        <v>0</v>
      </c>
      <c r="K122" s="128"/>
      <c r="L122" s="129"/>
      <c r="M122" s="130">
        <f t="shared" ref="M122:N129" si="14">+C122+E122+G122+I122+K122</f>
        <v>34</v>
      </c>
      <c r="N122" s="128">
        <f t="shared" si="14"/>
        <v>42</v>
      </c>
      <c r="O122" s="131">
        <f>M122/30</f>
        <v>1.1333333333333333</v>
      </c>
      <c r="P122" s="132">
        <f>N122/30</f>
        <v>1.4</v>
      </c>
    </row>
    <row r="123" spans="1:16" ht="9.75" customHeight="1">
      <c r="A123" s="485"/>
      <c r="B123" s="127">
        <v>5</v>
      </c>
      <c r="C123" s="128">
        <v>19</v>
      </c>
      <c r="D123" s="128">
        <v>159</v>
      </c>
      <c r="E123" s="128">
        <v>2</v>
      </c>
      <c r="F123" s="128">
        <v>10</v>
      </c>
      <c r="G123" s="128">
        <v>2</v>
      </c>
      <c r="H123" s="128">
        <v>6</v>
      </c>
      <c r="I123" s="128">
        <v>4</v>
      </c>
      <c r="J123" s="128">
        <v>12</v>
      </c>
      <c r="K123" s="128"/>
      <c r="L123" s="129"/>
      <c r="M123" s="130">
        <f t="shared" si="14"/>
        <v>27</v>
      </c>
      <c r="N123" s="128">
        <f t="shared" si="14"/>
        <v>187</v>
      </c>
      <c r="O123" s="131">
        <f>M123/31</f>
        <v>0.87096774193548387</v>
      </c>
      <c r="P123" s="132">
        <f>N123/31</f>
        <v>6.032258064516129</v>
      </c>
    </row>
    <row r="124" spans="1:16" ht="9.75" customHeight="1">
      <c r="A124" s="485"/>
      <c r="B124" s="127">
        <v>6</v>
      </c>
      <c r="C124" s="128">
        <v>258</v>
      </c>
      <c r="D124" s="128">
        <v>188</v>
      </c>
      <c r="E124" s="128">
        <v>6</v>
      </c>
      <c r="F124" s="128">
        <v>0</v>
      </c>
      <c r="G124" s="128">
        <v>3</v>
      </c>
      <c r="H124" s="128">
        <v>0</v>
      </c>
      <c r="I124" s="128">
        <v>2</v>
      </c>
      <c r="J124" s="128">
        <v>0</v>
      </c>
      <c r="K124" s="128"/>
      <c r="L124" s="129"/>
      <c r="M124" s="130">
        <f t="shared" si="14"/>
        <v>269</v>
      </c>
      <c r="N124" s="128">
        <f t="shared" si="14"/>
        <v>188</v>
      </c>
      <c r="O124" s="131">
        <f>M124/30</f>
        <v>8.9666666666666668</v>
      </c>
      <c r="P124" s="132">
        <f>N124/30</f>
        <v>6.2666666666666666</v>
      </c>
    </row>
    <row r="125" spans="1:16" ht="9.75" customHeight="1">
      <c r="A125" s="485"/>
      <c r="B125" s="127">
        <v>7</v>
      </c>
      <c r="C125" s="128">
        <v>988</v>
      </c>
      <c r="D125" s="128">
        <v>3008</v>
      </c>
      <c r="E125" s="128">
        <v>11</v>
      </c>
      <c r="F125" s="128">
        <v>34</v>
      </c>
      <c r="G125" s="128">
        <v>5</v>
      </c>
      <c r="H125" s="128">
        <v>11</v>
      </c>
      <c r="I125" s="128">
        <v>10</v>
      </c>
      <c r="J125" s="128">
        <v>29</v>
      </c>
      <c r="K125" s="128"/>
      <c r="L125" s="129"/>
      <c r="M125" s="130">
        <f t="shared" si="14"/>
        <v>1014</v>
      </c>
      <c r="N125" s="128">
        <f t="shared" si="14"/>
        <v>3082</v>
      </c>
      <c r="O125" s="131">
        <f>M125/31</f>
        <v>32.70967741935484</v>
      </c>
      <c r="P125" s="132">
        <f>N125/31</f>
        <v>99.41935483870968</v>
      </c>
    </row>
    <row r="126" spans="1:16" ht="9.75" customHeight="1">
      <c r="A126" s="485"/>
      <c r="B126" s="127">
        <v>8</v>
      </c>
      <c r="C126" s="128">
        <v>893</v>
      </c>
      <c r="D126" s="128">
        <v>2185</v>
      </c>
      <c r="E126" s="128">
        <v>12</v>
      </c>
      <c r="F126" s="128">
        <v>29</v>
      </c>
      <c r="G126" s="128">
        <v>4</v>
      </c>
      <c r="H126" s="128">
        <v>5</v>
      </c>
      <c r="I126" s="128">
        <v>17</v>
      </c>
      <c r="J126" s="128">
        <v>44</v>
      </c>
      <c r="K126" s="128"/>
      <c r="L126" s="129"/>
      <c r="M126" s="130">
        <f t="shared" si="14"/>
        <v>926</v>
      </c>
      <c r="N126" s="128">
        <f t="shared" si="14"/>
        <v>2263</v>
      </c>
      <c r="O126" s="131">
        <f>M126/31</f>
        <v>29.870967741935484</v>
      </c>
      <c r="P126" s="132">
        <f>N126/31</f>
        <v>73</v>
      </c>
    </row>
    <row r="127" spans="1:16" ht="9.75" customHeight="1">
      <c r="A127" s="485"/>
      <c r="B127" s="127">
        <v>9</v>
      </c>
      <c r="C127" s="128">
        <v>127</v>
      </c>
      <c r="D127" s="128">
        <v>319</v>
      </c>
      <c r="E127" s="128">
        <v>2</v>
      </c>
      <c r="F127" s="128">
        <v>8</v>
      </c>
      <c r="G127" s="128">
        <v>0</v>
      </c>
      <c r="H127" s="128">
        <v>0</v>
      </c>
      <c r="I127" s="128">
        <v>0</v>
      </c>
      <c r="J127" s="128">
        <v>0</v>
      </c>
      <c r="K127" s="128"/>
      <c r="L127" s="129"/>
      <c r="M127" s="130">
        <f t="shared" si="14"/>
        <v>129</v>
      </c>
      <c r="N127" s="128">
        <f t="shared" si="14"/>
        <v>327</v>
      </c>
      <c r="O127" s="131">
        <f>M127/30</f>
        <v>4.3</v>
      </c>
      <c r="P127" s="132">
        <f>N127/30</f>
        <v>10.9</v>
      </c>
    </row>
    <row r="128" spans="1:16" ht="9.75" customHeight="1">
      <c r="A128" s="485"/>
      <c r="B128" s="127">
        <v>10</v>
      </c>
      <c r="C128" s="128">
        <v>44</v>
      </c>
      <c r="D128" s="128">
        <v>180</v>
      </c>
      <c r="E128" s="128">
        <v>0</v>
      </c>
      <c r="F128" s="128">
        <v>0</v>
      </c>
      <c r="G128" s="128">
        <v>0</v>
      </c>
      <c r="H128" s="128">
        <v>0</v>
      </c>
      <c r="I128" s="128">
        <v>0</v>
      </c>
      <c r="J128" s="128">
        <v>0</v>
      </c>
      <c r="K128" s="128"/>
      <c r="L128" s="129"/>
      <c r="M128" s="130">
        <f t="shared" si="14"/>
        <v>44</v>
      </c>
      <c r="N128" s="128">
        <f t="shared" si="14"/>
        <v>180</v>
      </c>
      <c r="O128" s="131">
        <f>M128/31</f>
        <v>1.4193548387096775</v>
      </c>
      <c r="P128" s="132">
        <f>N128/31</f>
        <v>5.806451612903226</v>
      </c>
    </row>
    <row r="129" spans="1:16" ht="9.75" customHeight="1">
      <c r="A129" s="485"/>
      <c r="B129" s="127">
        <v>11</v>
      </c>
      <c r="C129" s="128">
        <v>5</v>
      </c>
      <c r="D129" s="128">
        <v>19</v>
      </c>
      <c r="E129" s="128">
        <v>0</v>
      </c>
      <c r="F129" s="128">
        <v>0</v>
      </c>
      <c r="G129" s="128">
        <v>0</v>
      </c>
      <c r="H129" s="128">
        <v>0</v>
      </c>
      <c r="I129" s="128">
        <v>0</v>
      </c>
      <c r="J129" s="128">
        <v>0</v>
      </c>
      <c r="K129" s="128"/>
      <c r="L129" s="129"/>
      <c r="M129" s="130">
        <f t="shared" si="14"/>
        <v>5</v>
      </c>
      <c r="N129" s="128">
        <f t="shared" si="14"/>
        <v>19</v>
      </c>
      <c r="O129" s="131">
        <f>M129/30</f>
        <v>0.16666666666666666</v>
      </c>
      <c r="P129" s="132">
        <f>N129/30</f>
        <v>0.6333333333333333</v>
      </c>
    </row>
    <row r="130" spans="1:16" ht="9.75" customHeight="1" thickBot="1">
      <c r="A130" s="486"/>
      <c r="B130" s="127">
        <v>12</v>
      </c>
      <c r="C130" s="182" t="s">
        <v>43</v>
      </c>
      <c r="D130" s="182" t="s">
        <v>43</v>
      </c>
      <c r="E130" s="182" t="s">
        <v>43</v>
      </c>
      <c r="F130" s="182" t="s">
        <v>43</v>
      </c>
      <c r="G130" s="182" t="s">
        <v>43</v>
      </c>
      <c r="H130" s="182" t="s">
        <v>43</v>
      </c>
      <c r="I130" s="182" t="s">
        <v>61</v>
      </c>
      <c r="J130" s="182" t="s">
        <v>61</v>
      </c>
      <c r="K130" s="182"/>
      <c r="L130" s="183"/>
      <c r="M130" s="184" t="s">
        <v>43</v>
      </c>
      <c r="N130" s="182" t="s">
        <v>43</v>
      </c>
      <c r="O130" s="185" t="s">
        <v>43</v>
      </c>
      <c r="P130" s="186" t="s">
        <v>43</v>
      </c>
    </row>
    <row r="131" spans="1:16" s="3" customFormat="1" ht="9.75" customHeight="1">
      <c r="A131" s="484">
        <v>2013</v>
      </c>
      <c r="B131" s="410">
        <v>1</v>
      </c>
      <c r="C131" s="411" t="s">
        <v>43</v>
      </c>
      <c r="D131" s="411" t="s">
        <v>43</v>
      </c>
      <c r="E131" s="411" t="s">
        <v>43</v>
      </c>
      <c r="F131" s="411" t="s">
        <v>43</v>
      </c>
      <c r="G131" s="411" t="s">
        <v>43</v>
      </c>
      <c r="H131" s="411" t="s">
        <v>43</v>
      </c>
      <c r="I131" s="411" t="s">
        <v>61</v>
      </c>
      <c r="J131" s="411" t="s">
        <v>61</v>
      </c>
      <c r="K131" s="411"/>
      <c r="L131" s="412"/>
      <c r="M131" s="413" t="s">
        <v>43</v>
      </c>
      <c r="N131" s="411" t="s">
        <v>43</v>
      </c>
      <c r="O131" s="414" t="s">
        <v>43</v>
      </c>
      <c r="P131" s="415" t="s">
        <v>43</v>
      </c>
    </row>
    <row r="132" spans="1:16" s="3" customFormat="1" ht="9.75" customHeight="1">
      <c r="A132" s="485"/>
      <c r="B132" s="127">
        <v>2</v>
      </c>
      <c r="C132" s="128" t="s">
        <v>43</v>
      </c>
      <c r="D132" s="128" t="s">
        <v>43</v>
      </c>
      <c r="E132" s="128" t="s">
        <v>43</v>
      </c>
      <c r="F132" s="128" t="s">
        <v>43</v>
      </c>
      <c r="G132" s="128" t="s">
        <v>43</v>
      </c>
      <c r="H132" s="128" t="s">
        <v>43</v>
      </c>
      <c r="I132" s="128" t="s">
        <v>61</v>
      </c>
      <c r="J132" s="128" t="s">
        <v>61</v>
      </c>
      <c r="K132" s="128"/>
      <c r="L132" s="129"/>
      <c r="M132" s="130" t="s">
        <v>43</v>
      </c>
      <c r="N132" s="128" t="s">
        <v>43</v>
      </c>
      <c r="O132" s="131" t="s">
        <v>43</v>
      </c>
      <c r="P132" s="132" t="s">
        <v>43</v>
      </c>
    </row>
    <row r="133" spans="1:16" s="3" customFormat="1" ht="9.75" customHeight="1">
      <c r="A133" s="485"/>
      <c r="B133" s="127">
        <v>3</v>
      </c>
      <c r="C133" s="128">
        <v>2</v>
      </c>
      <c r="D133" s="128">
        <v>0</v>
      </c>
      <c r="E133" s="128">
        <v>0</v>
      </c>
      <c r="F133" s="128">
        <v>0</v>
      </c>
      <c r="G133" s="128">
        <v>0</v>
      </c>
      <c r="H133" s="128">
        <v>0</v>
      </c>
      <c r="I133" s="128">
        <v>0</v>
      </c>
      <c r="J133" s="128">
        <v>0</v>
      </c>
      <c r="K133" s="128"/>
      <c r="L133" s="129"/>
      <c r="M133" s="130">
        <f t="shared" ref="M133:M164" si="15">+C133+E133+G133+I133+K133</f>
        <v>2</v>
      </c>
      <c r="N133" s="128">
        <f t="shared" ref="N133:N164" si="16">+D133+F133+H133+J133+L133</f>
        <v>0</v>
      </c>
      <c r="O133" s="131">
        <f>M133/31</f>
        <v>6.4516129032258063E-2</v>
      </c>
      <c r="P133" s="132">
        <f>N133/31</f>
        <v>0</v>
      </c>
    </row>
    <row r="134" spans="1:16" s="3" customFormat="1" ht="9.75" customHeight="1">
      <c r="A134" s="485"/>
      <c r="B134" s="127">
        <v>4</v>
      </c>
      <c r="C134" s="128">
        <v>42</v>
      </c>
      <c r="D134" s="128">
        <v>60</v>
      </c>
      <c r="E134" s="128">
        <v>1</v>
      </c>
      <c r="F134" s="128">
        <v>2</v>
      </c>
      <c r="G134" s="128"/>
      <c r="H134" s="128">
        <v>0</v>
      </c>
      <c r="I134" s="128">
        <v>2</v>
      </c>
      <c r="J134" s="128">
        <v>3</v>
      </c>
      <c r="K134" s="128"/>
      <c r="L134" s="129"/>
      <c r="M134" s="130">
        <f t="shared" si="15"/>
        <v>45</v>
      </c>
      <c r="N134" s="128">
        <f t="shared" si="16"/>
        <v>65</v>
      </c>
      <c r="O134" s="131">
        <f>M134/30</f>
        <v>1.5</v>
      </c>
      <c r="P134" s="132">
        <f>N134/30</f>
        <v>2.1666666666666665</v>
      </c>
    </row>
    <row r="135" spans="1:16" s="3" customFormat="1" ht="9.75" customHeight="1">
      <c r="A135" s="485"/>
      <c r="B135" s="127">
        <v>5</v>
      </c>
      <c r="C135" s="128">
        <v>60</v>
      </c>
      <c r="D135" s="128">
        <v>180</v>
      </c>
      <c r="E135" s="128">
        <v>0</v>
      </c>
      <c r="F135" s="128">
        <v>0</v>
      </c>
      <c r="G135" s="128">
        <v>0</v>
      </c>
      <c r="H135" s="128">
        <v>0</v>
      </c>
      <c r="I135" s="128">
        <v>0</v>
      </c>
      <c r="J135" s="128">
        <v>0</v>
      </c>
      <c r="K135" s="128"/>
      <c r="L135" s="129"/>
      <c r="M135" s="130">
        <f t="shared" si="15"/>
        <v>60</v>
      </c>
      <c r="N135" s="128">
        <f t="shared" si="16"/>
        <v>180</v>
      </c>
      <c r="O135" s="131">
        <f>M135/31</f>
        <v>1.935483870967742</v>
      </c>
      <c r="P135" s="132">
        <f>N135/31</f>
        <v>5.806451612903226</v>
      </c>
    </row>
    <row r="136" spans="1:16" s="3" customFormat="1" ht="9.75" customHeight="1">
      <c r="A136" s="485"/>
      <c r="B136" s="127">
        <v>6</v>
      </c>
      <c r="C136" s="128">
        <v>348</v>
      </c>
      <c r="D136" s="128">
        <v>225</v>
      </c>
      <c r="E136" s="128">
        <v>7</v>
      </c>
      <c r="F136" s="128">
        <v>24</v>
      </c>
      <c r="G136" s="128">
        <v>13</v>
      </c>
      <c r="H136" s="128">
        <v>12</v>
      </c>
      <c r="I136" s="128">
        <v>15</v>
      </c>
      <c r="J136" s="128">
        <v>4</v>
      </c>
      <c r="K136" s="128"/>
      <c r="L136" s="129"/>
      <c r="M136" s="130">
        <f t="shared" si="15"/>
        <v>383</v>
      </c>
      <c r="N136" s="128">
        <f t="shared" si="16"/>
        <v>265</v>
      </c>
      <c r="O136" s="131">
        <f>M136/30</f>
        <v>12.766666666666667</v>
      </c>
      <c r="P136" s="132">
        <f>N136/30</f>
        <v>8.8333333333333339</v>
      </c>
    </row>
    <row r="137" spans="1:16" s="3" customFormat="1" ht="9.75" customHeight="1">
      <c r="A137" s="485"/>
      <c r="B137" s="127">
        <v>7</v>
      </c>
      <c r="C137" s="128">
        <v>1109</v>
      </c>
      <c r="D137" s="128">
        <v>2357</v>
      </c>
      <c r="E137" s="128">
        <v>29</v>
      </c>
      <c r="F137" s="128">
        <v>32</v>
      </c>
      <c r="G137" s="128">
        <v>20</v>
      </c>
      <c r="H137" s="128">
        <v>32</v>
      </c>
      <c r="I137" s="128">
        <v>35</v>
      </c>
      <c r="J137" s="128">
        <v>41</v>
      </c>
      <c r="K137" s="128"/>
      <c r="L137" s="129"/>
      <c r="M137" s="130">
        <f t="shared" si="15"/>
        <v>1193</v>
      </c>
      <c r="N137" s="128">
        <f t="shared" si="16"/>
        <v>2462</v>
      </c>
      <c r="O137" s="131">
        <f t="shared" ref="O137:O167" si="17">M137/31</f>
        <v>38.483870967741936</v>
      </c>
      <c r="P137" s="132">
        <f t="shared" ref="P137:P167" si="18">N137/31</f>
        <v>79.41935483870968</v>
      </c>
    </row>
    <row r="138" spans="1:16" s="3" customFormat="1" ht="9.75" customHeight="1">
      <c r="A138" s="485"/>
      <c r="B138" s="127">
        <v>8</v>
      </c>
      <c r="C138" s="128">
        <v>1038</v>
      </c>
      <c r="D138" s="128">
        <v>2901</v>
      </c>
      <c r="E138" s="128">
        <v>27</v>
      </c>
      <c r="F138" s="128">
        <v>83</v>
      </c>
      <c r="G138" s="128">
        <v>19</v>
      </c>
      <c r="H138" s="128">
        <v>55</v>
      </c>
      <c r="I138" s="128">
        <v>40</v>
      </c>
      <c r="J138" s="128">
        <v>111</v>
      </c>
      <c r="K138" s="128"/>
      <c r="L138" s="129"/>
      <c r="M138" s="130">
        <f t="shared" si="15"/>
        <v>1124</v>
      </c>
      <c r="N138" s="128">
        <f t="shared" si="16"/>
        <v>3150</v>
      </c>
      <c r="O138" s="131">
        <f t="shared" si="17"/>
        <v>36.258064516129032</v>
      </c>
      <c r="P138" s="132">
        <f t="shared" si="18"/>
        <v>101.61290322580645</v>
      </c>
    </row>
    <row r="139" spans="1:16" s="3" customFormat="1" ht="9.75" customHeight="1">
      <c r="A139" s="485"/>
      <c r="B139" s="127">
        <v>9</v>
      </c>
      <c r="C139" s="133">
        <v>215</v>
      </c>
      <c r="D139" s="133">
        <v>592</v>
      </c>
      <c r="E139" s="133">
        <v>4</v>
      </c>
      <c r="F139" s="133">
        <v>7</v>
      </c>
      <c r="G139" s="133">
        <v>5</v>
      </c>
      <c r="H139" s="133">
        <v>18</v>
      </c>
      <c r="I139" s="133">
        <v>9</v>
      </c>
      <c r="J139" s="133">
        <v>28</v>
      </c>
      <c r="K139" s="133"/>
      <c r="L139" s="134"/>
      <c r="M139" s="135">
        <f t="shared" si="15"/>
        <v>233</v>
      </c>
      <c r="N139" s="133">
        <f t="shared" si="16"/>
        <v>645</v>
      </c>
      <c r="O139" s="136">
        <f t="shared" si="17"/>
        <v>7.5161290322580649</v>
      </c>
      <c r="P139" s="137">
        <f t="shared" si="18"/>
        <v>20.806451612903224</v>
      </c>
    </row>
    <row r="140" spans="1:16" s="3" customFormat="1" ht="9.75" customHeight="1">
      <c r="A140" s="485"/>
      <c r="B140" s="127">
        <v>10</v>
      </c>
      <c r="C140" s="128">
        <v>53</v>
      </c>
      <c r="D140" s="128">
        <v>176</v>
      </c>
      <c r="E140" s="128">
        <v>2</v>
      </c>
      <c r="F140" s="128">
        <v>1</v>
      </c>
      <c r="G140" s="128">
        <v>6</v>
      </c>
      <c r="H140" s="128">
        <v>24</v>
      </c>
      <c r="I140" s="128">
        <v>6</v>
      </c>
      <c r="J140" s="128">
        <v>11</v>
      </c>
      <c r="K140" s="128"/>
      <c r="L140" s="129"/>
      <c r="M140" s="130">
        <f t="shared" si="15"/>
        <v>67</v>
      </c>
      <c r="N140" s="128">
        <f t="shared" si="16"/>
        <v>212</v>
      </c>
      <c r="O140" s="131">
        <f t="shared" si="17"/>
        <v>2.161290322580645</v>
      </c>
      <c r="P140" s="132">
        <f t="shared" si="18"/>
        <v>6.838709677419355</v>
      </c>
    </row>
    <row r="141" spans="1:16" s="3" customFormat="1" ht="9.75" customHeight="1">
      <c r="A141" s="485"/>
      <c r="B141" s="127">
        <v>11</v>
      </c>
      <c r="C141" s="138">
        <v>17</v>
      </c>
      <c r="D141" s="138">
        <v>59</v>
      </c>
      <c r="E141" s="138">
        <v>0</v>
      </c>
      <c r="F141" s="138">
        <v>0</v>
      </c>
      <c r="G141" s="138">
        <v>0</v>
      </c>
      <c r="H141" s="138">
        <v>0</v>
      </c>
      <c r="I141" s="138">
        <v>1</v>
      </c>
      <c r="J141" s="138">
        <v>4</v>
      </c>
      <c r="K141" s="138"/>
      <c r="L141" s="139"/>
      <c r="M141" s="140">
        <f t="shared" si="15"/>
        <v>18</v>
      </c>
      <c r="N141" s="138">
        <f t="shared" si="16"/>
        <v>63</v>
      </c>
      <c r="O141" s="141">
        <f t="shared" si="17"/>
        <v>0.58064516129032262</v>
      </c>
      <c r="P141" s="142">
        <f t="shared" si="18"/>
        <v>2.032258064516129</v>
      </c>
    </row>
    <row r="142" spans="1:16" s="3" customFormat="1" ht="9.75" customHeight="1" thickBot="1">
      <c r="A142" s="485"/>
      <c r="B142" s="127">
        <v>12</v>
      </c>
      <c r="C142" s="182">
        <v>0</v>
      </c>
      <c r="D142" s="182">
        <v>0</v>
      </c>
      <c r="E142" s="182">
        <v>0</v>
      </c>
      <c r="F142" s="182">
        <v>0</v>
      </c>
      <c r="G142" s="182">
        <v>0</v>
      </c>
      <c r="H142" s="182">
        <v>0</v>
      </c>
      <c r="I142" s="182">
        <v>0</v>
      </c>
      <c r="J142" s="182">
        <v>0</v>
      </c>
      <c r="K142" s="182"/>
      <c r="L142" s="183"/>
      <c r="M142" s="184">
        <f t="shared" si="15"/>
        <v>0</v>
      </c>
      <c r="N142" s="182">
        <f t="shared" si="16"/>
        <v>0</v>
      </c>
      <c r="O142" s="185">
        <f t="shared" si="17"/>
        <v>0</v>
      </c>
      <c r="P142" s="186">
        <f t="shared" si="18"/>
        <v>0</v>
      </c>
    </row>
    <row r="143" spans="1:16" s="3" customFormat="1" ht="9.75" customHeight="1">
      <c r="A143" s="487">
        <v>2014</v>
      </c>
      <c r="B143" s="410">
        <v>1</v>
      </c>
      <c r="C143" s="411">
        <v>0</v>
      </c>
      <c r="D143" s="411">
        <v>0</v>
      </c>
      <c r="E143" s="411">
        <v>0</v>
      </c>
      <c r="F143" s="411">
        <v>0</v>
      </c>
      <c r="G143" s="411">
        <v>0</v>
      </c>
      <c r="H143" s="411">
        <v>0</v>
      </c>
      <c r="I143" s="411">
        <v>0</v>
      </c>
      <c r="J143" s="411">
        <v>0</v>
      </c>
      <c r="K143" s="411"/>
      <c r="L143" s="428"/>
      <c r="M143" s="413">
        <f t="shared" si="15"/>
        <v>0</v>
      </c>
      <c r="N143" s="411">
        <f t="shared" si="16"/>
        <v>0</v>
      </c>
      <c r="O143" s="414">
        <f t="shared" si="17"/>
        <v>0</v>
      </c>
      <c r="P143" s="415">
        <f t="shared" si="18"/>
        <v>0</v>
      </c>
    </row>
    <row r="144" spans="1:16" s="3" customFormat="1" ht="9.75" customHeight="1">
      <c r="A144" s="488"/>
      <c r="B144" s="127">
        <v>2</v>
      </c>
      <c r="C144" s="128">
        <v>0</v>
      </c>
      <c r="D144" s="128">
        <v>0</v>
      </c>
      <c r="E144" s="128">
        <v>0</v>
      </c>
      <c r="F144" s="128">
        <v>0</v>
      </c>
      <c r="G144" s="128">
        <v>0</v>
      </c>
      <c r="H144" s="128">
        <v>0</v>
      </c>
      <c r="I144" s="128">
        <v>0</v>
      </c>
      <c r="J144" s="128">
        <v>0</v>
      </c>
      <c r="K144" s="128"/>
      <c r="L144" s="164"/>
      <c r="M144" s="130">
        <f t="shared" si="15"/>
        <v>0</v>
      </c>
      <c r="N144" s="128">
        <f t="shared" si="16"/>
        <v>0</v>
      </c>
      <c r="O144" s="131">
        <f t="shared" si="17"/>
        <v>0</v>
      </c>
      <c r="P144" s="132">
        <f t="shared" si="18"/>
        <v>0</v>
      </c>
    </row>
    <row r="145" spans="1:60" s="3" customFormat="1" ht="9.75" customHeight="1">
      <c r="A145" s="488"/>
      <c r="B145" s="127">
        <v>3</v>
      </c>
      <c r="C145" s="128">
        <v>0</v>
      </c>
      <c r="D145" s="128">
        <v>0</v>
      </c>
      <c r="E145" s="128">
        <v>0</v>
      </c>
      <c r="F145" s="128">
        <v>0</v>
      </c>
      <c r="G145" s="128">
        <v>0</v>
      </c>
      <c r="H145" s="128">
        <v>0</v>
      </c>
      <c r="I145" s="128">
        <v>0</v>
      </c>
      <c r="J145" s="128">
        <v>0</v>
      </c>
      <c r="K145" s="128"/>
      <c r="L145" s="164"/>
      <c r="M145" s="130">
        <f t="shared" si="15"/>
        <v>0</v>
      </c>
      <c r="N145" s="128">
        <f t="shared" si="16"/>
        <v>0</v>
      </c>
      <c r="O145" s="131">
        <f t="shared" si="17"/>
        <v>0</v>
      </c>
      <c r="P145" s="132">
        <f t="shared" si="18"/>
        <v>0</v>
      </c>
    </row>
    <row r="146" spans="1:60" s="3" customFormat="1" ht="9.75" customHeight="1">
      <c r="A146" s="488"/>
      <c r="B146" s="127">
        <v>4</v>
      </c>
      <c r="C146" s="138">
        <v>62</v>
      </c>
      <c r="D146" s="138">
        <v>101</v>
      </c>
      <c r="E146" s="138">
        <v>0</v>
      </c>
      <c r="F146" s="138">
        <v>0</v>
      </c>
      <c r="G146" s="138">
        <v>3</v>
      </c>
      <c r="H146" s="138">
        <v>0</v>
      </c>
      <c r="I146" s="138">
        <v>10</v>
      </c>
      <c r="J146" s="138">
        <v>6</v>
      </c>
      <c r="K146" s="138"/>
      <c r="L146" s="143"/>
      <c r="M146" s="140">
        <f t="shared" si="15"/>
        <v>75</v>
      </c>
      <c r="N146" s="138">
        <f t="shared" si="16"/>
        <v>107</v>
      </c>
      <c r="O146" s="141">
        <f t="shared" si="17"/>
        <v>2.4193548387096775</v>
      </c>
      <c r="P146" s="142">
        <f t="shared" si="18"/>
        <v>3.4516129032258065</v>
      </c>
    </row>
    <row r="147" spans="1:60" s="3" customFormat="1" ht="9.75" customHeight="1">
      <c r="A147" s="488"/>
      <c r="B147" s="127">
        <v>5</v>
      </c>
      <c r="C147" s="128">
        <v>88</v>
      </c>
      <c r="D147" s="128">
        <v>164</v>
      </c>
      <c r="E147" s="128">
        <v>3</v>
      </c>
      <c r="F147" s="128">
        <v>8</v>
      </c>
      <c r="G147" s="128">
        <v>5</v>
      </c>
      <c r="H147" s="128">
        <v>11</v>
      </c>
      <c r="I147" s="128">
        <v>7</v>
      </c>
      <c r="J147" s="128">
        <v>12</v>
      </c>
      <c r="K147" s="128"/>
      <c r="L147" s="164"/>
      <c r="M147" s="130">
        <f t="shared" si="15"/>
        <v>103</v>
      </c>
      <c r="N147" s="146">
        <f t="shared" si="16"/>
        <v>195</v>
      </c>
      <c r="O147" s="165">
        <f t="shared" si="17"/>
        <v>3.3225806451612905</v>
      </c>
      <c r="P147" s="132">
        <f t="shared" si="18"/>
        <v>6.290322580645161</v>
      </c>
    </row>
    <row r="148" spans="1:60" s="3" customFormat="1" ht="9.75" customHeight="1">
      <c r="A148" s="488"/>
      <c r="B148" s="127">
        <v>6</v>
      </c>
      <c r="C148" s="138">
        <v>607</v>
      </c>
      <c r="D148" s="138">
        <v>155</v>
      </c>
      <c r="E148" s="138">
        <v>13</v>
      </c>
      <c r="F148" s="138">
        <v>0</v>
      </c>
      <c r="G148" s="138">
        <v>50</v>
      </c>
      <c r="H148" s="138">
        <v>7</v>
      </c>
      <c r="I148" s="138">
        <v>34</v>
      </c>
      <c r="J148" s="138">
        <v>22</v>
      </c>
      <c r="K148" s="138"/>
      <c r="L148" s="134"/>
      <c r="M148" s="301">
        <f t="shared" si="15"/>
        <v>704</v>
      </c>
      <c r="N148" s="301">
        <f t="shared" si="16"/>
        <v>184</v>
      </c>
      <c r="O148" s="302">
        <f t="shared" si="17"/>
        <v>22.70967741935484</v>
      </c>
      <c r="P148" s="137">
        <f t="shared" si="18"/>
        <v>5.935483870967742</v>
      </c>
    </row>
    <row r="149" spans="1:60" s="3" customFormat="1" ht="9.75" customHeight="1">
      <c r="A149" s="488"/>
      <c r="B149" s="127">
        <v>7</v>
      </c>
      <c r="C149" s="128">
        <v>2131</v>
      </c>
      <c r="D149" s="128">
        <v>3138</v>
      </c>
      <c r="E149" s="128">
        <v>102</v>
      </c>
      <c r="F149" s="128">
        <v>92</v>
      </c>
      <c r="G149" s="128">
        <v>66</v>
      </c>
      <c r="H149" s="128">
        <v>76</v>
      </c>
      <c r="I149" s="128">
        <v>64</v>
      </c>
      <c r="J149" s="128">
        <v>99</v>
      </c>
      <c r="K149" s="128"/>
      <c r="L149" s="129"/>
      <c r="M149" s="146">
        <f t="shared" si="15"/>
        <v>2363</v>
      </c>
      <c r="N149" s="146">
        <f t="shared" si="16"/>
        <v>3405</v>
      </c>
      <c r="O149" s="165">
        <f t="shared" si="17"/>
        <v>76.225806451612897</v>
      </c>
      <c r="P149" s="132">
        <f t="shared" si="18"/>
        <v>109.83870967741936</v>
      </c>
    </row>
    <row r="150" spans="1:60" s="3" customFormat="1" ht="9.75" customHeight="1">
      <c r="A150" s="488"/>
      <c r="B150" s="127">
        <v>8</v>
      </c>
      <c r="C150" s="133">
        <v>1995</v>
      </c>
      <c r="D150" s="133">
        <v>3837</v>
      </c>
      <c r="E150" s="133">
        <v>71</v>
      </c>
      <c r="F150" s="133">
        <v>87</v>
      </c>
      <c r="G150" s="133">
        <v>37</v>
      </c>
      <c r="H150" s="133">
        <v>64</v>
      </c>
      <c r="I150" s="133">
        <v>36</v>
      </c>
      <c r="J150" s="133">
        <v>59</v>
      </c>
      <c r="K150" s="133"/>
      <c r="L150" s="134"/>
      <c r="M150" s="135">
        <f t="shared" si="15"/>
        <v>2139</v>
      </c>
      <c r="N150" s="145">
        <f t="shared" si="16"/>
        <v>4047</v>
      </c>
      <c r="O150" s="166">
        <f t="shared" si="17"/>
        <v>69</v>
      </c>
      <c r="P150" s="137">
        <f t="shared" si="18"/>
        <v>130.54838709677421</v>
      </c>
    </row>
    <row r="151" spans="1:60" s="3" customFormat="1" ht="9.75" customHeight="1">
      <c r="A151" s="488"/>
      <c r="B151" s="127">
        <v>9</v>
      </c>
      <c r="C151" s="133">
        <v>517</v>
      </c>
      <c r="D151" s="133">
        <v>1003</v>
      </c>
      <c r="E151" s="133">
        <v>10</v>
      </c>
      <c r="F151" s="133">
        <v>14</v>
      </c>
      <c r="G151" s="133">
        <v>9</v>
      </c>
      <c r="H151" s="133">
        <v>7</v>
      </c>
      <c r="I151" s="133">
        <v>21</v>
      </c>
      <c r="J151" s="133">
        <v>26</v>
      </c>
      <c r="K151" s="133"/>
      <c r="L151" s="134"/>
      <c r="M151" s="135">
        <f t="shared" si="15"/>
        <v>557</v>
      </c>
      <c r="N151" s="145">
        <f t="shared" si="16"/>
        <v>1050</v>
      </c>
      <c r="O151" s="166">
        <f t="shared" si="17"/>
        <v>17.967741935483872</v>
      </c>
      <c r="P151" s="137">
        <f t="shared" si="18"/>
        <v>33.87096774193548</v>
      </c>
    </row>
    <row r="152" spans="1:60" s="3" customFormat="1" ht="9.75" customHeight="1">
      <c r="A152" s="488"/>
      <c r="B152" s="127">
        <v>10</v>
      </c>
      <c r="C152" s="128">
        <v>110</v>
      </c>
      <c r="D152" s="128">
        <v>145</v>
      </c>
      <c r="E152" s="128">
        <v>5</v>
      </c>
      <c r="F152" s="128">
        <v>11</v>
      </c>
      <c r="G152" s="128">
        <v>2</v>
      </c>
      <c r="H152" s="128">
        <v>4</v>
      </c>
      <c r="I152" s="128">
        <v>6</v>
      </c>
      <c r="J152" s="128">
        <v>10</v>
      </c>
      <c r="K152" s="128"/>
      <c r="L152" s="129"/>
      <c r="M152" s="130">
        <f t="shared" si="15"/>
        <v>123</v>
      </c>
      <c r="N152" s="146">
        <f t="shared" si="16"/>
        <v>170</v>
      </c>
      <c r="O152" s="165">
        <f t="shared" si="17"/>
        <v>3.967741935483871</v>
      </c>
      <c r="P152" s="132">
        <f t="shared" si="18"/>
        <v>5.4838709677419351</v>
      </c>
    </row>
    <row r="153" spans="1:60" s="3" customFormat="1" ht="9.75" customHeight="1">
      <c r="A153" s="488"/>
      <c r="B153" s="127">
        <v>11</v>
      </c>
      <c r="C153" s="133">
        <v>17</v>
      </c>
      <c r="D153" s="133">
        <v>32</v>
      </c>
      <c r="E153" s="133">
        <v>0</v>
      </c>
      <c r="F153" s="133">
        <v>0</v>
      </c>
      <c r="G153" s="133">
        <v>0</v>
      </c>
      <c r="H153" s="133">
        <v>0</v>
      </c>
      <c r="I153" s="133">
        <v>0</v>
      </c>
      <c r="J153" s="133">
        <v>0</v>
      </c>
      <c r="K153" s="133"/>
      <c r="L153" s="134"/>
      <c r="M153" s="135">
        <f t="shared" si="15"/>
        <v>17</v>
      </c>
      <c r="N153" s="145">
        <f t="shared" si="16"/>
        <v>32</v>
      </c>
      <c r="O153" s="166">
        <f t="shared" si="17"/>
        <v>0.54838709677419351</v>
      </c>
      <c r="P153" s="137">
        <f t="shared" si="18"/>
        <v>1.032258064516129</v>
      </c>
    </row>
    <row r="154" spans="1:60" s="3" customFormat="1" ht="9.75" customHeight="1" thickBot="1">
      <c r="A154" s="488"/>
      <c r="B154" s="127">
        <v>12</v>
      </c>
      <c r="C154" s="133">
        <v>0</v>
      </c>
      <c r="D154" s="133">
        <v>0</v>
      </c>
      <c r="E154" s="133">
        <v>0</v>
      </c>
      <c r="F154" s="133">
        <v>0</v>
      </c>
      <c r="G154" s="133">
        <v>0</v>
      </c>
      <c r="H154" s="133">
        <v>0</v>
      </c>
      <c r="I154" s="133">
        <v>0</v>
      </c>
      <c r="J154" s="133">
        <v>0</v>
      </c>
      <c r="K154" s="133"/>
      <c r="L154" s="134"/>
      <c r="M154" s="135">
        <f t="shared" si="15"/>
        <v>0</v>
      </c>
      <c r="N154" s="145">
        <f t="shared" si="16"/>
        <v>0</v>
      </c>
      <c r="O154" s="166">
        <f t="shared" si="17"/>
        <v>0</v>
      </c>
      <c r="P154" s="137">
        <f t="shared" si="18"/>
        <v>0</v>
      </c>
    </row>
    <row r="155" spans="1:60" s="3" customFormat="1" ht="9.75" customHeight="1">
      <c r="A155" s="487">
        <v>2015</v>
      </c>
      <c r="B155" s="410">
        <v>1</v>
      </c>
      <c r="C155" s="416">
        <v>0</v>
      </c>
      <c r="D155" s="416">
        <v>0</v>
      </c>
      <c r="E155" s="416">
        <v>0</v>
      </c>
      <c r="F155" s="416">
        <v>0</v>
      </c>
      <c r="G155" s="416">
        <v>0</v>
      </c>
      <c r="H155" s="416">
        <v>0</v>
      </c>
      <c r="I155" s="416">
        <v>0</v>
      </c>
      <c r="J155" s="416">
        <v>0</v>
      </c>
      <c r="K155" s="416"/>
      <c r="L155" s="417"/>
      <c r="M155" s="418">
        <f t="shared" si="15"/>
        <v>0</v>
      </c>
      <c r="N155" s="419">
        <f t="shared" si="16"/>
        <v>0</v>
      </c>
      <c r="O155" s="429">
        <f t="shared" si="17"/>
        <v>0</v>
      </c>
      <c r="P155" s="421">
        <f t="shared" si="18"/>
        <v>0</v>
      </c>
      <c r="Q155" s="343"/>
      <c r="R155" s="343"/>
      <c r="S155" s="343"/>
      <c r="T155" s="343"/>
      <c r="U155" s="343"/>
      <c r="V155" s="343"/>
      <c r="W155" s="343"/>
      <c r="X155" s="343"/>
      <c r="Y155" s="343"/>
      <c r="Z155" s="343"/>
      <c r="AA155" s="343"/>
      <c r="AB155" s="343"/>
      <c r="AC155" s="343"/>
      <c r="AD155" s="343"/>
      <c r="AE155" s="343"/>
      <c r="AF155" s="343"/>
      <c r="AG155" s="343"/>
      <c r="AH155" s="343"/>
      <c r="AI155" s="343"/>
      <c r="AJ155" s="343"/>
      <c r="AK155" s="343"/>
      <c r="AL155" s="343"/>
      <c r="AM155" s="343"/>
      <c r="AN155" s="343"/>
      <c r="AO155" s="343"/>
      <c r="AP155" s="343"/>
      <c r="AQ155" s="343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</row>
    <row r="156" spans="1:60" s="3" customFormat="1" ht="9.75" customHeight="1">
      <c r="A156" s="488"/>
      <c r="B156" s="127">
        <v>2</v>
      </c>
      <c r="C156" s="128">
        <v>0</v>
      </c>
      <c r="D156" s="128">
        <v>0</v>
      </c>
      <c r="E156" s="128">
        <v>0</v>
      </c>
      <c r="F156" s="128">
        <v>0</v>
      </c>
      <c r="G156" s="128">
        <v>0</v>
      </c>
      <c r="H156" s="128">
        <v>0</v>
      </c>
      <c r="I156" s="128">
        <v>0</v>
      </c>
      <c r="J156" s="128">
        <v>0</v>
      </c>
      <c r="K156" s="128"/>
      <c r="L156" s="129"/>
      <c r="M156" s="130">
        <f t="shared" si="15"/>
        <v>0</v>
      </c>
      <c r="N156" s="146">
        <f t="shared" si="16"/>
        <v>0</v>
      </c>
      <c r="O156" s="165">
        <f t="shared" si="17"/>
        <v>0</v>
      </c>
      <c r="P156" s="132">
        <f t="shared" si="18"/>
        <v>0</v>
      </c>
      <c r="Q156" s="343"/>
      <c r="R156" s="343"/>
      <c r="S156" s="343"/>
      <c r="T156" s="343"/>
      <c r="U156" s="343"/>
      <c r="V156" s="343"/>
      <c r="W156" s="343"/>
      <c r="X156" s="343"/>
      <c r="Y156" s="343"/>
      <c r="Z156" s="343"/>
      <c r="AA156" s="343"/>
      <c r="AB156" s="343"/>
      <c r="AC156" s="343"/>
      <c r="AD156" s="343"/>
      <c r="AE156" s="343"/>
      <c r="AF156" s="343"/>
      <c r="AG156" s="343"/>
      <c r="AH156" s="343"/>
      <c r="AI156" s="343"/>
      <c r="AJ156" s="343"/>
      <c r="AK156" s="343"/>
      <c r="AL156" s="343"/>
      <c r="AM156" s="343"/>
      <c r="AN156" s="343"/>
      <c r="AO156" s="343"/>
      <c r="AP156" s="343"/>
      <c r="AQ156" s="343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</row>
    <row r="157" spans="1:60" s="3" customFormat="1" ht="9.75" customHeight="1">
      <c r="A157" s="488"/>
      <c r="B157" s="127">
        <v>3</v>
      </c>
      <c r="C157" s="128">
        <v>6</v>
      </c>
      <c r="D157" s="128">
        <v>0</v>
      </c>
      <c r="E157" s="128">
        <v>0</v>
      </c>
      <c r="F157" s="128">
        <v>0</v>
      </c>
      <c r="G157" s="128">
        <v>4</v>
      </c>
      <c r="H157" s="128">
        <v>0</v>
      </c>
      <c r="I157" s="128">
        <v>2</v>
      </c>
      <c r="J157" s="128">
        <v>0</v>
      </c>
      <c r="K157" s="128"/>
      <c r="L157" s="129"/>
      <c r="M157" s="130">
        <f t="shared" si="15"/>
        <v>12</v>
      </c>
      <c r="N157" s="146">
        <f t="shared" si="16"/>
        <v>0</v>
      </c>
      <c r="O157" s="165">
        <f t="shared" si="17"/>
        <v>0.38709677419354838</v>
      </c>
      <c r="P157" s="132">
        <f t="shared" si="18"/>
        <v>0</v>
      </c>
      <c r="Q157" s="343"/>
      <c r="R157" s="343"/>
      <c r="S157" s="343"/>
      <c r="T157" s="343"/>
      <c r="U157" s="343"/>
      <c r="V157" s="343"/>
      <c r="W157" s="343"/>
      <c r="X157" s="343"/>
      <c r="Y157" s="343"/>
      <c r="Z157" s="343"/>
      <c r="AA157" s="343"/>
      <c r="AB157" s="343"/>
      <c r="AC157" s="343"/>
      <c r="AD157" s="343"/>
      <c r="AE157" s="343"/>
      <c r="AF157" s="343"/>
      <c r="AG157" s="343"/>
      <c r="AH157" s="343"/>
      <c r="AI157" s="343"/>
      <c r="AJ157" s="343"/>
      <c r="AK157" s="343"/>
      <c r="AL157" s="343"/>
      <c r="AM157" s="343"/>
      <c r="AN157" s="343"/>
      <c r="AO157" s="343"/>
      <c r="AP157" s="343"/>
      <c r="AQ157" s="343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343"/>
      <c r="BG157" s="343"/>
      <c r="BH157" s="343"/>
    </row>
    <row r="158" spans="1:60" s="3" customFormat="1" ht="9.75" customHeight="1">
      <c r="A158" s="488"/>
      <c r="B158" s="127">
        <v>4</v>
      </c>
      <c r="C158" s="128">
        <v>155</v>
      </c>
      <c r="D158" s="128">
        <v>114</v>
      </c>
      <c r="E158" s="128">
        <v>1</v>
      </c>
      <c r="F158" s="128">
        <v>0</v>
      </c>
      <c r="G158" s="128">
        <v>9</v>
      </c>
      <c r="H158" s="128">
        <v>18</v>
      </c>
      <c r="I158" s="128">
        <v>10</v>
      </c>
      <c r="J158" s="128">
        <v>2</v>
      </c>
      <c r="K158" s="128"/>
      <c r="L158" s="129"/>
      <c r="M158" s="130">
        <f t="shared" si="15"/>
        <v>175</v>
      </c>
      <c r="N158" s="146">
        <f t="shared" si="16"/>
        <v>134</v>
      </c>
      <c r="O158" s="165">
        <f t="shared" si="17"/>
        <v>5.645161290322581</v>
      </c>
      <c r="P158" s="132">
        <f t="shared" si="18"/>
        <v>4.32258064516129</v>
      </c>
      <c r="Q158" s="343"/>
      <c r="R158" s="343"/>
      <c r="S158" s="343"/>
      <c r="T158" s="343"/>
      <c r="U158" s="343"/>
      <c r="V158" s="343"/>
      <c r="W158" s="343"/>
      <c r="X158" s="343"/>
      <c r="Y158" s="343"/>
      <c r="Z158" s="343"/>
      <c r="AA158" s="343"/>
      <c r="AB158" s="343"/>
      <c r="AC158" s="343"/>
      <c r="AD158" s="343"/>
      <c r="AE158" s="343"/>
      <c r="AF158" s="343"/>
      <c r="AG158" s="343"/>
      <c r="AH158" s="343"/>
      <c r="AI158" s="343"/>
      <c r="AJ158" s="343"/>
      <c r="AK158" s="343"/>
      <c r="AL158" s="343"/>
      <c r="AM158" s="343"/>
      <c r="AN158" s="343"/>
      <c r="AO158" s="343"/>
      <c r="AP158" s="343"/>
      <c r="AQ158" s="343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343"/>
      <c r="BG158" s="343"/>
      <c r="BH158" s="343"/>
    </row>
    <row r="159" spans="1:60" s="3" customFormat="1" ht="9.75" customHeight="1">
      <c r="A159" s="488"/>
      <c r="B159" s="127">
        <v>5</v>
      </c>
      <c r="C159" s="138">
        <v>141</v>
      </c>
      <c r="D159" s="138">
        <v>245</v>
      </c>
      <c r="E159" s="138">
        <v>0</v>
      </c>
      <c r="F159" s="138">
        <v>0</v>
      </c>
      <c r="G159" s="138">
        <v>4</v>
      </c>
      <c r="H159" s="138">
        <v>0</v>
      </c>
      <c r="I159" s="138">
        <v>11</v>
      </c>
      <c r="J159" s="138">
        <v>18</v>
      </c>
      <c r="K159" s="138"/>
      <c r="L159" s="139"/>
      <c r="M159" s="135">
        <f t="shared" si="15"/>
        <v>156</v>
      </c>
      <c r="N159" s="145">
        <f t="shared" si="16"/>
        <v>263</v>
      </c>
      <c r="O159" s="166">
        <f t="shared" si="17"/>
        <v>5.032258064516129</v>
      </c>
      <c r="P159" s="137">
        <f t="shared" si="18"/>
        <v>8.4838709677419359</v>
      </c>
      <c r="Q159" s="343"/>
      <c r="R159" s="343"/>
      <c r="S159" s="343"/>
      <c r="T159" s="343"/>
      <c r="U159" s="343"/>
      <c r="V159" s="343"/>
      <c r="W159" s="343"/>
      <c r="X159" s="343"/>
      <c r="Y159" s="343"/>
      <c r="Z159" s="343"/>
      <c r="AA159" s="343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  <c r="AN159" s="343"/>
      <c r="AO159" s="343"/>
      <c r="AP159" s="343"/>
      <c r="AQ159" s="343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343"/>
      <c r="BG159" s="343"/>
      <c r="BH159" s="343"/>
    </row>
    <row r="160" spans="1:60" s="3" customFormat="1" ht="9.75" customHeight="1">
      <c r="A160" s="488"/>
      <c r="B160" s="127">
        <v>6</v>
      </c>
      <c r="C160" s="133">
        <v>715</v>
      </c>
      <c r="D160" s="133">
        <v>211</v>
      </c>
      <c r="E160" s="133">
        <v>33</v>
      </c>
      <c r="F160" s="133">
        <v>0</v>
      </c>
      <c r="G160" s="133">
        <v>95</v>
      </c>
      <c r="H160" s="133">
        <v>8</v>
      </c>
      <c r="I160" s="133">
        <v>21</v>
      </c>
      <c r="J160" s="133">
        <v>6</v>
      </c>
      <c r="K160" s="133"/>
      <c r="L160" s="144"/>
      <c r="M160" s="135">
        <f t="shared" si="15"/>
        <v>864</v>
      </c>
      <c r="N160" s="145">
        <f t="shared" si="16"/>
        <v>225</v>
      </c>
      <c r="O160" s="166">
        <f t="shared" si="17"/>
        <v>27.870967741935484</v>
      </c>
      <c r="P160" s="137">
        <f t="shared" si="18"/>
        <v>7.258064516129032</v>
      </c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343"/>
      <c r="AB160" s="343"/>
      <c r="AC160" s="343"/>
      <c r="AD160" s="343"/>
      <c r="AE160" s="343"/>
      <c r="AF160" s="343"/>
      <c r="AG160" s="343"/>
      <c r="AH160" s="343"/>
      <c r="AI160" s="343"/>
      <c r="AJ160" s="343"/>
      <c r="AK160" s="343"/>
      <c r="AL160" s="343"/>
      <c r="AM160" s="343"/>
      <c r="AN160" s="343"/>
      <c r="AO160" s="343"/>
      <c r="AP160" s="343"/>
      <c r="AQ160" s="343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343"/>
      <c r="BG160" s="343"/>
      <c r="BH160" s="343"/>
    </row>
    <row r="161" spans="1:60" s="3" customFormat="1" ht="9.75" customHeight="1">
      <c r="A161" s="488"/>
      <c r="B161" s="127">
        <v>7</v>
      </c>
      <c r="C161" s="133">
        <v>2545</v>
      </c>
      <c r="D161" s="133">
        <v>3922</v>
      </c>
      <c r="E161" s="133">
        <v>96</v>
      </c>
      <c r="F161" s="133">
        <v>71</v>
      </c>
      <c r="G161" s="133">
        <v>187</v>
      </c>
      <c r="H161" s="133">
        <v>199</v>
      </c>
      <c r="I161" s="133">
        <v>35</v>
      </c>
      <c r="J161" s="133">
        <v>24</v>
      </c>
      <c r="K161" s="133"/>
      <c r="L161" s="144"/>
      <c r="M161" s="135">
        <f t="shared" si="15"/>
        <v>2863</v>
      </c>
      <c r="N161" s="145">
        <f t="shared" si="16"/>
        <v>4216</v>
      </c>
      <c r="O161" s="166">
        <f t="shared" si="17"/>
        <v>92.354838709677423</v>
      </c>
      <c r="P161" s="137">
        <f t="shared" si="18"/>
        <v>136</v>
      </c>
      <c r="Q161" s="343"/>
      <c r="R161" s="343"/>
      <c r="S161" s="343"/>
      <c r="T161" s="343"/>
      <c r="U161" s="343"/>
      <c r="V161" s="343"/>
      <c r="W161" s="343"/>
      <c r="X161" s="343"/>
      <c r="Y161" s="343"/>
      <c r="Z161" s="343"/>
      <c r="AA161" s="343"/>
      <c r="AB161" s="343"/>
      <c r="AC161" s="343"/>
      <c r="AD161" s="343"/>
      <c r="AE161" s="343"/>
      <c r="AF161" s="343"/>
      <c r="AG161" s="343"/>
      <c r="AH161" s="343"/>
      <c r="AI161" s="343"/>
      <c r="AJ161" s="343"/>
      <c r="AK161" s="343"/>
      <c r="AL161" s="343"/>
      <c r="AM161" s="343"/>
      <c r="AN161" s="343"/>
      <c r="AO161" s="343"/>
      <c r="AP161" s="343"/>
      <c r="AQ161" s="343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343"/>
      <c r="BG161" s="343"/>
      <c r="BH161" s="343"/>
    </row>
    <row r="162" spans="1:60" s="3" customFormat="1" ht="9.75" customHeight="1">
      <c r="A162" s="488"/>
      <c r="B162" s="127">
        <v>8</v>
      </c>
      <c r="C162" s="133">
        <v>2243</v>
      </c>
      <c r="D162" s="133">
        <v>3822</v>
      </c>
      <c r="E162" s="133">
        <v>76</v>
      </c>
      <c r="F162" s="194">
        <v>85</v>
      </c>
      <c r="G162" s="133">
        <v>112</v>
      </c>
      <c r="H162" s="133">
        <v>268</v>
      </c>
      <c r="I162" s="133">
        <v>23</v>
      </c>
      <c r="J162" s="133">
        <v>49</v>
      </c>
      <c r="K162" s="133"/>
      <c r="L162" s="144"/>
      <c r="M162" s="135">
        <f t="shared" si="15"/>
        <v>2454</v>
      </c>
      <c r="N162" s="145">
        <f t="shared" si="16"/>
        <v>4224</v>
      </c>
      <c r="O162" s="166">
        <f t="shared" si="17"/>
        <v>79.161290322580641</v>
      </c>
      <c r="P162" s="137">
        <f t="shared" si="18"/>
        <v>136.25806451612902</v>
      </c>
      <c r="Q162" s="343"/>
      <c r="R162" s="343"/>
      <c r="S162" s="343"/>
      <c r="T162" s="343"/>
      <c r="U162" s="343"/>
      <c r="V162" s="343"/>
      <c r="W162" s="343"/>
      <c r="X162" s="343"/>
      <c r="Y162" s="343"/>
      <c r="Z162" s="343"/>
      <c r="AA162" s="343"/>
      <c r="AB162" s="343"/>
      <c r="AC162" s="343"/>
      <c r="AD162" s="343"/>
      <c r="AE162" s="343"/>
      <c r="AF162" s="343"/>
      <c r="AG162" s="343"/>
      <c r="AH162" s="343"/>
      <c r="AI162" s="343"/>
      <c r="AJ162" s="343"/>
      <c r="AK162" s="343"/>
      <c r="AL162" s="343"/>
      <c r="AM162" s="343"/>
      <c r="AN162" s="343"/>
      <c r="AO162" s="343"/>
      <c r="AP162" s="343"/>
      <c r="AQ162" s="343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343"/>
      <c r="BG162" s="343"/>
      <c r="BH162" s="343"/>
    </row>
    <row r="163" spans="1:60" s="3" customFormat="1" ht="9.75" customHeight="1">
      <c r="A163" s="488"/>
      <c r="B163" s="127">
        <v>9</v>
      </c>
      <c r="C163" s="133">
        <v>557</v>
      </c>
      <c r="D163" s="133">
        <v>1021</v>
      </c>
      <c r="E163" s="133">
        <v>8</v>
      </c>
      <c r="F163" s="194">
        <v>12</v>
      </c>
      <c r="G163" s="133">
        <v>20</v>
      </c>
      <c r="H163" s="133">
        <v>32</v>
      </c>
      <c r="I163" s="133">
        <v>11</v>
      </c>
      <c r="J163" s="133">
        <v>18</v>
      </c>
      <c r="K163" s="133"/>
      <c r="L163" s="144"/>
      <c r="M163" s="135">
        <f t="shared" si="15"/>
        <v>596</v>
      </c>
      <c r="N163" s="145">
        <f t="shared" si="16"/>
        <v>1083</v>
      </c>
      <c r="O163" s="166">
        <f t="shared" si="17"/>
        <v>19.225806451612904</v>
      </c>
      <c r="P163" s="137">
        <f t="shared" si="18"/>
        <v>34.935483870967744</v>
      </c>
      <c r="Q163" s="343"/>
      <c r="R163" s="343"/>
      <c r="S163" s="343"/>
      <c r="T163" s="343"/>
      <c r="U163" s="343"/>
      <c r="V163" s="343"/>
      <c r="W163" s="343"/>
      <c r="X163" s="343"/>
      <c r="Y163" s="343"/>
      <c r="Z163" s="343"/>
      <c r="AA163" s="343"/>
      <c r="AB163" s="343"/>
      <c r="AC163" s="343"/>
      <c r="AD163" s="343"/>
      <c r="AE163" s="343"/>
      <c r="AF163" s="343"/>
      <c r="AG163" s="343"/>
      <c r="AH163" s="343"/>
      <c r="AI163" s="343"/>
      <c r="AJ163" s="343"/>
      <c r="AK163" s="343"/>
      <c r="AL163" s="343"/>
      <c r="AM163" s="343"/>
      <c r="AN163" s="343"/>
      <c r="AO163" s="343"/>
      <c r="AP163" s="343"/>
      <c r="AQ163" s="343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343"/>
      <c r="BG163" s="343"/>
      <c r="BH163" s="343"/>
    </row>
    <row r="164" spans="1:60" s="3" customFormat="1" ht="9.75" customHeight="1">
      <c r="A164" s="488"/>
      <c r="B164" s="127">
        <v>10</v>
      </c>
      <c r="C164" s="128">
        <v>129</v>
      </c>
      <c r="D164" s="128">
        <v>196</v>
      </c>
      <c r="E164" s="128">
        <v>0</v>
      </c>
      <c r="F164" s="128">
        <v>0</v>
      </c>
      <c r="G164" s="128">
        <v>8</v>
      </c>
      <c r="H164" s="128">
        <v>16</v>
      </c>
      <c r="I164" s="128">
        <v>3</v>
      </c>
      <c r="J164" s="128">
        <v>9</v>
      </c>
      <c r="K164" s="128"/>
      <c r="L164" s="129"/>
      <c r="M164" s="135">
        <f t="shared" si="15"/>
        <v>140</v>
      </c>
      <c r="N164" s="145">
        <f t="shared" si="16"/>
        <v>221</v>
      </c>
      <c r="O164" s="166">
        <f t="shared" si="17"/>
        <v>4.5161290322580649</v>
      </c>
      <c r="P164" s="137">
        <f t="shared" si="18"/>
        <v>7.129032258064516</v>
      </c>
      <c r="Q164" s="343"/>
      <c r="R164" s="343"/>
      <c r="S164" s="343"/>
      <c r="T164" s="343"/>
      <c r="U164" s="343"/>
      <c r="V164" s="343"/>
      <c r="W164" s="343"/>
      <c r="X164" s="343"/>
      <c r="Y164" s="343"/>
      <c r="Z164" s="343"/>
      <c r="AA164" s="343"/>
      <c r="AB164" s="343"/>
      <c r="AC164" s="343"/>
      <c r="AD164" s="343"/>
      <c r="AE164" s="343"/>
      <c r="AF164" s="343"/>
      <c r="AG164" s="343"/>
      <c r="AH164" s="343"/>
      <c r="AI164" s="343"/>
      <c r="AJ164" s="343"/>
      <c r="AK164" s="343"/>
      <c r="AL164" s="343"/>
      <c r="AM164" s="343"/>
      <c r="AN164" s="343"/>
      <c r="AO164" s="343"/>
      <c r="AP164" s="343"/>
      <c r="AQ164" s="343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343"/>
      <c r="BG164" s="343"/>
      <c r="BH164" s="343"/>
    </row>
    <row r="165" spans="1:60" s="3" customFormat="1" ht="9.75" customHeight="1">
      <c r="A165" s="488"/>
      <c r="B165" s="127">
        <v>11</v>
      </c>
      <c r="C165" s="365">
        <v>1</v>
      </c>
      <c r="D165" s="365">
        <v>1</v>
      </c>
      <c r="E165" s="365">
        <v>0</v>
      </c>
      <c r="F165" s="365">
        <v>0</v>
      </c>
      <c r="G165" s="365">
        <v>0</v>
      </c>
      <c r="H165" s="365">
        <v>0</v>
      </c>
      <c r="I165" s="365">
        <v>0</v>
      </c>
      <c r="J165" s="365">
        <v>0</v>
      </c>
      <c r="K165" s="365"/>
      <c r="L165" s="366"/>
      <c r="M165" s="135">
        <f t="shared" ref="M165:M196" si="19">+C165+E165+G165+I165+K165</f>
        <v>1</v>
      </c>
      <c r="N165" s="145">
        <f t="shared" ref="N165:N196" si="20">+D165+F165+H165+J165+L165</f>
        <v>1</v>
      </c>
      <c r="O165" s="166">
        <f t="shared" si="17"/>
        <v>3.2258064516129031E-2</v>
      </c>
      <c r="P165" s="137">
        <f t="shared" si="18"/>
        <v>3.2258064516129031E-2</v>
      </c>
      <c r="Q165" s="343"/>
      <c r="R165" s="343"/>
      <c r="S165" s="343"/>
      <c r="T165" s="343"/>
      <c r="U165" s="343"/>
      <c r="V165" s="343"/>
      <c r="W165" s="343"/>
      <c r="X165" s="343"/>
      <c r="Y165" s="343"/>
      <c r="Z165" s="343"/>
      <c r="AA165" s="343"/>
      <c r="AB165" s="343"/>
      <c r="AC165" s="343"/>
      <c r="AD165" s="343"/>
      <c r="AE165" s="343"/>
      <c r="AF165" s="343"/>
      <c r="AG165" s="343"/>
      <c r="AH165" s="343"/>
      <c r="AI165" s="343"/>
      <c r="AJ165" s="343"/>
      <c r="AK165" s="343"/>
      <c r="AL165" s="343"/>
      <c r="AM165" s="343"/>
      <c r="AN165" s="343"/>
      <c r="AO165" s="343"/>
      <c r="AP165" s="343"/>
      <c r="AQ165" s="343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343"/>
      <c r="BG165" s="343"/>
      <c r="BH165" s="343"/>
    </row>
    <row r="166" spans="1:60" s="3" customFormat="1" ht="9.75" customHeight="1" thickBot="1">
      <c r="A166" s="489"/>
      <c r="B166" s="127">
        <v>12</v>
      </c>
      <c r="C166" s="182">
        <v>0</v>
      </c>
      <c r="D166" s="182">
        <v>0</v>
      </c>
      <c r="E166" s="182">
        <v>0</v>
      </c>
      <c r="F166" s="195">
        <v>0</v>
      </c>
      <c r="G166" s="182">
        <v>0</v>
      </c>
      <c r="H166" s="182">
        <v>0</v>
      </c>
      <c r="I166" s="182">
        <v>0</v>
      </c>
      <c r="J166" s="182">
        <v>0</v>
      </c>
      <c r="K166" s="182"/>
      <c r="L166" s="183"/>
      <c r="M166" s="135">
        <f t="shared" si="19"/>
        <v>0</v>
      </c>
      <c r="N166" s="145">
        <f t="shared" si="20"/>
        <v>0</v>
      </c>
      <c r="O166" s="166">
        <f t="shared" si="17"/>
        <v>0</v>
      </c>
      <c r="P166" s="137">
        <f t="shared" si="18"/>
        <v>0</v>
      </c>
      <c r="Q166" s="343"/>
      <c r="R166" s="343"/>
      <c r="S166" s="343"/>
      <c r="T166" s="343"/>
      <c r="U166" s="343"/>
      <c r="V166" s="343"/>
      <c r="W166" s="343"/>
      <c r="X166" s="343"/>
      <c r="Y166" s="343"/>
      <c r="Z166" s="343"/>
      <c r="AA166" s="343"/>
      <c r="AB166" s="343"/>
      <c r="AC166" s="343"/>
      <c r="AD166" s="343"/>
      <c r="AE166" s="343"/>
      <c r="AF166" s="343"/>
      <c r="AG166" s="343"/>
      <c r="AH166" s="343"/>
      <c r="AI166" s="343"/>
      <c r="AJ166" s="343"/>
      <c r="AK166" s="343"/>
      <c r="AL166" s="343"/>
      <c r="AM166" s="343"/>
      <c r="AN166" s="343"/>
      <c r="AO166" s="343"/>
      <c r="AP166" s="343"/>
      <c r="AQ166" s="343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343"/>
      <c r="BG166" s="343"/>
      <c r="BH166" s="343"/>
    </row>
    <row r="167" spans="1:60" s="3" customFormat="1" ht="9.75" customHeight="1">
      <c r="A167" s="487">
        <v>2016</v>
      </c>
      <c r="B167" s="410">
        <v>1</v>
      </c>
      <c r="C167" s="416">
        <v>0</v>
      </c>
      <c r="D167" s="416">
        <v>0</v>
      </c>
      <c r="E167" s="416">
        <v>0</v>
      </c>
      <c r="F167" s="416">
        <v>0</v>
      </c>
      <c r="G167" s="416">
        <v>0</v>
      </c>
      <c r="H167" s="416">
        <v>0</v>
      </c>
      <c r="I167" s="416">
        <v>0</v>
      </c>
      <c r="J167" s="416">
        <v>0</v>
      </c>
      <c r="K167" s="416"/>
      <c r="L167" s="417"/>
      <c r="M167" s="418">
        <f t="shared" si="19"/>
        <v>0</v>
      </c>
      <c r="N167" s="419">
        <f t="shared" si="20"/>
        <v>0</v>
      </c>
      <c r="O167" s="429">
        <f t="shared" si="17"/>
        <v>0</v>
      </c>
      <c r="P167" s="421">
        <f t="shared" si="18"/>
        <v>0</v>
      </c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3"/>
      <c r="AI167" s="343"/>
      <c r="AJ167" s="343"/>
      <c r="AK167" s="343"/>
      <c r="AL167" s="343"/>
      <c r="AM167" s="343"/>
      <c r="AN167" s="343"/>
      <c r="AO167" s="343"/>
      <c r="AP167" s="343"/>
      <c r="AQ167" s="343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343"/>
      <c r="BG167" s="343"/>
      <c r="BH167" s="343"/>
    </row>
    <row r="168" spans="1:60" s="3" customFormat="1" ht="9.75" customHeight="1">
      <c r="A168" s="488"/>
      <c r="B168" s="127">
        <v>2</v>
      </c>
      <c r="C168" s="128">
        <v>0</v>
      </c>
      <c r="D168" s="128">
        <v>0</v>
      </c>
      <c r="E168" s="128">
        <v>0</v>
      </c>
      <c r="F168" s="128">
        <v>0</v>
      </c>
      <c r="G168" s="128">
        <v>0</v>
      </c>
      <c r="H168" s="128">
        <v>0</v>
      </c>
      <c r="I168" s="128">
        <v>0</v>
      </c>
      <c r="J168" s="128">
        <v>0</v>
      </c>
      <c r="K168" s="128"/>
      <c r="L168" s="129"/>
      <c r="M168" s="130">
        <f t="shared" si="19"/>
        <v>0</v>
      </c>
      <c r="N168" s="146">
        <f t="shared" si="20"/>
        <v>0</v>
      </c>
      <c r="O168" s="131">
        <f>M168/29</f>
        <v>0</v>
      </c>
      <c r="P168" s="132">
        <f>N168/29</f>
        <v>0</v>
      </c>
      <c r="Q168" s="343"/>
      <c r="R168" s="343"/>
      <c r="S168" s="343"/>
      <c r="T168" s="343"/>
      <c r="U168" s="343"/>
      <c r="V168" s="343"/>
      <c r="W168" s="343"/>
      <c r="X168" s="343"/>
      <c r="Y168" s="343"/>
      <c r="Z168" s="343"/>
      <c r="AA168" s="343"/>
      <c r="AB168" s="343"/>
      <c r="AC168" s="343"/>
      <c r="AD168" s="343"/>
      <c r="AE168" s="343"/>
      <c r="AF168" s="343"/>
      <c r="AG168" s="343"/>
      <c r="AH168" s="343"/>
      <c r="AI168" s="343"/>
      <c r="AJ168" s="343"/>
      <c r="AK168" s="343"/>
      <c r="AL168" s="343"/>
      <c r="AM168" s="343"/>
      <c r="AN168" s="343"/>
      <c r="AO168" s="343"/>
      <c r="AP168" s="343"/>
      <c r="AQ168" s="343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343"/>
      <c r="BG168" s="343"/>
      <c r="BH168" s="343"/>
    </row>
    <row r="169" spans="1:60" s="3" customFormat="1" ht="9.75" customHeight="1">
      <c r="A169" s="488"/>
      <c r="B169" s="127">
        <v>3</v>
      </c>
      <c r="C169" s="128">
        <v>4</v>
      </c>
      <c r="D169" s="128">
        <v>0</v>
      </c>
      <c r="E169" s="128">
        <v>0</v>
      </c>
      <c r="F169" s="128">
        <v>0</v>
      </c>
      <c r="G169" s="128">
        <v>0</v>
      </c>
      <c r="H169" s="128">
        <v>0</v>
      </c>
      <c r="I169" s="128">
        <v>0</v>
      </c>
      <c r="J169" s="128">
        <v>0</v>
      </c>
      <c r="K169" s="128"/>
      <c r="L169" s="129"/>
      <c r="M169" s="130">
        <f t="shared" si="19"/>
        <v>4</v>
      </c>
      <c r="N169" s="146">
        <f t="shared" si="20"/>
        <v>0</v>
      </c>
      <c r="O169" s="131">
        <f>M169/31</f>
        <v>0.12903225806451613</v>
      </c>
      <c r="P169" s="132">
        <f>N169/31</f>
        <v>0</v>
      </c>
      <c r="Q169" s="343"/>
      <c r="R169" s="343"/>
      <c r="S169" s="343"/>
      <c r="T169" s="343"/>
      <c r="U169" s="343"/>
      <c r="V169" s="343"/>
      <c r="W169" s="343"/>
      <c r="X169" s="343"/>
      <c r="Y169" s="343"/>
      <c r="Z169" s="343"/>
      <c r="AA169" s="343"/>
      <c r="AB169" s="343"/>
      <c r="AC169" s="343"/>
      <c r="AD169" s="343"/>
      <c r="AE169" s="343"/>
      <c r="AF169" s="343"/>
      <c r="AG169" s="343"/>
      <c r="AH169" s="343"/>
      <c r="AI169" s="343"/>
      <c r="AJ169" s="343"/>
      <c r="AK169" s="343"/>
      <c r="AL169" s="343"/>
      <c r="AM169" s="343"/>
      <c r="AN169" s="343"/>
      <c r="AO169" s="343"/>
      <c r="AP169" s="343"/>
      <c r="AQ169" s="343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343"/>
      <c r="BG169" s="343"/>
      <c r="BH169" s="343"/>
    </row>
    <row r="170" spans="1:60" s="3" customFormat="1" ht="9.75" customHeight="1">
      <c r="A170" s="488"/>
      <c r="B170" s="127">
        <v>4</v>
      </c>
      <c r="C170" s="128">
        <v>132</v>
      </c>
      <c r="D170" s="128">
        <v>197</v>
      </c>
      <c r="E170" s="128">
        <v>0</v>
      </c>
      <c r="F170" s="128">
        <v>0</v>
      </c>
      <c r="G170" s="128">
        <v>22</v>
      </c>
      <c r="H170" s="128">
        <v>36</v>
      </c>
      <c r="I170" s="128">
        <v>4</v>
      </c>
      <c r="J170" s="128">
        <v>0</v>
      </c>
      <c r="K170" s="128"/>
      <c r="L170" s="129"/>
      <c r="M170" s="130">
        <f t="shared" si="19"/>
        <v>158</v>
      </c>
      <c r="N170" s="146">
        <f t="shared" si="20"/>
        <v>233</v>
      </c>
      <c r="O170" s="131">
        <f>M170/30</f>
        <v>5.2666666666666666</v>
      </c>
      <c r="P170" s="132">
        <f>N170/30</f>
        <v>7.7666666666666666</v>
      </c>
      <c r="Q170" s="343"/>
      <c r="R170" s="343"/>
      <c r="S170" s="343"/>
      <c r="T170" s="343"/>
      <c r="U170" s="343"/>
      <c r="V170" s="343"/>
      <c r="W170" s="343"/>
      <c r="X170" s="343"/>
      <c r="Y170" s="343"/>
      <c r="Z170" s="343"/>
      <c r="AA170" s="343"/>
      <c r="AB170" s="343"/>
      <c r="AC170" s="343"/>
      <c r="AD170" s="343"/>
      <c r="AE170" s="343"/>
      <c r="AF170" s="343"/>
      <c r="AG170" s="343"/>
      <c r="AH170" s="343"/>
      <c r="AI170" s="343"/>
      <c r="AJ170" s="343"/>
      <c r="AK170" s="343"/>
      <c r="AL170" s="343"/>
      <c r="AM170" s="343"/>
      <c r="AN170" s="343"/>
      <c r="AO170" s="343"/>
      <c r="AP170" s="343"/>
      <c r="AQ170" s="343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343"/>
      <c r="BG170" s="343"/>
      <c r="BH170" s="343"/>
    </row>
    <row r="171" spans="1:60" s="3" customFormat="1" ht="9.75" customHeight="1">
      <c r="A171" s="488"/>
      <c r="B171" s="127">
        <v>5</v>
      </c>
      <c r="C171" s="138">
        <v>150</v>
      </c>
      <c r="D171" s="138">
        <v>250</v>
      </c>
      <c r="E171" s="138">
        <v>2</v>
      </c>
      <c r="F171" s="138">
        <v>3</v>
      </c>
      <c r="G171" s="138">
        <v>6</v>
      </c>
      <c r="H171" s="138">
        <v>3</v>
      </c>
      <c r="I171" s="138">
        <v>8</v>
      </c>
      <c r="J171" s="138">
        <v>17</v>
      </c>
      <c r="K171" s="138"/>
      <c r="L171" s="139"/>
      <c r="M171" s="135">
        <f t="shared" si="19"/>
        <v>166</v>
      </c>
      <c r="N171" s="145">
        <f t="shared" si="20"/>
        <v>273</v>
      </c>
      <c r="O171" s="136">
        <f>M171/31</f>
        <v>5.354838709677419</v>
      </c>
      <c r="P171" s="137">
        <f>N171/31</f>
        <v>8.806451612903226</v>
      </c>
      <c r="Q171" s="343"/>
      <c r="R171" s="343"/>
      <c r="S171" s="343"/>
      <c r="T171" s="343"/>
      <c r="U171" s="343"/>
      <c r="V171" s="343"/>
      <c r="W171" s="343"/>
      <c r="X171" s="343"/>
      <c r="Y171" s="343"/>
      <c r="Z171" s="343"/>
      <c r="AA171" s="343"/>
      <c r="AB171" s="343"/>
      <c r="AC171" s="343"/>
      <c r="AD171" s="343"/>
      <c r="AE171" s="343"/>
      <c r="AF171" s="343"/>
      <c r="AG171" s="343"/>
      <c r="AH171" s="343"/>
      <c r="AI171" s="343"/>
      <c r="AJ171" s="343"/>
      <c r="AK171" s="343"/>
      <c r="AL171" s="343"/>
      <c r="AM171" s="343"/>
      <c r="AN171" s="343"/>
      <c r="AO171" s="343"/>
      <c r="AP171" s="343"/>
      <c r="AQ171" s="343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343"/>
      <c r="BG171" s="343"/>
      <c r="BH171" s="343"/>
    </row>
    <row r="172" spans="1:60" s="3" customFormat="1" ht="9.75" customHeight="1">
      <c r="A172" s="488"/>
      <c r="B172" s="127">
        <v>6</v>
      </c>
      <c r="C172" s="133">
        <v>913</v>
      </c>
      <c r="D172" s="133">
        <v>122</v>
      </c>
      <c r="E172" s="133">
        <v>60</v>
      </c>
      <c r="F172" s="133">
        <v>2</v>
      </c>
      <c r="G172" s="133">
        <v>189</v>
      </c>
      <c r="H172" s="133">
        <v>42</v>
      </c>
      <c r="I172" s="133">
        <v>34</v>
      </c>
      <c r="J172" s="133">
        <v>18</v>
      </c>
      <c r="K172" s="133"/>
      <c r="L172" s="144"/>
      <c r="M172" s="135">
        <f t="shared" si="19"/>
        <v>1196</v>
      </c>
      <c r="N172" s="145">
        <f t="shared" si="20"/>
        <v>184</v>
      </c>
      <c r="O172" s="136">
        <f>M172/30</f>
        <v>39.866666666666667</v>
      </c>
      <c r="P172" s="137">
        <f>N172/30</f>
        <v>6.1333333333333337</v>
      </c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343"/>
      <c r="AB172" s="343"/>
      <c r="AC172" s="343"/>
      <c r="AD172" s="343"/>
      <c r="AE172" s="343"/>
      <c r="AF172" s="343"/>
      <c r="AG172" s="343"/>
      <c r="AH172" s="343"/>
      <c r="AI172" s="343"/>
      <c r="AJ172" s="343"/>
      <c r="AK172" s="343"/>
      <c r="AL172" s="343"/>
      <c r="AM172" s="343"/>
      <c r="AN172" s="343"/>
      <c r="AO172" s="343"/>
      <c r="AP172" s="343"/>
      <c r="AQ172" s="343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343"/>
      <c r="BG172" s="343"/>
      <c r="BH172" s="343"/>
    </row>
    <row r="173" spans="1:60" s="3" customFormat="1" ht="9.75" customHeight="1">
      <c r="A173" s="488"/>
      <c r="B173" s="127">
        <v>7</v>
      </c>
      <c r="C173" s="133">
        <v>2262</v>
      </c>
      <c r="D173" s="133">
        <v>2788</v>
      </c>
      <c r="E173" s="133">
        <v>97</v>
      </c>
      <c r="F173" s="133">
        <v>65</v>
      </c>
      <c r="G173" s="133">
        <v>292</v>
      </c>
      <c r="H173" s="133">
        <v>256</v>
      </c>
      <c r="I173" s="133">
        <v>57</v>
      </c>
      <c r="J173" s="133">
        <v>53</v>
      </c>
      <c r="K173" s="133"/>
      <c r="L173" s="144"/>
      <c r="M173" s="135">
        <f t="shared" si="19"/>
        <v>2708</v>
      </c>
      <c r="N173" s="145">
        <f t="shared" si="20"/>
        <v>3162</v>
      </c>
      <c r="O173" s="136">
        <f>M173/31</f>
        <v>87.354838709677423</v>
      </c>
      <c r="P173" s="137">
        <f>N173/31</f>
        <v>102</v>
      </c>
      <c r="Q173" s="343"/>
      <c r="R173" s="343"/>
      <c r="S173" s="343"/>
      <c r="T173" s="343"/>
      <c r="U173" s="343"/>
      <c r="V173" s="343"/>
      <c r="W173" s="343"/>
      <c r="X173" s="343"/>
      <c r="Y173" s="343"/>
      <c r="Z173" s="343"/>
      <c r="AA173" s="343"/>
      <c r="AB173" s="343"/>
      <c r="AC173" s="343"/>
      <c r="AD173" s="343"/>
      <c r="AE173" s="343"/>
      <c r="AF173" s="343"/>
      <c r="AG173" s="343"/>
      <c r="AH173" s="343"/>
      <c r="AI173" s="343"/>
      <c r="AJ173" s="343"/>
      <c r="AK173" s="343"/>
      <c r="AL173" s="343"/>
      <c r="AM173" s="343"/>
      <c r="AN173" s="343"/>
      <c r="AO173" s="343"/>
      <c r="AP173" s="343"/>
      <c r="AQ173" s="343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343"/>
      <c r="BG173" s="343"/>
      <c r="BH173" s="343"/>
    </row>
    <row r="174" spans="1:60" s="3" customFormat="1" ht="9.75" customHeight="1">
      <c r="A174" s="488"/>
      <c r="B174" s="127">
        <v>8</v>
      </c>
      <c r="C174" s="133">
        <v>2204</v>
      </c>
      <c r="D174" s="133">
        <v>3339</v>
      </c>
      <c r="E174" s="133">
        <v>81</v>
      </c>
      <c r="F174" s="194">
        <v>88</v>
      </c>
      <c r="G174" s="133">
        <v>141</v>
      </c>
      <c r="H174" s="133">
        <v>244</v>
      </c>
      <c r="I174" s="133">
        <v>60</v>
      </c>
      <c r="J174" s="133">
        <v>58</v>
      </c>
      <c r="K174" s="133"/>
      <c r="L174" s="144"/>
      <c r="M174" s="135">
        <f t="shared" si="19"/>
        <v>2486</v>
      </c>
      <c r="N174" s="145">
        <f t="shared" si="20"/>
        <v>3729</v>
      </c>
      <c r="O174" s="136">
        <f>M174/31</f>
        <v>80.193548387096769</v>
      </c>
      <c r="P174" s="137">
        <f>N174/31</f>
        <v>120.29032258064517</v>
      </c>
      <c r="Q174" s="343"/>
      <c r="R174" s="343"/>
      <c r="S174" s="343"/>
      <c r="T174" s="343"/>
      <c r="U174" s="343"/>
      <c r="V174" s="343"/>
      <c r="W174" s="343"/>
      <c r="X174" s="343"/>
      <c r="Y174" s="343"/>
      <c r="Z174" s="343"/>
      <c r="AA174" s="343"/>
      <c r="AB174" s="343"/>
      <c r="AC174" s="343"/>
      <c r="AD174" s="343"/>
      <c r="AE174" s="343"/>
      <c r="AF174" s="343"/>
      <c r="AG174" s="343"/>
      <c r="AH174" s="343"/>
      <c r="AI174" s="343"/>
      <c r="AJ174" s="343"/>
      <c r="AK174" s="343"/>
      <c r="AL174" s="343"/>
      <c r="AM174" s="343"/>
      <c r="AN174" s="343"/>
      <c r="AO174" s="343"/>
      <c r="AP174" s="343"/>
      <c r="AQ174" s="343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343"/>
      <c r="BG174" s="343"/>
      <c r="BH174" s="343"/>
    </row>
    <row r="175" spans="1:60" s="3" customFormat="1" ht="9.75" customHeight="1">
      <c r="A175" s="488"/>
      <c r="B175" s="127">
        <v>9</v>
      </c>
      <c r="C175" s="133">
        <v>445</v>
      </c>
      <c r="D175" s="133">
        <v>733</v>
      </c>
      <c r="E175" s="133">
        <v>7</v>
      </c>
      <c r="F175" s="194">
        <v>15</v>
      </c>
      <c r="G175" s="133">
        <v>17</v>
      </c>
      <c r="H175" s="133">
        <v>19</v>
      </c>
      <c r="I175" s="133">
        <v>19</v>
      </c>
      <c r="J175" s="133">
        <v>24</v>
      </c>
      <c r="K175" s="133"/>
      <c r="L175" s="144"/>
      <c r="M175" s="135">
        <f t="shared" si="19"/>
        <v>488</v>
      </c>
      <c r="N175" s="145">
        <f t="shared" si="20"/>
        <v>791</v>
      </c>
      <c r="O175" s="136">
        <f>M175/30</f>
        <v>16.266666666666666</v>
      </c>
      <c r="P175" s="137">
        <f>N175/30</f>
        <v>26.366666666666667</v>
      </c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3"/>
      <c r="AI175" s="343"/>
      <c r="AJ175" s="343"/>
      <c r="AK175" s="343"/>
      <c r="AL175" s="343"/>
      <c r="AM175" s="343"/>
      <c r="AN175" s="343"/>
      <c r="AO175" s="343"/>
      <c r="AP175" s="343"/>
      <c r="AQ175" s="343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343"/>
      <c r="BG175" s="343"/>
      <c r="BH175" s="343"/>
    </row>
    <row r="176" spans="1:60" s="3" customFormat="1" ht="9.75" customHeight="1">
      <c r="A176" s="488"/>
      <c r="B176" s="127">
        <v>10</v>
      </c>
      <c r="C176" s="128">
        <v>114</v>
      </c>
      <c r="D176" s="128">
        <v>240</v>
      </c>
      <c r="E176" s="128">
        <v>0</v>
      </c>
      <c r="F176" s="128">
        <v>0</v>
      </c>
      <c r="G176" s="128">
        <v>6</v>
      </c>
      <c r="H176" s="128">
        <v>12</v>
      </c>
      <c r="I176" s="128">
        <v>9</v>
      </c>
      <c r="J176" s="128">
        <v>13</v>
      </c>
      <c r="K176" s="128"/>
      <c r="L176" s="129"/>
      <c r="M176" s="135">
        <f t="shared" si="19"/>
        <v>129</v>
      </c>
      <c r="N176" s="145">
        <f t="shared" si="20"/>
        <v>265</v>
      </c>
      <c r="O176" s="136">
        <f>M176/31</f>
        <v>4.161290322580645</v>
      </c>
      <c r="P176" s="137">
        <f>N176/31</f>
        <v>8.5483870967741939</v>
      </c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3"/>
      <c r="AI176" s="343"/>
      <c r="AJ176" s="343"/>
      <c r="AK176" s="343"/>
      <c r="AL176" s="343"/>
      <c r="AM176" s="343"/>
      <c r="AN176" s="343"/>
      <c r="AO176" s="343"/>
      <c r="AP176" s="343"/>
      <c r="AQ176" s="343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343"/>
      <c r="BG176" s="343"/>
      <c r="BH176" s="343"/>
    </row>
    <row r="177" spans="1:60" s="3" customFormat="1" ht="9.75" customHeight="1">
      <c r="A177" s="488"/>
      <c r="B177" s="127">
        <v>11</v>
      </c>
      <c r="C177" s="365">
        <v>1</v>
      </c>
      <c r="D177" s="365">
        <v>3</v>
      </c>
      <c r="E177" s="365">
        <v>0</v>
      </c>
      <c r="F177" s="365">
        <v>0</v>
      </c>
      <c r="G177" s="365">
        <v>0</v>
      </c>
      <c r="H177" s="365">
        <v>0</v>
      </c>
      <c r="I177" s="365">
        <v>0</v>
      </c>
      <c r="J177" s="365">
        <v>0</v>
      </c>
      <c r="K177" s="365"/>
      <c r="L177" s="366"/>
      <c r="M177" s="135">
        <f t="shared" si="19"/>
        <v>1</v>
      </c>
      <c r="N177" s="145">
        <f t="shared" si="20"/>
        <v>3</v>
      </c>
      <c r="O177" s="136">
        <f>M177/30</f>
        <v>3.3333333333333333E-2</v>
      </c>
      <c r="P177" s="137">
        <f>N177/30</f>
        <v>0.1</v>
      </c>
      <c r="Q177" s="343"/>
      <c r="R177" s="343"/>
      <c r="S177" s="343"/>
      <c r="T177" s="343"/>
      <c r="U177" s="343"/>
      <c r="V177" s="343"/>
      <c r="W177" s="343"/>
      <c r="X177" s="343"/>
      <c r="Y177" s="343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AP177" s="343"/>
      <c r="AQ177" s="343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343"/>
      <c r="BG177" s="343"/>
      <c r="BH177" s="343"/>
    </row>
    <row r="178" spans="1:60" s="3" customFormat="1" ht="9.75" customHeight="1" thickBot="1">
      <c r="A178" s="489"/>
      <c r="B178" s="127">
        <v>12</v>
      </c>
      <c r="C178" s="182">
        <v>0</v>
      </c>
      <c r="D178" s="182">
        <v>0</v>
      </c>
      <c r="E178" s="182">
        <v>0</v>
      </c>
      <c r="F178" s="195">
        <v>0</v>
      </c>
      <c r="G178" s="182">
        <v>0</v>
      </c>
      <c r="H178" s="182">
        <v>0</v>
      </c>
      <c r="I178" s="182">
        <v>0</v>
      </c>
      <c r="J178" s="182">
        <v>0</v>
      </c>
      <c r="K178" s="182"/>
      <c r="L178" s="183"/>
      <c r="M178" s="135">
        <f t="shared" si="19"/>
        <v>0</v>
      </c>
      <c r="N178" s="145">
        <f t="shared" si="20"/>
        <v>0</v>
      </c>
      <c r="O178" s="136">
        <f>M178/31</f>
        <v>0</v>
      </c>
      <c r="P178" s="137">
        <f>N178/31</f>
        <v>0</v>
      </c>
      <c r="Q178" s="343"/>
      <c r="R178" s="343"/>
      <c r="S178" s="343"/>
      <c r="T178" s="343"/>
      <c r="U178" s="343"/>
      <c r="V178" s="343"/>
      <c r="W178" s="343"/>
      <c r="X178" s="343"/>
      <c r="Y178" s="343"/>
      <c r="Z178" s="343"/>
      <c r="AA178" s="343"/>
      <c r="AB178" s="343"/>
      <c r="AC178" s="343"/>
      <c r="AD178" s="343"/>
      <c r="AE178" s="343"/>
      <c r="AF178" s="343"/>
      <c r="AG178" s="343"/>
      <c r="AH178" s="343"/>
      <c r="AI178" s="343"/>
      <c r="AJ178" s="343"/>
      <c r="AK178" s="343"/>
      <c r="AL178" s="343"/>
      <c r="AM178" s="343"/>
      <c r="AN178" s="343"/>
      <c r="AO178" s="343"/>
      <c r="AP178" s="343"/>
      <c r="AQ178" s="343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343"/>
      <c r="BG178" s="343"/>
      <c r="BH178" s="343"/>
    </row>
    <row r="179" spans="1:60" ht="12" customHeight="1">
      <c r="A179" s="473">
        <v>2017</v>
      </c>
      <c r="B179" s="410">
        <v>1</v>
      </c>
      <c r="C179" s="422">
        <v>0</v>
      </c>
      <c r="D179" s="422">
        <v>0</v>
      </c>
      <c r="E179" s="422">
        <v>0</v>
      </c>
      <c r="F179" s="422">
        <v>0</v>
      </c>
      <c r="G179" s="422">
        <v>0</v>
      </c>
      <c r="H179" s="422">
        <v>0</v>
      </c>
      <c r="I179" s="422">
        <v>0</v>
      </c>
      <c r="J179" s="422">
        <v>0</v>
      </c>
      <c r="K179" s="422"/>
      <c r="L179" s="423"/>
      <c r="M179" s="424">
        <f t="shared" si="19"/>
        <v>0</v>
      </c>
      <c r="N179" s="425">
        <f t="shared" si="20"/>
        <v>0</v>
      </c>
      <c r="O179" s="430">
        <f>M179/31</f>
        <v>0</v>
      </c>
      <c r="P179" s="427">
        <f>N179/31</f>
        <v>0</v>
      </c>
    </row>
    <row r="180" spans="1:60" ht="12" customHeight="1">
      <c r="A180" s="474"/>
      <c r="B180" s="127">
        <v>2</v>
      </c>
      <c r="C180" s="147">
        <v>0</v>
      </c>
      <c r="D180" s="147">
        <v>0</v>
      </c>
      <c r="E180" s="147">
        <v>0</v>
      </c>
      <c r="F180" s="147">
        <v>0</v>
      </c>
      <c r="G180" s="147">
        <v>0</v>
      </c>
      <c r="H180" s="147">
        <v>0</v>
      </c>
      <c r="I180" s="147">
        <v>0</v>
      </c>
      <c r="J180" s="147">
        <v>0</v>
      </c>
      <c r="K180" s="147"/>
      <c r="L180" s="148"/>
      <c r="M180" s="149">
        <f t="shared" si="19"/>
        <v>0</v>
      </c>
      <c r="N180" s="150">
        <f t="shared" si="20"/>
        <v>0</v>
      </c>
      <c r="O180" s="151">
        <f>M180/28</f>
        <v>0</v>
      </c>
      <c r="P180" s="152">
        <f>N180/28</f>
        <v>0</v>
      </c>
    </row>
    <row r="181" spans="1:60" ht="12" customHeight="1">
      <c r="A181" s="474"/>
      <c r="B181" s="127">
        <v>3</v>
      </c>
      <c r="C181" s="147">
        <v>0</v>
      </c>
      <c r="D181" s="147">
        <v>0</v>
      </c>
      <c r="E181" s="147">
        <v>0</v>
      </c>
      <c r="F181" s="147">
        <v>0</v>
      </c>
      <c r="G181" s="147">
        <v>0</v>
      </c>
      <c r="H181" s="147">
        <v>0</v>
      </c>
      <c r="I181" s="147">
        <v>0</v>
      </c>
      <c r="J181" s="147">
        <v>0</v>
      </c>
      <c r="K181" s="147"/>
      <c r="L181" s="148"/>
      <c r="M181" s="149">
        <f t="shared" si="19"/>
        <v>0</v>
      </c>
      <c r="N181" s="150">
        <f t="shared" si="20"/>
        <v>0</v>
      </c>
      <c r="O181" s="151">
        <f>M181/31</f>
        <v>0</v>
      </c>
      <c r="P181" s="152">
        <f>N181/31</f>
        <v>0</v>
      </c>
    </row>
    <row r="182" spans="1:60" ht="12" customHeight="1">
      <c r="A182" s="474"/>
      <c r="B182" s="127">
        <v>4</v>
      </c>
      <c r="C182" s="147">
        <v>0</v>
      </c>
      <c r="D182" s="147">
        <v>0</v>
      </c>
      <c r="E182" s="147">
        <v>0</v>
      </c>
      <c r="F182" s="147">
        <v>0</v>
      </c>
      <c r="G182" s="147">
        <v>0</v>
      </c>
      <c r="H182" s="147">
        <v>0</v>
      </c>
      <c r="I182" s="147">
        <v>0</v>
      </c>
      <c r="J182" s="147">
        <v>0</v>
      </c>
      <c r="K182" s="147"/>
      <c r="L182" s="148"/>
      <c r="M182" s="149">
        <f t="shared" si="19"/>
        <v>0</v>
      </c>
      <c r="N182" s="150">
        <f t="shared" si="20"/>
        <v>0</v>
      </c>
      <c r="O182" s="151">
        <f>M182/30</f>
        <v>0</v>
      </c>
      <c r="P182" s="152">
        <f>N182/30</f>
        <v>0</v>
      </c>
    </row>
    <row r="183" spans="1:60" ht="12" customHeight="1">
      <c r="A183" s="474"/>
      <c r="B183" s="127">
        <v>5</v>
      </c>
      <c r="C183" s="153">
        <v>0</v>
      </c>
      <c r="D183" s="153">
        <v>0</v>
      </c>
      <c r="E183" s="153">
        <v>0</v>
      </c>
      <c r="F183" s="153">
        <v>0</v>
      </c>
      <c r="G183" s="153">
        <v>0</v>
      </c>
      <c r="H183" s="153">
        <v>0</v>
      </c>
      <c r="I183" s="153">
        <v>0</v>
      </c>
      <c r="J183" s="153">
        <v>0</v>
      </c>
      <c r="K183" s="153">
        <v>0</v>
      </c>
      <c r="L183" s="300">
        <v>0</v>
      </c>
      <c r="M183" s="154">
        <f t="shared" si="19"/>
        <v>0</v>
      </c>
      <c r="N183" s="155">
        <f t="shared" si="20"/>
        <v>0</v>
      </c>
      <c r="O183" s="156">
        <f>M183/31</f>
        <v>0</v>
      </c>
      <c r="P183" s="157">
        <f>N183/31</f>
        <v>0</v>
      </c>
    </row>
    <row r="184" spans="1:60" ht="12" customHeight="1">
      <c r="A184" s="474"/>
      <c r="B184" s="127">
        <v>6</v>
      </c>
      <c r="C184" s="158">
        <v>665</v>
      </c>
      <c r="D184" s="158">
        <v>0</v>
      </c>
      <c r="E184" s="158">
        <v>44</v>
      </c>
      <c r="F184" s="158">
        <v>0</v>
      </c>
      <c r="G184" s="158">
        <v>266</v>
      </c>
      <c r="H184" s="158">
        <v>0</v>
      </c>
      <c r="I184" s="158">
        <v>10</v>
      </c>
      <c r="J184" s="158">
        <v>0</v>
      </c>
      <c r="K184" s="158">
        <v>12</v>
      </c>
      <c r="L184" s="158">
        <v>0</v>
      </c>
      <c r="M184" s="154">
        <f t="shared" si="19"/>
        <v>997</v>
      </c>
      <c r="N184" s="155">
        <f t="shared" si="20"/>
        <v>0</v>
      </c>
      <c r="O184" s="156">
        <f>M184/30</f>
        <v>33.233333333333334</v>
      </c>
      <c r="P184" s="157">
        <f>N184/30</f>
        <v>0</v>
      </c>
    </row>
    <row r="185" spans="1:60" ht="12" customHeight="1">
      <c r="A185" s="474"/>
      <c r="B185" s="127">
        <v>7</v>
      </c>
      <c r="C185" s="158">
        <v>2525</v>
      </c>
      <c r="D185" s="158">
        <v>5279</v>
      </c>
      <c r="E185" s="158">
        <v>128</v>
      </c>
      <c r="F185" s="158">
        <v>218</v>
      </c>
      <c r="G185" s="158">
        <v>461</v>
      </c>
      <c r="H185" s="158">
        <v>1250</v>
      </c>
      <c r="I185" s="158">
        <v>31</v>
      </c>
      <c r="J185" s="158">
        <v>53</v>
      </c>
      <c r="K185" s="158">
        <v>31</v>
      </c>
      <c r="L185" s="159">
        <v>73</v>
      </c>
      <c r="M185" s="154">
        <f t="shared" si="19"/>
        <v>3176</v>
      </c>
      <c r="N185" s="155">
        <f t="shared" si="20"/>
        <v>6873</v>
      </c>
      <c r="O185" s="156">
        <f>M185/31</f>
        <v>102.45161290322581</v>
      </c>
      <c r="P185" s="157">
        <f>N185/31</f>
        <v>221.70967741935485</v>
      </c>
    </row>
    <row r="186" spans="1:60" ht="12" customHeight="1">
      <c r="A186" s="474"/>
      <c r="B186" s="127">
        <v>8</v>
      </c>
      <c r="C186" s="158">
        <v>1480</v>
      </c>
      <c r="D186" s="158">
        <v>4522</v>
      </c>
      <c r="E186" s="158">
        <v>71</v>
      </c>
      <c r="F186" s="169">
        <v>241</v>
      </c>
      <c r="G186" s="158">
        <v>179</v>
      </c>
      <c r="H186" s="158">
        <v>1036</v>
      </c>
      <c r="I186" s="158">
        <v>13</v>
      </c>
      <c r="J186" s="158">
        <v>75</v>
      </c>
      <c r="K186" s="158">
        <v>2</v>
      </c>
      <c r="L186" s="159">
        <v>32</v>
      </c>
      <c r="M186" s="154">
        <f t="shared" si="19"/>
        <v>1745</v>
      </c>
      <c r="N186" s="155">
        <f t="shared" si="20"/>
        <v>5906</v>
      </c>
      <c r="O186" s="156">
        <f>M186/31</f>
        <v>56.29032258064516</v>
      </c>
      <c r="P186" s="157">
        <f>N186/31</f>
        <v>190.51612903225808</v>
      </c>
    </row>
    <row r="187" spans="1:60" ht="12" customHeight="1">
      <c r="A187" s="474"/>
      <c r="B187" s="127">
        <v>9</v>
      </c>
      <c r="C187" s="158">
        <v>0</v>
      </c>
      <c r="D187" s="158">
        <v>0</v>
      </c>
      <c r="E187" s="158">
        <v>0</v>
      </c>
      <c r="F187" s="169">
        <v>0</v>
      </c>
      <c r="G187" s="158">
        <v>0</v>
      </c>
      <c r="H187" s="158">
        <v>0</v>
      </c>
      <c r="I187" s="158">
        <v>0</v>
      </c>
      <c r="J187" s="158">
        <v>0</v>
      </c>
      <c r="K187" s="158">
        <v>0</v>
      </c>
      <c r="L187" s="159">
        <v>0</v>
      </c>
      <c r="M187" s="154">
        <f t="shared" si="19"/>
        <v>0</v>
      </c>
      <c r="N187" s="155">
        <f t="shared" si="20"/>
        <v>0</v>
      </c>
      <c r="O187" s="156">
        <f>M187/30</f>
        <v>0</v>
      </c>
      <c r="P187" s="157">
        <f>N187/30</f>
        <v>0</v>
      </c>
    </row>
    <row r="188" spans="1:60" ht="12" customHeight="1">
      <c r="A188" s="474"/>
      <c r="B188" s="127">
        <v>10</v>
      </c>
      <c r="C188" s="147">
        <v>0</v>
      </c>
      <c r="D188" s="147">
        <v>0</v>
      </c>
      <c r="E188" s="147">
        <v>0</v>
      </c>
      <c r="F188" s="147">
        <v>0</v>
      </c>
      <c r="G188" s="147">
        <v>0</v>
      </c>
      <c r="H188" s="147">
        <v>0</v>
      </c>
      <c r="I188" s="147">
        <v>0</v>
      </c>
      <c r="J188" s="147">
        <v>0</v>
      </c>
      <c r="K188" s="147">
        <v>0</v>
      </c>
      <c r="L188" s="148">
        <v>0</v>
      </c>
      <c r="M188" s="154">
        <f t="shared" si="19"/>
        <v>0</v>
      </c>
      <c r="N188" s="155">
        <f t="shared" si="20"/>
        <v>0</v>
      </c>
      <c r="O188" s="156">
        <f>M188/31</f>
        <v>0</v>
      </c>
      <c r="P188" s="157">
        <f>N188/31</f>
        <v>0</v>
      </c>
    </row>
    <row r="189" spans="1:60" ht="12" customHeight="1">
      <c r="A189" s="474"/>
      <c r="B189" s="127">
        <v>11</v>
      </c>
      <c r="C189" s="367">
        <v>0</v>
      </c>
      <c r="D189" s="367">
        <v>0</v>
      </c>
      <c r="E189" s="367">
        <v>0</v>
      </c>
      <c r="F189" s="367">
        <v>0</v>
      </c>
      <c r="G189" s="367">
        <v>0</v>
      </c>
      <c r="H189" s="367">
        <v>0</v>
      </c>
      <c r="I189" s="367">
        <v>0</v>
      </c>
      <c r="J189" s="367">
        <v>0</v>
      </c>
      <c r="K189" s="367">
        <v>0</v>
      </c>
      <c r="L189" s="368">
        <v>0</v>
      </c>
      <c r="M189" s="154">
        <f t="shared" si="19"/>
        <v>0</v>
      </c>
      <c r="N189" s="155">
        <f t="shared" si="20"/>
        <v>0</v>
      </c>
      <c r="O189" s="156">
        <f>M189/30</f>
        <v>0</v>
      </c>
      <c r="P189" s="157">
        <f>N189/30</f>
        <v>0</v>
      </c>
    </row>
    <row r="190" spans="1:60" ht="12" customHeight="1" thickBot="1">
      <c r="A190" s="475"/>
      <c r="B190" s="127">
        <v>12</v>
      </c>
      <c r="C190" s="187">
        <v>0</v>
      </c>
      <c r="D190" s="187">
        <v>0</v>
      </c>
      <c r="E190" s="187">
        <v>0</v>
      </c>
      <c r="F190" s="188">
        <v>0</v>
      </c>
      <c r="G190" s="187">
        <v>0</v>
      </c>
      <c r="H190" s="187">
        <v>0</v>
      </c>
      <c r="I190" s="187">
        <v>0</v>
      </c>
      <c r="J190" s="187">
        <v>0</v>
      </c>
      <c r="K190" s="187">
        <v>0</v>
      </c>
      <c r="L190" s="189">
        <v>0</v>
      </c>
      <c r="M190" s="154">
        <f t="shared" si="19"/>
        <v>0</v>
      </c>
      <c r="N190" s="155">
        <f t="shared" si="20"/>
        <v>0</v>
      </c>
      <c r="O190" s="156">
        <f>M190/31</f>
        <v>0</v>
      </c>
      <c r="P190" s="157">
        <f>N190/31</f>
        <v>0</v>
      </c>
    </row>
    <row r="191" spans="1:60" ht="12" customHeight="1">
      <c r="A191" s="473">
        <v>2018</v>
      </c>
      <c r="B191" s="410">
        <v>1</v>
      </c>
      <c r="C191" s="422">
        <v>0</v>
      </c>
      <c r="D191" s="422">
        <v>0</v>
      </c>
      <c r="E191" s="422">
        <v>0</v>
      </c>
      <c r="F191" s="422">
        <v>0</v>
      </c>
      <c r="G191" s="422">
        <v>0</v>
      </c>
      <c r="H191" s="422">
        <v>0</v>
      </c>
      <c r="I191" s="422">
        <v>0</v>
      </c>
      <c r="J191" s="422">
        <v>0</v>
      </c>
      <c r="K191" s="422">
        <v>0</v>
      </c>
      <c r="L191" s="423">
        <v>0</v>
      </c>
      <c r="M191" s="424">
        <f t="shared" si="19"/>
        <v>0</v>
      </c>
      <c r="N191" s="425">
        <f t="shared" si="20"/>
        <v>0</v>
      </c>
      <c r="O191" s="430">
        <f>M191/31</f>
        <v>0</v>
      </c>
      <c r="P191" s="427">
        <f>N191/31</f>
        <v>0</v>
      </c>
    </row>
    <row r="192" spans="1:60" ht="12" customHeight="1">
      <c r="A192" s="474"/>
      <c r="B192" s="127">
        <v>2</v>
      </c>
      <c r="C192" s="147">
        <v>0</v>
      </c>
      <c r="D192" s="147">
        <v>0</v>
      </c>
      <c r="E192" s="147">
        <v>0</v>
      </c>
      <c r="F192" s="147">
        <v>0</v>
      </c>
      <c r="G192" s="147">
        <v>0</v>
      </c>
      <c r="H192" s="147">
        <v>0</v>
      </c>
      <c r="I192" s="147">
        <v>0</v>
      </c>
      <c r="J192" s="147">
        <v>0</v>
      </c>
      <c r="K192" s="147">
        <v>0</v>
      </c>
      <c r="L192" s="148">
        <v>0</v>
      </c>
      <c r="M192" s="149">
        <f t="shared" si="19"/>
        <v>0</v>
      </c>
      <c r="N192" s="150">
        <f t="shared" si="20"/>
        <v>0</v>
      </c>
      <c r="O192" s="151">
        <f>M192/28</f>
        <v>0</v>
      </c>
      <c r="P192" s="152">
        <f>N192/28</f>
        <v>0</v>
      </c>
    </row>
    <row r="193" spans="1:16" ht="12" customHeight="1">
      <c r="A193" s="474"/>
      <c r="B193" s="127">
        <v>3</v>
      </c>
      <c r="C193" s="147">
        <v>0</v>
      </c>
      <c r="D193" s="147">
        <v>0</v>
      </c>
      <c r="E193" s="147">
        <v>0</v>
      </c>
      <c r="F193" s="147">
        <v>0</v>
      </c>
      <c r="G193" s="147">
        <v>0</v>
      </c>
      <c r="H193" s="147">
        <v>0</v>
      </c>
      <c r="I193" s="147">
        <v>0</v>
      </c>
      <c r="J193" s="147">
        <v>0</v>
      </c>
      <c r="K193" s="147">
        <v>0</v>
      </c>
      <c r="L193" s="148">
        <v>0</v>
      </c>
      <c r="M193" s="149">
        <f t="shared" si="19"/>
        <v>0</v>
      </c>
      <c r="N193" s="150">
        <f t="shared" si="20"/>
        <v>0</v>
      </c>
      <c r="O193" s="151">
        <f>M193/31</f>
        <v>0</v>
      </c>
      <c r="P193" s="152">
        <f>N193/31</f>
        <v>0</v>
      </c>
    </row>
    <row r="194" spans="1:16" ht="12" customHeight="1">
      <c r="A194" s="474"/>
      <c r="B194" s="127">
        <v>4</v>
      </c>
      <c r="C194" s="147">
        <v>0</v>
      </c>
      <c r="D194" s="147">
        <v>0</v>
      </c>
      <c r="E194" s="147">
        <v>0</v>
      </c>
      <c r="F194" s="147">
        <v>0</v>
      </c>
      <c r="G194" s="147">
        <v>0</v>
      </c>
      <c r="H194" s="147">
        <v>0</v>
      </c>
      <c r="I194" s="147">
        <v>0</v>
      </c>
      <c r="J194" s="147">
        <v>0</v>
      </c>
      <c r="K194" s="147">
        <v>0</v>
      </c>
      <c r="L194" s="148">
        <v>0</v>
      </c>
      <c r="M194" s="149">
        <f t="shared" si="19"/>
        <v>0</v>
      </c>
      <c r="N194" s="150">
        <f t="shared" si="20"/>
        <v>0</v>
      </c>
      <c r="O194" s="151">
        <f>M194/30</f>
        <v>0</v>
      </c>
      <c r="P194" s="152">
        <f>N194/30</f>
        <v>0</v>
      </c>
    </row>
    <row r="195" spans="1:16" ht="12" customHeight="1">
      <c r="A195" s="474"/>
      <c r="B195" s="127">
        <v>5</v>
      </c>
      <c r="C195" s="153">
        <v>0</v>
      </c>
      <c r="D195" s="153">
        <v>0</v>
      </c>
      <c r="E195" s="153">
        <v>0</v>
      </c>
      <c r="F195" s="153">
        <v>0</v>
      </c>
      <c r="G195" s="153">
        <v>0</v>
      </c>
      <c r="H195" s="153">
        <v>0</v>
      </c>
      <c r="I195" s="153">
        <v>0</v>
      </c>
      <c r="J195" s="153">
        <v>0</v>
      </c>
      <c r="K195" s="153">
        <v>0</v>
      </c>
      <c r="L195" s="300">
        <v>0</v>
      </c>
      <c r="M195" s="154">
        <f t="shared" si="19"/>
        <v>0</v>
      </c>
      <c r="N195" s="155">
        <f t="shared" si="20"/>
        <v>0</v>
      </c>
      <c r="O195" s="156">
        <f>M195/31</f>
        <v>0</v>
      </c>
      <c r="P195" s="157">
        <f>N195/31</f>
        <v>0</v>
      </c>
    </row>
    <row r="196" spans="1:16" ht="12" customHeight="1">
      <c r="A196" s="474"/>
      <c r="B196" s="127">
        <v>6</v>
      </c>
      <c r="C196" s="158">
        <v>776</v>
      </c>
      <c r="D196" s="158">
        <v>0</v>
      </c>
      <c r="E196" s="158">
        <v>46</v>
      </c>
      <c r="F196" s="158">
        <v>0</v>
      </c>
      <c r="G196" s="158">
        <v>232</v>
      </c>
      <c r="H196" s="158">
        <v>0</v>
      </c>
      <c r="I196" s="158">
        <v>11</v>
      </c>
      <c r="J196" s="158">
        <v>0</v>
      </c>
      <c r="K196" s="158">
        <v>20</v>
      </c>
      <c r="L196" s="158">
        <v>0</v>
      </c>
      <c r="M196" s="154">
        <f t="shared" si="19"/>
        <v>1085</v>
      </c>
      <c r="N196" s="155">
        <f t="shared" si="20"/>
        <v>0</v>
      </c>
      <c r="O196" s="156">
        <f>M196/30</f>
        <v>36.166666666666664</v>
      </c>
      <c r="P196" s="157">
        <f>N196/30</f>
        <v>0</v>
      </c>
    </row>
    <row r="197" spans="1:16" ht="12" customHeight="1">
      <c r="A197" s="474"/>
      <c r="B197" s="127">
        <v>7</v>
      </c>
      <c r="C197" s="158">
        <v>1809</v>
      </c>
      <c r="D197" s="158">
        <v>5311</v>
      </c>
      <c r="E197" s="158">
        <v>57</v>
      </c>
      <c r="F197" s="158">
        <v>180</v>
      </c>
      <c r="G197" s="158">
        <v>170</v>
      </c>
      <c r="H197" s="158">
        <v>964</v>
      </c>
      <c r="I197" s="158">
        <v>17</v>
      </c>
      <c r="J197" s="158">
        <v>85</v>
      </c>
      <c r="K197" s="158">
        <v>35</v>
      </c>
      <c r="L197" s="159">
        <v>126</v>
      </c>
      <c r="M197" s="154">
        <f t="shared" ref="M197:M208" si="21">+C197+E197+G197+I197+K197</f>
        <v>2088</v>
      </c>
      <c r="N197" s="155">
        <f t="shared" ref="N197:N208" si="22">+D197+F197+H197+J197+L197</f>
        <v>6666</v>
      </c>
      <c r="O197" s="156">
        <f>M197/31</f>
        <v>67.354838709677423</v>
      </c>
      <c r="P197" s="157">
        <f>N197/31</f>
        <v>215.03225806451613</v>
      </c>
    </row>
    <row r="198" spans="1:16" ht="12" customHeight="1">
      <c r="A198" s="474"/>
      <c r="B198" s="127">
        <v>8</v>
      </c>
      <c r="C198" s="158">
        <v>0</v>
      </c>
      <c r="D198" s="158">
        <v>0</v>
      </c>
      <c r="E198" s="158">
        <v>0</v>
      </c>
      <c r="F198" s="169">
        <v>0</v>
      </c>
      <c r="G198" s="158">
        <v>0</v>
      </c>
      <c r="H198" s="158">
        <v>0</v>
      </c>
      <c r="I198" s="158">
        <v>0</v>
      </c>
      <c r="J198" s="158">
        <v>0</v>
      </c>
      <c r="K198" s="158">
        <v>0</v>
      </c>
      <c r="L198" s="159">
        <v>0</v>
      </c>
      <c r="M198" s="154">
        <f t="shared" si="21"/>
        <v>0</v>
      </c>
      <c r="N198" s="155">
        <f t="shared" si="22"/>
        <v>0</v>
      </c>
      <c r="O198" s="156">
        <f>M198/31</f>
        <v>0</v>
      </c>
      <c r="P198" s="157">
        <f>N198/31</f>
        <v>0</v>
      </c>
    </row>
    <row r="199" spans="1:16" ht="12" customHeight="1">
      <c r="A199" s="474"/>
      <c r="B199" s="127">
        <v>9</v>
      </c>
      <c r="C199" s="158">
        <v>0</v>
      </c>
      <c r="D199" s="158">
        <v>0</v>
      </c>
      <c r="E199" s="158">
        <v>0</v>
      </c>
      <c r="F199" s="169">
        <v>0</v>
      </c>
      <c r="G199" s="158">
        <v>0</v>
      </c>
      <c r="H199" s="158">
        <v>0</v>
      </c>
      <c r="I199" s="158">
        <v>0</v>
      </c>
      <c r="J199" s="158">
        <v>0</v>
      </c>
      <c r="K199" s="158">
        <v>0</v>
      </c>
      <c r="L199" s="159">
        <v>0</v>
      </c>
      <c r="M199" s="154">
        <f t="shared" si="21"/>
        <v>0</v>
      </c>
      <c r="N199" s="155">
        <f t="shared" si="22"/>
        <v>0</v>
      </c>
      <c r="O199" s="156">
        <f>M199/30</f>
        <v>0</v>
      </c>
      <c r="P199" s="157">
        <f>N199/30</f>
        <v>0</v>
      </c>
    </row>
    <row r="200" spans="1:16" ht="12" customHeight="1">
      <c r="A200" s="474"/>
      <c r="B200" s="127">
        <v>10</v>
      </c>
      <c r="C200" s="147">
        <v>0</v>
      </c>
      <c r="D200" s="147">
        <v>0</v>
      </c>
      <c r="E200" s="147">
        <v>0</v>
      </c>
      <c r="F200" s="147">
        <v>0</v>
      </c>
      <c r="G200" s="147">
        <v>0</v>
      </c>
      <c r="H200" s="147">
        <v>0</v>
      </c>
      <c r="I200" s="147">
        <v>0</v>
      </c>
      <c r="J200" s="147">
        <v>0</v>
      </c>
      <c r="K200" s="147">
        <v>0</v>
      </c>
      <c r="L200" s="148">
        <v>0</v>
      </c>
      <c r="M200" s="154">
        <f t="shared" si="21"/>
        <v>0</v>
      </c>
      <c r="N200" s="155">
        <f t="shared" si="22"/>
        <v>0</v>
      </c>
      <c r="O200" s="156">
        <f>M200/31</f>
        <v>0</v>
      </c>
      <c r="P200" s="157">
        <f>N200/31</f>
        <v>0</v>
      </c>
    </row>
    <row r="201" spans="1:16" ht="12" customHeight="1">
      <c r="A201" s="474"/>
      <c r="B201" s="127">
        <v>11</v>
      </c>
      <c r="C201" s="367">
        <v>0</v>
      </c>
      <c r="D201" s="367">
        <v>0</v>
      </c>
      <c r="E201" s="367">
        <v>0</v>
      </c>
      <c r="F201" s="367">
        <v>0</v>
      </c>
      <c r="G201" s="367">
        <v>0</v>
      </c>
      <c r="H201" s="367">
        <v>0</v>
      </c>
      <c r="I201" s="367">
        <v>0</v>
      </c>
      <c r="J201" s="367">
        <v>0</v>
      </c>
      <c r="K201" s="367">
        <v>0</v>
      </c>
      <c r="L201" s="368">
        <v>0</v>
      </c>
      <c r="M201" s="154">
        <f t="shared" si="21"/>
        <v>0</v>
      </c>
      <c r="N201" s="155">
        <f t="shared" si="22"/>
        <v>0</v>
      </c>
      <c r="O201" s="156">
        <f>M201/30</f>
        <v>0</v>
      </c>
      <c r="P201" s="157">
        <f>N201/30</f>
        <v>0</v>
      </c>
    </row>
    <row r="202" spans="1:16" ht="12" customHeight="1" thickBot="1">
      <c r="A202" s="475"/>
      <c r="B202" s="127">
        <v>12</v>
      </c>
      <c r="C202" s="187">
        <v>0</v>
      </c>
      <c r="D202" s="187">
        <v>0</v>
      </c>
      <c r="E202" s="187">
        <v>0</v>
      </c>
      <c r="F202" s="188">
        <v>0</v>
      </c>
      <c r="G202" s="187">
        <v>0</v>
      </c>
      <c r="H202" s="187">
        <v>0</v>
      </c>
      <c r="I202" s="187">
        <v>0</v>
      </c>
      <c r="J202" s="187">
        <v>0</v>
      </c>
      <c r="K202" s="187">
        <v>0</v>
      </c>
      <c r="L202" s="189">
        <v>0</v>
      </c>
      <c r="M202" s="154">
        <f t="shared" si="21"/>
        <v>0</v>
      </c>
      <c r="N202" s="155">
        <f t="shared" si="22"/>
        <v>0</v>
      </c>
      <c r="O202" s="156">
        <f>M202/31</f>
        <v>0</v>
      </c>
      <c r="P202" s="157">
        <f>N202/31</f>
        <v>0</v>
      </c>
    </row>
    <row r="203" spans="1:16" ht="12" customHeight="1">
      <c r="A203" s="473">
        <v>2019</v>
      </c>
      <c r="B203" s="410">
        <v>1</v>
      </c>
      <c r="C203" s="422">
        <v>0</v>
      </c>
      <c r="D203" s="422">
        <v>0</v>
      </c>
      <c r="E203" s="422">
        <v>0</v>
      </c>
      <c r="F203" s="422">
        <v>0</v>
      </c>
      <c r="G203" s="422">
        <v>0</v>
      </c>
      <c r="H203" s="422">
        <v>0</v>
      </c>
      <c r="I203" s="422">
        <v>0</v>
      </c>
      <c r="J203" s="422">
        <v>0</v>
      </c>
      <c r="K203" s="422">
        <v>0</v>
      </c>
      <c r="L203" s="423">
        <v>0</v>
      </c>
      <c r="M203" s="424">
        <f t="shared" si="21"/>
        <v>0</v>
      </c>
      <c r="N203" s="425">
        <f t="shared" si="22"/>
        <v>0</v>
      </c>
      <c r="O203" s="430">
        <f>M203/31</f>
        <v>0</v>
      </c>
      <c r="P203" s="427">
        <f>N203/31</f>
        <v>0</v>
      </c>
    </row>
    <row r="204" spans="1:16" ht="12" customHeight="1">
      <c r="A204" s="474"/>
      <c r="B204" s="127">
        <v>2</v>
      </c>
      <c r="C204" s="147">
        <v>0</v>
      </c>
      <c r="D204" s="147">
        <v>0</v>
      </c>
      <c r="E204" s="147">
        <v>0</v>
      </c>
      <c r="F204" s="147">
        <v>0</v>
      </c>
      <c r="G204" s="147">
        <v>0</v>
      </c>
      <c r="H204" s="147">
        <v>0</v>
      </c>
      <c r="I204" s="147">
        <v>0</v>
      </c>
      <c r="J204" s="147">
        <v>0</v>
      </c>
      <c r="K204" s="147">
        <v>0</v>
      </c>
      <c r="L204" s="148">
        <v>0</v>
      </c>
      <c r="M204" s="149">
        <f t="shared" si="21"/>
        <v>0</v>
      </c>
      <c r="N204" s="150">
        <f t="shared" si="22"/>
        <v>0</v>
      </c>
      <c r="O204" s="151">
        <f>M204/28</f>
        <v>0</v>
      </c>
      <c r="P204" s="152">
        <f>N204/28</f>
        <v>0</v>
      </c>
    </row>
    <row r="205" spans="1:16" ht="12" customHeight="1">
      <c r="A205" s="474"/>
      <c r="B205" s="127">
        <v>3</v>
      </c>
      <c r="C205" s="147">
        <v>0</v>
      </c>
      <c r="D205" s="147">
        <v>0</v>
      </c>
      <c r="E205" s="147">
        <v>0</v>
      </c>
      <c r="F205" s="147">
        <v>0</v>
      </c>
      <c r="G205" s="147">
        <v>0</v>
      </c>
      <c r="H205" s="147">
        <v>0</v>
      </c>
      <c r="I205" s="147">
        <v>0</v>
      </c>
      <c r="J205" s="147">
        <v>0</v>
      </c>
      <c r="K205" s="147">
        <v>0</v>
      </c>
      <c r="L205" s="148">
        <v>0</v>
      </c>
      <c r="M205" s="149">
        <f t="shared" si="21"/>
        <v>0</v>
      </c>
      <c r="N205" s="150">
        <f t="shared" si="22"/>
        <v>0</v>
      </c>
      <c r="O205" s="151">
        <f>M205/31</f>
        <v>0</v>
      </c>
      <c r="P205" s="152">
        <f>N205/31</f>
        <v>0</v>
      </c>
    </row>
    <row r="206" spans="1:16" ht="12" customHeight="1">
      <c r="A206" s="474"/>
      <c r="B206" s="127">
        <v>4</v>
      </c>
      <c r="C206" s="147">
        <v>0</v>
      </c>
      <c r="D206" s="147">
        <v>0</v>
      </c>
      <c r="E206" s="147">
        <v>0</v>
      </c>
      <c r="F206" s="147">
        <v>0</v>
      </c>
      <c r="G206" s="147">
        <v>0</v>
      </c>
      <c r="H206" s="147">
        <v>0</v>
      </c>
      <c r="I206" s="147">
        <v>0</v>
      </c>
      <c r="J206" s="147">
        <v>0</v>
      </c>
      <c r="K206" s="147">
        <v>0</v>
      </c>
      <c r="L206" s="148">
        <v>0</v>
      </c>
      <c r="M206" s="149">
        <f t="shared" si="21"/>
        <v>0</v>
      </c>
      <c r="N206" s="150">
        <f t="shared" si="22"/>
        <v>0</v>
      </c>
      <c r="O206" s="151">
        <f>M206/30</f>
        <v>0</v>
      </c>
      <c r="P206" s="152">
        <f>N206/30</f>
        <v>0</v>
      </c>
    </row>
    <row r="207" spans="1:16" ht="12" customHeight="1">
      <c r="A207" s="474"/>
      <c r="B207" s="127">
        <v>5</v>
      </c>
      <c r="C207" s="153">
        <v>0</v>
      </c>
      <c r="D207" s="153">
        <v>0</v>
      </c>
      <c r="E207" s="153">
        <v>0</v>
      </c>
      <c r="F207" s="153">
        <v>0</v>
      </c>
      <c r="G207" s="153">
        <v>0</v>
      </c>
      <c r="H207" s="153">
        <v>0</v>
      </c>
      <c r="I207" s="153">
        <v>0</v>
      </c>
      <c r="J207" s="153">
        <v>0</v>
      </c>
      <c r="K207" s="153">
        <v>0</v>
      </c>
      <c r="L207" s="300">
        <v>0</v>
      </c>
      <c r="M207" s="154">
        <f t="shared" si="21"/>
        <v>0</v>
      </c>
      <c r="N207" s="155">
        <f t="shared" si="22"/>
        <v>0</v>
      </c>
      <c r="O207" s="156">
        <f>M207/31</f>
        <v>0</v>
      </c>
      <c r="P207" s="157">
        <f>N207/31</f>
        <v>0</v>
      </c>
    </row>
    <row r="208" spans="1:16" ht="12" customHeight="1">
      <c r="A208" s="474"/>
      <c r="B208" s="127">
        <v>6</v>
      </c>
      <c r="C208" s="158">
        <v>0</v>
      </c>
      <c r="D208" s="158">
        <v>0</v>
      </c>
      <c r="E208" s="158">
        <v>0</v>
      </c>
      <c r="F208" s="158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4">
        <f t="shared" si="21"/>
        <v>0</v>
      </c>
      <c r="N208" s="155">
        <f t="shared" si="22"/>
        <v>0</v>
      </c>
      <c r="O208" s="156">
        <f>M208/30</f>
        <v>0</v>
      </c>
      <c r="P208" s="157">
        <f>N208/30</f>
        <v>0</v>
      </c>
    </row>
    <row r="209" spans="1:16" ht="12" customHeight="1">
      <c r="A209" s="474"/>
      <c r="B209" s="127">
        <v>7</v>
      </c>
      <c r="C209" s="158">
        <v>0</v>
      </c>
      <c r="D209" s="158">
        <v>0</v>
      </c>
      <c r="E209" s="158">
        <v>0</v>
      </c>
      <c r="F209" s="158">
        <v>0</v>
      </c>
      <c r="G209" s="158">
        <v>0</v>
      </c>
      <c r="H209" s="158">
        <v>0</v>
      </c>
      <c r="I209" s="158">
        <v>0</v>
      </c>
      <c r="J209" s="158">
        <v>0</v>
      </c>
      <c r="K209" s="158">
        <v>0</v>
      </c>
      <c r="L209" s="159">
        <v>0</v>
      </c>
      <c r="M209" s="154">
        <f t="shared" ref="M209:M220" si="23">+C209+E209+G209+I209+K209</f>
        <v>0</v>
      </c>
      <c r="N209" s="155">
        <f t="shared" ref="N209:N220" si="24">+D209+F209+H209+J209+L209</f>
        <v>0</v>
      </c>
      <c r="O209" s="156">
        <f>M209/31</f>
        <v>0</v>
      </c>
      <c r="P209" s="157">
        <f>N209/31</f>
        <v>0</v>
      </c>
    </row>
    <row r="210" spans="1:16" ht="12" customHeight="1">
      <c r="A210" s="474"/>
      <c r="B210" s="127">
        <v>8</v>
      </c>
      <c r="C210" s="158">
        <v>0</v>
      </c>
      <c r="D210" s="158">
        <v>0</v>
      </c>
      <c r="E210" s="158">
        <v>0</v>
      </c>
      <c r="F210" s="169">
        <v>0</v>
      </c>
      <c r="G210" s="158">
        <v>0</v>
      </c>
      <c r="H210" s="158">
        <v>0</v>
      </c>
      <c r="I210" s="158">
        <v>0</v>
      </c>
      <c r="J210" s="158">
        <v>0</v>
      </c>
      <c r="K210" s="158">
        <v>0</v>
      </c>
      <c r="L210" s="159">
        <v>0</v>
      </c>
      <c r="M210" s="154">
        <f t="shared" si="23"/>
        <v>0</v>
      </c>
      <c r="N210" s="155">
        <f t="shared" si="24"/>
        <v>0</v>
      </c>
      <c r="O210" s="156">
        <f>M210/31</f>
        <v>0</v>
      </c>
      <c r="P210" s="157">
        <f>N210/31</f>
        <v>0</v>
      </c>
    </row>
    <row r="211" spans="1:16" ht="12" customHeight="1">
      <c r="A211" s="474"/>
      <c r="B211" s="127">
        <v>9</v>
      </c>
      <c r="C211" s="158">
        <v>0</v>
      </c>
      <c r="D211" s="158">
        <v>0</v>
      </c>
      <c r="E211" s="158">
        <v>0</v>
      </c>
      <c r="F211" s="169">
        <v>0</v>
      </c>
      <c r="G211" s="158">
        <v>0</v>
      </c>
      <c r="H211" s="158">
        <v>0</v>
      </c>
      <c r="I211" s="158">
        <v>0</v>
      </c>
      <c r="J211" s="158">
        <v>0</v>
      </c>
      <c r="K211" s="158">
        <v>0</v>
      </c>
      <c r="L211" s="159">
        <v>0</v>
      </c>
      <c r="M211" s="154">
        <f t="shared" si="23"/>
        <v>0</v>
      </c>
      <c r="N211" s="155">
        <f t="shared" si="24"/>
        <v>0</v>
      </c>
      <c r="O211" s="156">
        <f>M211/30</f>
        <v>0</v>
      </c>
      <c r="P211" s="157">
        <f>N211/30</f>
        <v>0</v>
      </c>
    </row>
    <row r="212" spans="1:16" ht="12" customHeight="1">
      <c r="A212" s="474"/>
      <c r="B212" s="127">
        <v>10</v>
      </c>
      <c r="C212" s="147">
        <v>0</v>
      </c>
      <c r="D212" s="147">
        <v>0</v>
      </c>
      <c r="E212" s="147">
        <v>0</v>
      </c>
      <c r="F212" s="147">
        <v>0</v>
      </c>
      <c r="G212" s="147">
        <v>0</v>
      </c>
      <c r="H212" s="147">
        <v>0</v>
      </c>
      <c r="I212" s="147">
        <v>0</v>
      </c>
      <c r="J212" s="147">
        <v>0</v>
      </c>
      <c r="K212" s="147">
        <v>0</v>
      </c>
      <c r="L212" s="148">
        <v>0</v>
      </c>
      <c r="M212" s="154">
        <f t="shared" si="23"/>
        <v>0</v>
      </c>
      <c r="N212" s="155">
        <f t="shared" si="24"/>
        <v>0</v>
      </c>
      <c r="O212" s="156">
        <f>M212/31</f>
        <v>0</v>
      </c>
      <c r="P212" s="157">
        <f>N212/31</f>
        <v>0</v>
      </c>
    </row>
    <row r="213" spans="1:16" ht="12" customHeight="1">
      <c r="A213" s="474"/>
      <c r="B213" s="127">
        <v>11</v>
      </c>
      <c r="C213" s="147">
        <v>0</v>
      </c>
      <c r="D213" s="147">
        <v>0</v>
      </c>
      <c r="E213" s="147">
        <v>0</v>
      </c>
      <c r="F213" s="147">
        <v>0</v>
      </c>
      <c r="G213" s="147">
        <v>0</v>
      </c>
      <c r="H213" s="147">
        <v>0</v>
      </c>
      <c r="I213" s="147">
        <v>0</v>
      </c>
      <c r="J213" s="147">
        <v>0</v>
      </c>
      <c r="K213" s="147">
        <v>0</v>
      </c>
      <c r="L213" s="148">
        <v>0</v>
      </c>
      <c r="M213" s="154">
        <f t="shared" si="23"/>
        <v>0</v>
      </c>
      <c r="N213" s="155">
        <f t="shared" si="24"/>
        <v>0</v>
      </c>
      <c r="O213" s="156">
        <f>M213/30</f>
        <v>0</v>
      </c>
      <c r="P213" s="157">
        <f>N213/30</f>
        <v>0</v>
      </c>
    </row>
    <row r="214" spans="1:16" ht="12" customHeight="1" thickBot="1">
      <c r="A214" s="475"/>
      <c r="B214" s="127">
        <v>12</v>
      </c>
      <c r="C214" s="367">
        <v>0</v>
      </c>
      <c r="D214" s="367">
        <v>0</v>
      </c>
      <c r="E214" s="367">
        <v>0</v>
      </c>
      <c r="F214" s="367">
        <v>0</v>
      </c>
      <c r="G214" s="367">
        <v>0</v>
      </c>
      <c r="H214" s="367">
        <v>0</v>
      </c>
      <c r="I214" s="367">
        <v>0</v>
      </c>
      <c r="J214" s="367">
        <v>0</v>
      </c>
      <c r="K214" s="367">
        <v>0</v>
      </c>
      <c r="L214" s="368">
        <v>0</v>
      </c>
      <c r="M214" s="154">
        <f t="shared" si="23"/>
        <v>0</v>
      </c>
      <c r="N214" s="155">
        <f t="shared" si="24"/>
        <v>0</v>
      </c>
      <c r="O214" s="156">
        <f>M214/31</f>
        <v>0</v>
      </c>
      <c r="P214" s="157">
        <f>N214/31</f>
        <v>0</v>
      </c>
    </row>
    <row r="215" spans="1:16" ht="12" customHeight="1">
      <c r="A215" s="473">
        <v>2020</v>
      </c>
      <c r="B215" s="410">
        <v>1</v>
      </c>
      <c r="C215" s="434">
        <v>0</v>
      </c>
      <c r="D215" s="434">
        <v>0</v>
      </c>
      <c r="E215" s="434">
        <v>0</v>
      </c>
      <c r="F215" s="434">
        <v>0</v>
      </c>
      <c r="G215" s="434">
        <v>0</v>
      </c>
      <c r="H215" s="434">
        <v>0</v>
      </c>
      <c r="I215" s="434">
        <v>0</v>
      </c>
      <c r="J215" s="434">
        <v>0</v>
      </c>
      <c r="K215" s="434">
        <v>0</v>
      </c>
      <c r="L215" s="436">
        <v>0</v>
      </c>
      <c r="M215" s="424">
        <f t="shared" si="23"/>
        <v>0</v>
      </c>
      <c r="N215" s="425">
        <f t="shared" si="24"/>
        <v>0</v>
      </c>
      <c r="O215" s="430">
        <f>M215/31</f>
        <v>0</v>
      </c>
      <c r="P215" s="427">
        <f>N215/31</f>
        <v>0</v>
      </c>
    </row>
    <row r="216" spans="1:16" ht="12" customHeight="1">
      <c r="A216" s="474"/>
      <c r="B216" s="127">
        <v>2</v>
      </c>
      <c r="C216" s="147">
        <v>0</v>
      </c>
      <c r="D216" s="147">
        <v>0</v>
      </c>
      <c r="E216" s="147">
        <v>0</v>
      </c>
      <c r="F216" s="147">
        <v>0</v>
      </c>
      <c r="G216" s="147">
        <v>0</v>
      </c>
      <c r="H216" s="147">
        <v>0</v>
      </c>
      <c r="I216" s="147">
        <v>0</v>
      </c>
      <c r="J216" s="147">
        <v>0</v>
      </c>
      <c r="K216" s="147">
        <v>0</v>
      </c>
      <c r="L216" s="148">
        <v>0</v>
      </c>
      <c r="M216" s="149">
        <f t="shared" si="23"/>
        <v>0</v>
      </c>
      <c r="N216" s="150">
        <f t="shared" si="24"/>
        <v>0</v>
      </c>
      <c r="O216" s="151">
        <f>M216/28</f>
        <v>0</v>
      </c>
      <c r="P216" s="152">
        <f>N216/28</f>
        <v>0</v>
      </c>
    </row>
    <row r="217" spans="1:16" ht="12" customHeight="1">
      <c r="A217" s="474"/>
      <c r="B217" s="127">
        <v>3</v>
      </c>
      <c r="C217" s="147">
        <v>0</v>
      </c>
      <c r="D217" s="147">
        <v>0</v>
      </c>
      <c r="E217" s="147">
        <v>0</v>
      </c>
      <c r="F217" s="147">
        <v>0</v>
      </c>
      <c r="G217" s="147">
        <v>0</v>
      </c>
      <c r="H217" s="147">
        <v>0</v>
      </c>
      <c r="I217" s="147">
        <v>0</v>
      </c>
      <c r="J217" s="147">
        <v>0</v>
      </c>
      <c r="K217" s="147">
        <v>0</v>
      </c>
      <c r="L217" s="148">
        <v>0</v>
      </c>
      <c r="M217" s="149">
        <f t="shared" si="23"/>
        <v>0</v>
      </c>
      <c r="N217" s="150">
        <f t="shared" si="24"/>
        <v>0</v>
      </c>
      <c r="O217" s="151">
        <f>M217/31</f>
        <v>0</v>
      </c>
      <c r="P217" s="152">
        <f>N217/31</f>
        <v>0</v>
      </c>
    </row>
    <row r="218" spans="1:16" ht="12" customHeight="1">
      <c r="A218" s="474"/>
      <c r="B218" s="127">
        <v>4</v>
      </c>
      <c r="C218" s="147">
        <v>0</v>
      </c>
      <c r="D218" s="147">
        <v>0</v>
      </c>
      <c r="E218" s="147">
        <v>0</v>
      </c>
      <c r="F218" s="147">
        <v>0</v>
      </c>
      <c r="G218" s="147">
        <v>0</v>
      </c>
      <c r="H218" s="147">
        <v>0</v>
      </c>
      <c r="I218" s="147">
        <v>0</v>
      </c>
      <c r="J218" s="147">
        <v>0</v>
      </c>
      <c r="K218" s="147">
        <v>0</v>
      </c>
      <c r="L218" s="148">
        <v>0</v>
      </c>
      <c r="M218" s="149">
        <f t="shared" si="23"/>
        <v>0</v>
      </c>
      <c r="N218" s="150">
        <f t="shared" si="24"/>
        <v>0</v>
      </c>
      <c r="O218" s="151">
        <f>M218/30</f>
        <v>0</v>
      </c>
      <c r="P218" s="152">
        <f>N218/30</f>
        <v>0</v>
      </c>
    </row>
    <row r="219" spans="1:16" ht="12" customHeight="1">
      <c r="A219" s="474"/>
      <c r="B219" s="127">
        <v>5</v>
      </c>
      <c r="C219" s="147">
        <v>0</v>
      </c>
      <c r="D219" s="147">
        <v>0</v>
      </c>
      <c r="E219" s="147">
        <v>0</v>
      </c>
      <c r="F219" s="147">
        <v>0</v>
      </c>
      <c r="G219" s="147">
        <v>0</v>
      </c>
      <c r="H219" s="147">
        <v>0</v>
      </c>
      <c r="I219" s="147">
        <v>0</v>
      </c>
      <c r="J219" s="147">
        <v>0</v>
      </c>
      <c r="K219" s="147">
        <v>0</v>
      </c>
      <c r="L219" s="148">
        <v>0</v>
      </c>
      <c r="M219" s="154">
        <f t="shared" si="23"/>
        <v>0</v>
      </c>
      <c r="N219" s="155">
        <f t="shared" si="24"/>
        <v>0</v>
      </c>
      <c r="O219" s="156">
        <f>M219/31</f>
        <v>0</v>
      </c>
      <c r="P219" s="157">
        <f>N219/31</f>
        <v>0</v>
      </c>
    </row>
    <row r="220" spans="1:16" ht="12" customHeight="1">
      <c r="A220" s="474"/>
      <c r="B220" s="127">
        <v>6</v>
      </c>
      <c r="C220" s="147">
        <f>集計用!C21+集計用!C38</f>
        <v>0</v>
      </c>
      <c r="D220" s="147">
        <f>集計用!S21+集計用!S38</f>
        <v>0</v>
      </c>
      <c r="E220" s="147">
        <f>集計用!E21+集計用!E38</f>
        <v>0</v>
      </c>
      <c r="F220" s="147">
        <f>集計用!U21+集計用!U38</f>
        <v>0</v>
      </c>
      <c r="G220" s="147">
        <f>集計用!G21+集計用!G38</f>
        <v>0</v>
      </c>
      <c r="H220" s="147">
        <f>集計用!W21+集計用!W38</f>
        <v>0</v>
      </c>
      <c r="I220" s="147">
        <f>集計用!I21+集計用!I38</f>
        <v>0</v>
      </c>
      <c r="J220" s="147">
        <f>集計用!Y21+集計用!Y38</f>
        <v>0</v>
      </c>
      <c r="K220" s="147">
        <f>集計用!K38</f>
        <v>0</v>
      </c>
      <c r="L220" s="148">
        <f>集計用!AA38</f>
        <v>0</v>
      </c>
      <c r="M220" s="154">
        <f t="shared" si="23"/>
        <v>0</v>
      </c>
      <c r="N220" s="155">
        <f t="shared" si="24"/>
        <v>0</v>
      </c>
      <c r="O220" s="156">
        <f>M220/30</f>
        <v>0</v>
      </c>
      <c r="P220" s="157">
        <f>N220/30</f>
        <v>0</v>
      </c>
    </row>
    <row r="221" spans="1:16" ht="12" customHeight="1">
      <c r="A221" s="474"/>
      <c r="B221" s="127">
        <v>7</v>
      </c>
      <c r="C221" s="158"/>
      <c r="D221" s="158"/>
      <c r="E221" s="158"/>
      <c r="F221" s="158"/>
      <c r="G221" s="158"/>
      <c r="H221" s="158"/>
      <c r="I221" s="158"/>
      <c r="J221" s="158"/>
      <c r="K221" s="158"/>
      <c r="L221" s="159"/>
      <c r="M221" s="154">
        <f t="shared" ref="M221:M226" si="25">+C221+E221+G221+I221+K221</f>
        <v>0</v>
      </c>
      <c r="N221" s="155">
        <f t="shared" ref="N221:N226" si="26">+D221+F221+H221+J221+L221</f>
        <v>0</v>
      </c>
      <c r="O221" s="156">
        <f>M221/31</f>
        <v>0</v>
      </c>
      <c r="P221" s="157">
        <f>N221/31</f>
        <v>0</v>
      </c>
    </row>
    <row r="222" spans="1:16" ht="12" customHeight="1">
      <c r="A222" s="474"/>
      <c r="B222" s="127">
        <v>8</v>
      </c>
      <c r="C222" s="158"/>
      <c r="D222" s="158"/>
      <c r="E222" s="158"/>
      <c r="F222" s="169"/>
      <c r="G222" s="158"/>
      <c r="H222" s="158"/>
      <c r="I222" s="158"/>
      <c r="J222" s="158"/>
      <c r="K222" s="158"/>
      <c r="L222" s="159"/>
      <c r="M222" s="154">
        <f t="shared" si="25"/>
        <v>0</v>
      </c>
      <c r="N222" s="155">
        <f t="shared" si="26"/>
        <v>0</v>
      </c>
      <c r="O222" s="156">
        <f>M222/31</f>
        <v>0</v>
      </c>
      <c r="P222" s="157">
        <f>N222/31</f>
        <v>0</v>
      </c>
    </row>
    <row r="223" spans="1:16" ht="12" customHeight="1">
      <c r="A223" s="474"/>
      <c r="B223" s="127">
        <v>9</v>
      </c>
      <c r="C223" s="158"/>
      <c r="D223" s="158"/>
      <c r="E223" s="158"/>
      <c r="F223" s="169"/>
      <c r="G223" s="158"/>
      <c r="H223" s="158"/>
      <c r="I223" s="158"/>
      <c r="J223" s="158"/>
      <c r="K223" s="158"/>
      <c r="L223" s="159"/>
      <c r="M223" s="154">
        <f t="shared" si="25"/>
        <v>0</v>
      </c>
      <c r="N223" s="155">
        <f t="shared" si="26"/>
        <v>0</v>
      </c>
      <c r="O223" s="156">
        <f>M223/30</f>
        <v>0</v>
      </c>
      <c r="P223" s="157">
        <f>N223/30</f>
        <v>0</v>
      </c>
    </row>
    <row r="224" spans="1:16" ht="12" customHeight="1">
      <c r="A224" s="474"/>
      <c r="B224" s="127">
        <v>10</v>
      </c>
      <c r="C224" s="147"/>
      <c r="D224" s="147"/>
      <c r="E224" s="147"/>
      <c r="F224" s="147"/>
      <c r="G224" s="147"/>
      <c r="H224" s="147"/>
      <c r="I224" s="147"/>
      <c r="J224" s="147"/>
      <c r="K224" s="147"/>
      <c r="L224" s="148"/>
      <c r="M224" s="154">
        <f t="shared" si="25"/>
        <v>0</v>
      </c>
      <c r="N224" s="155">
        <f t="shared" si="26"/>
        <v>0</v>
      </c>
      <c r="O224" s="156">
        <f>M224/31</f>
        <v>0</v>
      </c>
      <c r="P224" s="157">
        <f>N224/31</f>
        <v>0</v>
      </c>
    </row>
    <row r="225" spans="1:16" ht="12" customHeight="1">
      <c r="A225" s="474"/>
      <c r="B225" s="127">
        <v>11</v>
      </c>
      <c r="C225" s="367"/>
      <c r="D225" s="367"/>
      <c r="E225" s="367"/>
      <c r="F225" s="367"/>
      <c r="G225" s="367"/>
      <c r="H225" s="367"/>
      <c r="I225" s="367"/>
      <c r="J225" s="367"/>
      <c r="K225" s="367"/>
      <c r="L225" s="368"/>
      <c r="M225" s="154">
        <f t="shared" si="25"/>
        <v>0</v>
      </c>
      <c r="N225" s="155">
        <f t="shared" si="26"/>
        <v>0</v>
      </c>
      <c r="O225" s="156">
        <f>M225/30</f>
        <v>0</v>
      </c>
      <c r="P225" s="157">
        <f>N225/30</f>
        <v>0</v>
      </c>
    </row>
    <row r="226" spans="1:16" ht="12" customHeight="1" thickBot="1">
      <c r="A226" s="475"/>
      <c r="B226" s="127">
        <v>12</v>
      </c>
      <c r="C226" s="367"/>
      <c r="D226" s="367"/>
      <c r="E226" s="367"/>
      <c r="F226" s="367"/>
      <c r="G226" s="367"/>
      <c r="H226" s="367"/>
      <c r="I226" s="367"/>
      <c r="J226" s="367"/>
      <c r="K226" s="367"/>
      <c r="L226" s="368"/>
      <c r="M226" s="154">
        <f t="shared" si="25"/>
        <v>0</v>
      </c>
      <c r="N226" s="155">
        <f t="shared" si="26"/>
        <v>0</v>
      </c>
      <c r="O226" s="156">
        <f>M226/31</f>
        <v>0</v>
      </c>
      <c r="P226" s="157">
        <f>N226/31</f>
        <v>0</v>
      </c>
    </row>
    <row r="227" spans="1:16" s="2" customFormat="1" ht="15" customHeight="1" thickBot="1">
      <c r="B227" s="160" t="s">
        <v>5</v>
      </c>
      <c r="C227" s="161">
        <f>SUM(C119:C226)</f>
        <v>30750</v>
      </c>
      <c r="D227" s="161">
        <f t="shared" ref="D227:L227" si="27">SUM(D119:D226)</f>
        <v>53541</v>
      </c>
      <c r="E227" s="161">
        <f t="shared" si="27"/>
        <v>1115</v>
      </c>
      <c r="F227" s="161">
        <f t="shared" si="27"/>
        <v>1422</v>
      </c>
      <c r="G227" s="161">
        <f t="shared" si="27"/>
        <v>2669</v>
      </c>
      <c r="H227" s="161">
        <f t="shared" si="27"/>
        <v>4735</v>
      </c>
      <c r="I227" s="161">
        <f t="shared" si="27"/>
        <v>708</v>
      </c>
      <c r="J227" s="161">
        <f t="shared" si="27"/>
        <v>1043</v>
      </c>
      <c r="K227" s="161">
        <f t="shared" si="27"/>
        <v>100</v>
      </c>
      <c r="L227" s="161">
        <f t="shared" si="27"/>
        <v>231</v>
      </c>
      <c r="M227" s="170">
        <f>SUM(M119:M226)</f>
        <v>35342</v>
      </c>
      <c r="N227" s="170">
        <f t="shared" ref="N227:O227" si="28">SUM(N119:N226)</f>
        <v>60972</v>
      </c>
      <c r="O227" s="170">
        <f t="shared" si="28"/>
        <v>1145.2150537634409</v>
      </c>
      <c r="P227" s="171">
        <f>SUM(P119:P226)</f>
        <v>1969.1150537634408</v>
      </c>
    </row>
    <row r="228" spans="1:16" s="2" customFormat="1" ht="15" customHeight="1">
      <c r="B228" s="172" t="s">
        <v>25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73">
        <f>P1</f>
        <v>44022</v>
      </c>
    </row>
    <row r="229" spans="1:16" s="2" customFormat="1" ht="7.5" customHeight="1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124"/>
    </row>
    <row r="230" spans="1:16" ht="16.5" customHeight="1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25" t="s">
        <v>26</v>
      </c>
    </row>
    <row r="231" spans="1:16" ht="16.5" customHeight="1">
      <c r="B231" s="11" t="s">
        <v>55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25" t="s">
        <v>27</v>
      </c>
    </row>
    <row r="232" spans="1:16" ht="12" customHeight="1">
      <c r="B232" s="490" t="s">
        <v>277</v>
      </c>
      <c r="C232" s="469" t="s">
        <v>29</v>
      </c>
      <c r="D232" s="470"/>
      <c r="E232" s="469" t="s">
        <v>30</v>
      </c>
      <c r="F232" s="470"/>
      <c r="G232" s="469" t="s">
        <v>31</v>
      </c>
      <c r="H232" s="470"/>
      <c r="I232" s="469" t="s">
        <v>58</v>
      </c>
      <c r="J232" s="470"/>
      <c r="K232" s="469" t="s">
        <v>57</v>
      </c>
      <c r="L232" s="471"/>
      <c r="M232" s="479" t="s">
        <v>5</v>
      </c>
      <c r="N232" s="470"/>
      <c r="O232" s="472" t="s">
        <v>33</v>
      </c>
      <c r="P232" s="472"/>
    </row>
    <row r="233" spans="1:16" ht="12" customHeight="1" thickBot="1">
      <c r="B233" s="468"/>
      <c r="C233" s="13" t="s">
        <v>34</v>
      </c>
      <c r="D233" s="13" t="s">
        <v>35</v>
      </c>
      <c r="E233" s="13" t="s">
        <v>34</v>
      </c>
      <c r="F233" s="13" t="s">
        <v>35</v>
      </c>
      <c r="G233" s="13" t="s">
        <v>34</v>
      </c>
      <c r="H233" s="13" t="s">
        <v>35</v>
      </c>
      <c r="I233" s="13" t="s">
        <v>59</v>
      </c>
      <c r="J233" s="13" t="s">
        <v>60</v>
      </c>
      <c r="K233" s="13" t="s">
        <v>34</v>
      </c>
      <c r="L233" s="14" t="s">
        <v>35</v>
      </c>
      <c r="M233" s="15" t="s">
        <v>34</v>
      </c>
      <c r="N233" s="13" t="s">
        <v>35</v>
      </c>
      <c r="O233" s="13" t="s">
        <v>34</v>
      </c>
      <c r="P233" s="163" t="s">
        <v>35</v>
      </c>
    </row>
    <row r="234" spans="1:16" ht="9.75" customHeight="1">
      <c r="A234" s="484">
        <v>2012</v>
      </c>
      <c r="B234" s="410">
        <v>1</v>
      </c>
      <c r="C234" s="411">
        <v>7</v>
      </c>
      <c r="D234" s="411">
        <v>30</v>
      </c>
      <c r="E234" s="411">
        <v>0</v>
      </c>
      <c r="F234" s="411">
        <v>0</v>
      </c>
      <c r="G234" s="411">
        <v>1</v>
      </c>
      <c r="H234" s="411">
        <v>0</v>
      </c>
      <c r="I234" s="411">
        <v>1</v>
      </c>
      <c r="J234" s="411">
        <v>26</v>
      </c>
      <c r="K234" s="411"/>
      <c r="L234" s="412"/>
      <c r="M234" s="413">
        <f t="shared" ref="M234:M265" si="29">+C234+E234+G234+I234+K234</f>
        <v>9</v>
      </c>
      <c r="N234" s="411">
        <f t="shared" ref="N234:N265" si="30">+D234+F234+H234+J234+L234</f>
        <v>56</v>
      </c>
      <c r="O234" s="414">
        <f>M234/31</f>
        <v>0.29032258064516131</v>
      </c>
      <c r="P234" s="415">
        <f>N234/31</f>
        <v>1.8064516129032258</v>
      </c>
    </row>
    <row r="235" spans="1:16" ht="9.75" customHeight="1">
      <c r="A235" s="485"/>
      <c r="B235" s="127">
        <v>2</v>
      </c>
      <c r="C235" s="128">
        <v>10</v>
      </c>
      <c r="D235" s="128">
        <v>25</v>
      </c>
      <c r="E235" s="128">
        <v>1</v>
      </c>
      <c r="F235" s="128">
        <v>0</v>
      </c>
      <c r="G235" s="128">
        <v>0</v>
      </c>
      <c r="H235" s="128">
        <v>2</v>
      </c>
      <c r="I235" s="128">
        <v>0</v>
      </c>
      <c r="J235" s="128">
        <v>0</v>
      </c>
      <c r="K235" s="128"/>
      <c r="L235" s="129"/>
      <c r="M235" s="130">
        <f t="shared" si="29"/>
        <v>11</v>
      </c>
      <c r="N235" s="128">
        <f t="shared" si="30"/>
        <v>27</v>
      </c>
      <c r="O235" s="131">
        <f>M235/29</f>
        <v>0.37931034482758619</v>
      </c>
      <c r="P235" s="132">
        <f>N235/29</f>
        <v>0.93103448275862066</v>
      </c>
    </row>
    <row r="236" spans="1:16" ht="9.75" customHeight="1">
      <c r="A236" s="485"/>
      <c r="B236" s="127">
        <v>3</v>
      </c>
      <c r="C236" s="128">
        <v>19</v>
      </c>
      <c r="D236" s="128">
        <v>27</v>
      </c>
      <c r="E236" s="128">
        <v>0</v>
      </c>
      <c r="F236" s="128">
        <v>1</v>
      </c>
      <c r="G236" s="128">
        <v>0</v>
      </c>
      <c r="H236" s="128">
        <v>0</v>
      </c>
      <c r="I236" s="128">
        <v>0</v>
      </c>
      <c r="J236" s="128">
        <v>0</v>
      </c>
      <c r="K236" s="128"/>
      <c r="L236" s="129"/>
      <c r="M236" s="130">
        <f t="shared" si="29"/>
        <v>19</v>
      </c>
      <c r="N236" s="128">
        <f t="shared" si="30"/>
        <v>28</v>
      </c>
      <c r="O236" s="131">
        <f>M236/31</f>
        <v>0.61290322580645162</v>
      </c>
      <c r="P236" s="132">
        <f>N236/31</f>
        <v>0.90322580645161288</v>
      </c>
    </row>
    <row r="237" spans="1:16" ht="9.75" customHeight="1">
      <c r="A237" s="485"/>
      <c r="B237" s="127">
        <v>4</v>
      </c>
      <c r="C237" s="128">
        <v>21</v>
      </c>
      <c r="D237" s="128">
        <v>82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/>
      <c r="L237" s="129"/>
      <c r="M237" s="130">
        <f t="shared" si="29"/>
        <v>21</v>
      </c>
      <c r="N237" s="128">
        <f t="shared" si="30"/>
        <v>82</v>
      </c>
      <c r="O237" s="131">
        <f>M237/30</f>
        <v>0.7</v>
      </c>
      <c r="P237" s="132">
        <f>N237/30</f>
        <v>2.7333333333333334</v>
      </c>
    </row>
    <row r="238" spans="1:16" ht="9.75" customHeight="1">
      <c r="A238" s="485"/>
      <c r="B238" s="127">
        <v>5</v>
      </c>
      <c r="C238" s="128">
        <v>16</v>
      </c>
      <c r="D238" s="128">
        <v>54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/>
      <c r="L238" s="129"/>
      <c r="M238" s="130">
        <f t="shared" si="29"/>
        <v>16</v>
      </c>
      <c r="N238" s="128">
        <f t="shared" si="30"/>
        <v>54</v>
      </c>
      <c r="O238" s="131">
        <f>M238/31</f>
        <v>0.5161290322580645</v>
      </c>
      <c r="P238" s="132">
        <f>N238/31</f>
        <v>1.7419354838709677</v>
      </c>
    </row>
    <row r="239" spans="1:16" ht="9.75" customHeight="1">
      <c r="A239" s="485"/>
      <c r="B239" s="127">
        <v>6</v>
      </c>
      <c r="C239" s="128">
        <v>5</v>
      </c>
      <c r="D239" s="128">
        <v>12</v>
      </c>
      <c r="E239" s="128">
        <v>0</v>
      </c>
      <c r="F239" s="128">
        <v>0</v>
      </c>
      <c r="G239" s="128">
        <v>1</v>
      </c>
      <c r="H239" s="128">
        <v>0</v>
      </c>
      <c r="I239" s="128">
        <v>0</v>
      </c>
      <c r="J239" s="128">
        <v>0</v>
      </c>
      <c r="K239" s="128"/>
      <c r="L239" s="129"/>
      <c r="M239" s="130">
        <f t="shared" si="29"/>
        <v>6</v>
      </c>
      <c r="N239" s="128">
        <f t="shared" si="30"/>
        <v>12</v>
      </c>
      <c r="O239" s="131">
        <f>M239/30</f>
        <v>0.2</v>
      </c>
      <c r="P239" s="132">
        <f>N239/30</f>
        <v>0.4</v>
      </c>
    </row>
    <row r="240" spans="1:16" ht="9.75" customHeight="1">
      <c r="A240" s="485"/>
      <c r="B240" s="127">
        <v>7</v>
      </c>
      <c r="C240" s="128">
        <v>26</v>
      </c>
      <c r="D240" s="128">
        <v>41</v>
      </c>
      <c r="E240" s="128">
        <v>0</v>
      </c>
      <c r="F240" s="128">
        <v>0</v>
      </c>
      <c r="G240" s="128">
        <v>0</v>
      </c>
      <c r="H240" s="128">
        <v>1</v>
      </c>
      <c r="I240" s="128">
        <v>1</v>
      </c>
      <c r="J240" s="128">
        <v>0</v>
      </c>
      <c r="K240" s="128"/>
      <c r="L240" s="129"/>
      <c r="M240" s="130">
        <f t="shared" si="29"/>
        <v>27</v>
      </c>
      <c r="N240" s="128">
        <f t="shared" si="30"/>
        <v>42</v>
      </c>
      <c r="O240" s="131">
        <f>M240/31</f>
        <v>0.87096774193548387</v>
      </c>
      <c r="P240" s="132">
        <f>N240/31</f>
        <v>1.3548387096774193</v>
      </c>
    </row>
    <row r="241" spans="1:16" ht="9.75" customHeight="1">
      <c r="A241" s="485"/>
      <c r="B241" s="127">
        <v>8</v>
      </c>
      <c r="C241" s="128">
        <v>18</v>
      </c>
      <c r="D241" s="128">
        <v>18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/>
      <c r="L241" s="129"/>
      <c r="M241" s="130">
        <f t="shared" si="29"/>
        <v>18</v>
      </c>
      <c r="N241" s="128">
        <f t="shared" si="30"/>
        <v>18</v>
      </c>
      <c r="O241" s="131">
        <f>M241/31</f>
        <v>0.58064516129032262</v>
      </c>
      <c r="P241" s="132">
        <f>N241/31</f>
        <v>0.58064516129032262</v>
      </c>
    </row>
    <row r="242" spans="1:16" ht="9.75" customHeight="1">
      <c r="A242" s="485"/>
      <c r="B242" s="127">
        <v>9</v>
      </c>
      <c r="C242" s="128">
        <v>23</v>
      </c>
      <c r="D242" s="128">
        <v>38</v>
      </c>
      <c r="E242" s="128">
        <v>0</v>
      </c>
      <c r="F242" s="128">
        <v>0</v>
      </c>
      <c r="G242" s="128">
        <v>1</v>
      </c>
      <c r="H242" s="128">
        <v>2</v>
      </c>
      <c r="I242" s="128">
        <v>0</v>
      </c>
      <c r="J242" s="128">
        <v>0</v>
      </c>
      <c r="K242" s="128"/>
      <c r="L242" s="129"/>
      <c r="M242" s="130">
        <f t="shared" si="29"/>
        <v>24</v>
      </c>
      <c r="N242" s="128">
        <f t="shared" si="30"/>
        <v>40</v>
      </c>
      <c r="O242" s="131">
        <f>M242/30</f>
        <v>0.8</v>
      </c>
      <c r="P242" s="132">
        <f>N242/30</f>
        <v>1.3333333333333333</v>
      </c>
    </row>
    <row r="243" spans="1:16" ht="9.75" customHeight="1">
      <c r="A243" s="485"/>
      <c r="B243" s="127">
        <v>10</v>
      </c>
      <c r="C243" s="128">
        <v>22</v>
      </c>
      <c r="D243" s="128">
        <v>32</v>
      </c>
      <c r="E243" s="128">
        <v>1</v>
      </c>
      <c r="F243" s="128">
        <v>1</v>
      </c>
      <c r="G243" s="128">
        <v>1</v>
      </c>
      <c r="H243" s="128">
        <v>6</v>
      </c>
      <c r="I243" s="128">
        <v>0</v>
      </c>
      <c r="J243" s="128">
        <v>0</v>
      </c>
      <c r="K243" s="128"/>
      <c r="L243" s="129"/>
      <c r="M243" s="130">
        <f t="shared" si="29"/>
        <v>24</v>
      </c>
      <c r="N243" s="128">
        <f t="shared" si="30"/>
        <v>39</v>
      </c>
      <c r="O243" s="131">
        <f>M243/31</f>
        <v>0.77419354838709675</v>
      </c>
      <c r="P243" s="132">
        <f>N243/31</f>
        <v>1.2580645161290323</v>
      </c>
    </row>
    <row r="244" spans="1:16" ht="9.75" customHeight="1">
      <c r="A244" s="485"/>
      <c r="B244" s="127">
        <v>11</v>
      </c>
      <c r="C244" s="128">
        <v>35</v>
      </c>
      <c r="D244" s="128">
        <v>50</v>
      </c>
      <c r="E244" s="128">
        <v>0</v>
      </c>
      <c r="F244" s="128">
        <v>0</v>
      </c>
      <c r="G244" s="128">
        <v>3</v>
      </c>
      <c r="H244" s="128">
        <v>0</v>
      </c>
      <c r="I244" s="128">
        <v>1</v>
      </c>
      <c r="J244" s="128">
        <v>2</v>
      </c>
      <c r="K244" s="128"/>
      <c r="L244" s="129"/>
      <c r="M244" s="130">
        <f t="shared" si="29"/>
        <v>39</v>
      </c>
      <c r="N244" s="128">
        <f t="shared" si="30"/>
        <v>52</v>
      </c>
      <c r="O244" s="131">
        <f>M244/30</f>
        <v>1.3</v>
      </c>
      <c r="P244" s="132">
        <f>N244/30</f>
        <v>1.7333333333333334</v>
      </c>
    </row>
    <row r="245" spans="1:16" ht="9.75" customHeight="1" thickBot="1">
      <c r="A245" s="486"/>
      <c r="B245" s="127">
        <v>12</v>
      </c>
      <c r="C245" s="182">
        <v>29</v>
      </c>
      <c r="D245" s="182">
        <v>53</v>
      </c>
      <c r="E245" s="182">
        <v>0</v>
      </c>
      <c r="F245" s="182">
        <v>0</v>
      </c>
      <c r="G245" s="182">
        <v>7</v>
      </c>
      <c r="H245" s="182">
        <v>9</v>
      </c>
      <c r="I245" s="182">
        <v>0</v>
      </c>
      <c r="J245" s="182">
        <v>0</v>
      </c>
      <c r="K245" s="182"/>
      <c r="L245" s="183"/>
      <c r="M245" s="184">
        <f t="shared" si="29"/>
        <v>36</v>
      </c>
      <c r="N245" s="182">
        <f t="shared" si="30"/>
        <v>62</v>
      </c>
      <c r="O245" s="185">
        <f>M245/31</f>
        <v>1.1612903225806452</v>
      </c>
      <c r="P245" s="186">
        <f>N245/31</f>
        <v>2</v>
      </c>
    </row>
    <row r="246" spans="1:16" s="3" customFormat="1" ht="9.75" customHeight="1">
      <c r="A246" s="484">
        <v>2013</v>
      </c>
      <c r="B246" s="410">
        <v>1</v>
      </c>
      <c r="C246" s="411">
        <v>22</v>
      </c>
      <c r="D246" s="411">
        <v>29</v>
      </c>
      <c r="E246" s="411">
        <v>1</v>
      </c>
      <c r="F246" s="411">
        <v>0</v>
      </c>
      <c r="G246" s="411">
        <v>0</v>
      </c>
      <c r="H246" s="411">
        <v>0</v>
      </c>
      <c r="I246" s="411">
        <v>0</v>
      </c>
      <c r="J246" s="411">
        <v>0</v>
      </c>
      <c r="K246" s="411"/>
      <c r="L246" s="412"/>
      <c r="M246" s="413">
        <f t="shared" si="29"/>
        <v>23</v>
      </c>
      <c r="N246" s="411">
        <f t="shared" si="30"/>
        <v>29</v>
      </c>
      <c r="O246" s="414">
        <f>M246/31</f>
        <v>0.74193548387096775</v>
      </c>
      <c r="P246" s="415">
        <f>N246/31</f>
        <v>0.93548387096774188</v>
      </c>
    </row>
    <row r="247" spans="1:16" s="3" customFormat="1" ht="9.75" customHeight="1">
      <c r="A247" s="485"/>
      <c r="B247" s="127">
        <v>2</v>
      </c>
      <c r="C247" s="128">
        <v>24</v>
      </c>
      <c r="D247" s="128">
        <v>37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/>
      <c r="L247" s="129"/>
      <c r="M247" s="130">
        <f t="shared" si="29"/>
        <v>24</v>
      </c>
      <c r="N247" s="128">
        <f t="shared" si="30"/>
        <v>37</v>
      </c>
      <c r="O247" s="131">
        <f>M247/28</f>
        <v>0.8571428571428571</v>
      </c>
      <c r="P247" s="132">
        <f>N247/28</f>
        <v>1.3214285714285714</v>
      </c>
    </row>
    <row r="248" spans="1:16" s="3" customFormat="1" ht="9.75" customHeight="1">
      <c r="A248" s="485"/>
      <c r="B248" s="127">
        <v>3</v>
      </c>
      <c r="C248" s="128">
        <v>39</v>
      </c>
      <c r="D248" s="128">
        <v>44</v>
      </c>
      <c r="E248" s="128">
        <v>0</v>
      </c>
      <c r="F248" s="128">
        <v>0</v>
      </c>
      <c r="G248" s="128">
        <v>1</v>
      </c>
      <c r="H248" s="128">
        <v>0</v>
      </c>
      <c r="I248" s="128">
        <v>0</v>
      </c>
      <c r="J248" s="128">
        <v>0</v>
      </c>
      <c r="K248" s="128"/>
      <c r="L248" s="129"/>
      <c r="M248" s="130">
        <f t="shared" si="29"/>
        <v>40</v>
      </c>
      <c r="N248" s="128">
        <f t="shared" si="30"/>
        <v>44</v>
      </c>
      <c r="O248" s="131">
        <f>M248/31</f>
        <v>1.2903225806451613</v>
      </c>
      <c r="P248" s="132">
        <f>N248/31</f>
        <v>1.4193548387096775</v>
      </c>
    </row>
    <row r="249" spans="1:16" s="3" customFormat="1" ht="9.75" customHeight="1">
      <c r="A249" s="485"/>
      <c r="B249" s="127">
        <v>4</v>
      </c>
      <c r="C249" s="128">
        <v>37</v>
      </c>
      <c r="D249" s="128">
        <v>72</v>
      </c>
      <c r="E249" s="128">
        <v>1</v>
      </c>
      <c r="F249" s="128">
        <v>0</v>
      </c>
      <c r="G249" s="128">
        <v>3</v>
      </c>
      <c r="H249" s="128">
        <v>2</v>
      </c>
      <c r="I249" s="128">
        <v>1</v>
      </c>
      <c r="J249" s="128">
        <v>0</v>
      </c>
      <c r="K249" s="128"/>
      <c r="L249" s="129"/>
      <c r="M249" s="130">
        <f t="shared" si="29"/>
        <v>42</v>
      </c>
      <c r="N249" s="128">
        <f t="shared" si="30"/>
        <v>74</v>
      </c>
      <c r="O249" s="131">
        <f>M249/30</f>
        <v>1.4</v>
      </c>
      <c r="P249" s="132">
        <f>N249/30</f>
        <v>2.4666666666666668</v>
      </c>
    </row>
    <row r="250" spans="1:16" s="3" customFormat="1" ht="9.75" customHeight="1">
      <c r="A250" s="485"/>
      <c r="B250" s="127">
        <v>5</v>
      </c>
      <c r="C250" s="128">
        <v>28</v>
      </c>
      <c r="D250" s="128">
        <v>59</v>
      </c>
      <c r="E250" s="128">
        <v>1</v>
      </c>
      <c r="F250" s="128">
        <v>1</v>
      </c>
      <c r="G250" s="128">
        <v>0</v>
      </c>
      <c r="H250" s="128">
        <v>0</v>
      </c>
      <c r="I250" s="128">
        <v>0</v>
      </c>
      <c r="J250" s="128">
        <v>0</v>
      </c>
      <c r="K250" s="128"/>
      <c r="L250" s="129"/>
      <c r="M250" s="130">
        <f t="shared" si="29"/>
        <v>29</v>
      </c>
      <c r="N250" s="128">
        <f t="shared" si="30"/>
        <v>60</v>
      </c>
      <c r="O250" s="131">
        <f>M250/31</f>
        <v>0.93548387096774188</v>
      </c>
      <c r="P250" s="132">
        <f>N250/31</f>
        <v>1.935483870967742</v>
      </c>
    </row>
    <row r="251" spans="1:16" s="3" customFormat="1" ht="9.75" customHeight="1">
      <c r="A251" s="485"/>
      <c r="B251" s="127">
        <v>6</v>
      </c>
      <c r="C251" s="128">
        <v>21</v>
      </c>
      <c r="D251" s="128">
        <v>16</v>
      </c>
      <c r="E251" s="128">
        <v>0</v>
      </c>
      <c r="F251" s="128">
        <v>0</v>
      </c>
      <c r="G251" s="128">
        <v>1</v>
      </c>
      <c r="H251" s="128">
        <v>1</v>
      </c>
      <c r="I251" s="128">
        <v>0</v>
      </c>
      <c r="J251" s="128">
        <v>0</v>
      </c>
      <c r="K251" s="128"/>
      <c r="L251" s="129"/>
      <c r="M251" s="130">
        <f t="shared" si="29"/>
        <v>22</v>
      </c>
      <c r="N251" s="128">
        <f t="shared" si="30"/>
        <v>17</v>
      </c>
      <c r="O251" s="131">
        <f>M251/30</f>
        <v>0.73333333333333328</v>
      </c>
      <c r="P251" s="132">
        <f>N251/30</f>
        <v>0.56666666666666665</v>
      </c>
    </row>
    <row r="252" spans="1:16" s="3" customFormat="1" ht="9.75" customHeight="1">
      <c r="A252" s="485"/>
      <c r="B252" s="127">
        <v>7</v>
      </c>
      <c r="C252" s="128">
        <v>26</v>
      </c>
      <c r="D252" s="128">
        <v>30</v>
      </c>
      <c r="E252" s="128">
        <v>0</v>
      </c>
      <c r="F252" s="128">
        <v>0</v>
      </c>
      <c r="G252" s="128">
        <v>1</v>
      </c>
      <c r="H252" s="128">
        <v>2</v>
      </c>
      <c r="I252" s="128">
        <v>0</v>
      </c>
      <c r="J252" s="128">
        <v>0</v>
      </c>
      <c r="K252" s="128"/>
      <c r="L252" s="129"/>
      <c r="M252" s="130">
        <f t="shared" si="29"/>
        <v>27</v>
      </c>
      <c r="N252" s="128">
        <f t="shared" si="30"/>
        <v>32</v>
      </c>
      <c r="O252" s="131">
        <f t="shared" ref="O252:O277" si="31">M252/31</f>
        <v>0.87096774193548387</v>
      </c>
      <c r="P252" s="132">
        <f t="shared" ref="P252:P277" si="32">N252/31</f>
        <v>1.032258064516129</v>
      </c>
    </row>
    <row r="253" spans="1:16" s="3" customFormat="1" ht="9.75" customHeight="1">
      <c r="A253" s="485"/>
      <c r="B253" s="127">
        <v>8</v>
      </c>
      <c r="C253" s="128">
        <v>17</v>
      </c>
      <c r="D253" s="128">
        <v>20</v>
      </c>
      <c r="E253" s="128">
        <v>0</v>
      </c>
      <c r="F253" s="128">
        <v>0</v>
      </c>
      <c r="G253" s="128">
        <v>2</v>
      </c>
      <c r="H253" s="128">
        <v>2</v>
      </c>
      <c r="I253" s="128">
        <v>0</v>
      </c>
      <c r="J253" s="128">
        <v>0</v>
      </c>
      <c r="K253" s="128"/>
      <c r="L253" s="129"/>
      <c r="M253" s="130">
        <f t="shared" si="29"/>
        <v>19</v>
      </c>
      <c r="N253" s="128">
        <f t="shared" si="30"/>
        <v>22</v>
      </c>
      <c r="O253" s="131">
        <f t="shared" si="31"/>
        <v>0.61290322580645162</v>
      </c>
      <c r="P253" s="132">
        <f t="shared" si="32"/>
        <v>0.70967741935483875</v>
      </c>
    </row>
    <row r="254" spans="1:16" s="3" customFormat="1" ht="9.75" customHeight="1">
      <c r="A254" s="485"/>
      <c r="B254" s="127">
        <v>9</v>
      </c>
      <c r="C254" s="133">
        <v>43</v>
      </c>
      <c r="D254" s="133">
        <v>68</v>
      </c>
      <c r="E254" s="133">
        <v>1</v>
      </c>
      <c r="F254" s="133">
        <v>0</v>
      </c>
      <c r="G254" s="133">
        <v>2</v>
      </c>
      <c r="H254" s="133">
        <v>1</v>
      </c>
      <c r="I254" s="133">
        <v>0</v>
      </c>
      <c r="J254" s="133">
        <v>0</v>
      </c>
      <c r="K254" s="133"/>
      <c r="L254" s="134"/>
      <c r="M254" s="135">
        <f t="shared" si="29"/>
        <v>46</v>
      </c>
      <c r="N254" s="133">
        <f t="shared" si="30"/>
        <v>69</v>
      </c>
      <c r="O254" s="136">
        <f t="shared" si="31"/>
        <v>1.4838709677419355</v>
      </c>
      <c r="P254" s="137">
        <f t="shared" si="32"/>
        <v>2.225806451612903</v>
      </c>
    </row>
    <row r="255" spans="1:16" s="3" customFormat="1" ht="9.75" customHeight="1">
      <c r="A255" s="485"/>
      <c r="B255" s="127">
        <v>10</v>
      </c>
      <c r="C255" s="128">
        <v>37</v>
      </c>
      <c r="D255" s="128">
        <v>57</v>
      </c>
      <c r="E255" s="128">
        <v>1</v>
      </c>
      <c r="F255" s="128">
        <v>2</v>
      </c>
      <c r="G255" s="128">
        <v>0</v>
      </c>
      <c r="H255" s="128">
        <v>2</v>
      </c>
      <c r="I255" s="128">
        <v>0</v>
      </c>
      <c r="J255" s="128">
        <v>0</v>
      </c>
      <c r="K255" s="128"/>
      <c r="L255" s="129"/>
      <c r="M255" s="130">
        <f t="shared" si="29"/>
        <v>38</v>
      </c>
      <c r="N255" s="128">
        <f t="shared" si="30"/>
        <v>61</v>
      </c>
      <c r="O255" s="131">
        <f t="shared" si="31"/>
        <v>1.2258064516129032</v>
      </c>
      <c r="P255" s="132">
        <f t="shared" si="32"/>
        <v>1.967741935483871</v>
      </c>
    </row>
    <row r="256" spans="1:16" s="3" customFormat="1" ht="9.75" customHeight="1">
      <c r="A256" s="485"/>
      <c r="B256" s="127">
        <v>11</v>
      </c>
      <c r="C256" s="138">
        <v>46</v>
      </c>
      <c r="D256" s="138">
        <v>64</v>
      </c>
      <c r="E256" s="138">
        <v>0</v>
      </c>
      <c r="F256" s="138">
        <v>0</v>
      </c>
      <c r="G256" s="138">
        <v>2</v>
      </c>
      <c r="H256" s="138">
        <v>1</v>
      </c>
      <c r="I256" s="138">
        <v>1</v>
      </c>
      <c r="J256" s="138">
        <v>0</v>
      </c>
      <c r="K256" s="138"/>
      <c r="L256" s="139"/>
      <c r="M256" s="140">
        <f t="shared" si="29"/>
        <v>49</v>
      </c>
      <c r="N256" s="138">
        <f t="shared" si="30"/>
        <v>65</v>
      </c>
      <c r="O256" s="141">
        <f t="shared" si="31"/>
        <v>1.5806451612903225</v>
      </c>
      <c r="P256" s="142">
        <f t="shared" si="32"/>
        <v>2.096774193548387</v>
      </c>
    </row>
    <row r="257" spans="1:60" s="3" customFormat="1" ht="9.75" customHeight="1" thickBot="1">
      <c r="A257" s="485"/>
      <c r="B257" s="127">
        <v>12</v>
      </c>
      <c r="C257" s="182">
        <v>43</v>
      </c>
      <c r="D257" s="182">
        <v>62</v>
      </c>
      <c r="E257" s="182">
        <v>0</v>
      </c>
      <c r="F257" s="182">
        <v>0</v>
      </c>
      <c r="G257" s="182">
        <v>7</v>
      </c>
      <c r="H257" s="182">
        <v>15</v>
      </c>
      <c r="I257" s="182">
        <v>0</v>
      </c>
      <c r="J257" s="182">
        <v>0</v>
      </c>
      <c r="K257" s="182"/>
      <c r="L257" s="183"/>
      <c r="M257" s="184">
        <f t="shared" si="29"/>
        <v>50</v>
      </c>
      <c r="N257" s="182">
        <f t="shared" si="30"/>
        <v>77</v>
      </c>
      <c r="O257" s="185">
        <f t="shared" si="31"/>
        <v>1.6129032258064515</v>
      </c>
      <c r="P257" s="186">
        <f t="shared" si="32"/>
        <v>2.4838709677419355</v>
      </c>
    </row>
    <row r="258" spans="1:60" s="3" customFormat="1" ht="9.75" customHeight="1">
      <c r="A258" s="487">
        <v>2014</v>
      </c>
      <c r="B258" s="410">
        <v>1</v>
      </c>
      <c r="C258" s="411">
        <v>42</v>
      </c>
      <c r="D258" s="411">
        <v>50</v>
      </c>
      <c r="E258" s="411">
        <v>1</v>
      </c>
      <c r="F258" s="411">
        <v>0</v>
      </c>
      <c r="G258" s="411">
        <v>10</v>
      </c>
      <c r="H258" s="411">
        <v>8</v>
      </c>
      <c r="I258" s="411">
        <v>3</v>
      </c>
      <c r="J258" s="411">
        <v>0</v>
      </c>
      <c r="K258" s="411"/>
      <c r="L258" s="412"/>
      <c r="M258" s="413">
        <f t="shared" si="29"/>
        <v>56</v>
      </c>
      <c r="N258" s="411">
        <f t="shared" si="30"/>
        <v>58</v>
      </c>
      <c r="O258" s="414">
        <f t="shared" si="31"/>
        <v>1.8064516129032258</v>
      </c>
      <c r="P258" s="415">
        <f t="shared" si="32"/>
        <v>1.8709677419354838</v>
      </c>
    </row>
    <row r="259" spans="1:60" s="3" customFormat="1" ht="9.75" customHeight="1">
      <c r="A259" s="488"/>
      <c r="B259" s="127">
        <v>2</v>
      </c>
      <c r="C259" s="128">
        <v>36</v>
      </c>
      <c r="D259" s="128">
        <v>43</v>
      </c>
      <c r="E259" s="128">
        <v>0</v>
      </c>
      <c r="F259" s="128">
        <v>0</v>
      </c>
      <c r="G259" s="128">
        <v>5</v>
      </c>
      <c r="H259" s="128">
        <v>4</v>
      </c>
      <c r="I259" s="128">
        <v>2</v>
      </c>
      <c r="J259" s="128">
        <v>2</v>
      </c>
      <c r="K259" s="128"/>
      <c r="L259" s="129"/>
      <c r="M259" s="130">
        <f t="shared" si="29"/>
        <v>43</v>
      </c>
      <c r="N259" s="128">
        <f t="shared" si="30"/>
        <v>49</v>
      </c>
      <c r="O259" s="131">
        <f t="shared" si="31"/>
        <v>1.3870967741935485</v>
      </c>
      <c r="P259" s="132">
        <f t="shared" si="32"/>
        <v>1.5806451612903225</v>
      </c>
    </row>
    <row r="260" spans="1:60" s="3" customFormat="1" ht="9.75" customHeight="1">
      <c r="A260" s="488"/>
      <c r="B260" s="127">
        <v>3</v>
      </c>
      <c r="C260" s="128">
        <v>75</v>
      </c>
      <c r="D260" s="128">
        <v>68</v>
      </c>
      <c r="E260" s="128">
        <v>0</v>
      </c>
      <c r="F260" s="128">
        <v>0</v>
      </c>
      <c r="G260" s="128">
        <v>7</v>
      </c>
      <c r="H260" s="128">
        <v>9</v>
      </c>
      <c r="I260" s="128">
        <v>1</v>
      </c>
      <c r="J260" s="128">
        <v>2</v>
      </c>
      <c r="K260" s="128"/>
      <c r="L260" s="129"/>
      <c r="M260" s="130">
        <f t="shared" si="29"/>
        <v>83</v>
      </c>
      <c r="N260" s="128">
        <f t="shared" si="30"/>
        <v>79</v>
      </c>
      <c r="O260" s="131">
        <f t="shared" si="31"/>
        <v>2.6774193548387095</v>
      </c>
      <c r="P260" s="132">
        <f t="shared" si="32"/>
        <v>2.5483870967741935</v>
      </c>
    </row>
    <row r="261" spans="1:60" s="3" customFormat="1" ht="9.75" customHeight="1">
      <c r="A261" s="488"/>
      <c r="B261" s="127">
        <v>4</v>
      </c>
      <c r="C261" s="138">
        <v>79</v>
      </c>
      <c r="D261" s="138">
        <v>135</v>
      </c>
      <c r="E261" s="138">
        <v>0</v>
      </c>
      <c r="F261" s="138">
        <v>0</v>
      </c>
      <c r="G261" s="138">
        <v>3</v>
      </c>
      <c r="H261" s="138">
        <v>6</v>
      </c>
      <c r="I261" s="138">
        <v>13</v>
      </c>
      <c r="J261" s="138">
        <v>2</v>
      </c>
      <c r="K261" s="138"/>
      <c r="L261" s="139"/>
      <c r="M261" s="140">
        <f t="shared" si="29"/>
        <v>95</v>
      </c>
      <c r="N261" s="138">
        <f t="shared" si="30"/>
        <v>143</v>
      </c>
      <c r="O261" s="141">
        <f t="shared" si="31"/>
        <v>3.064516129032258</v>
      </c>
      <c r="P261" s="142">
        <f t="shared" si="32"/>
        <v>4.612903225806452</v>
      </c>
    </row>
    <row r="262" spans="1:60" s="3" customFormat="1" ht="9.75" customHeight="1">
      <c r="A262" s="488"/>
      <c r="B262" s="127">
        <v>5</v>
      </c>
      <c r="C262" s="128">
        <v>53</v>
      </c>
      <c r="D262" s="128">
        <v>62</v>
      </c>
      <c r="E262" s="128">
        <v>0</v>
      </c>
      <c r="F262" s="128">
        <v>0</v>
      </c>
      <c r="G262" s="128">
        <v>6</v>
      </c>
      <c r="H262" s="128">
        <v>6</v>
      </c>
      <c r="I262" s="128">
        <v>1</v>
      </c>
      <c r="J262" s="128">
        <v>2</v>
      </c>
      <c r="K262" s="128"/>
      <c r="L262" s="164"/>
      <c r="M262" s="130">
        <f t="shared" si="29"/>
        <v>60</v>
      </c>
      <c r="N262" s="146">
        <f t="shared" si="30"/>
        <v>70</v>
      </c>
      <c r="O262" s="165">
        <f t="shared" si="31"/>
        <v>1.935483870967742</v>
      </c>
      <c r="P262" s="132">
        <f t="shared" si="32"/>
        <v>2.2580645161290325</v>
      </c>
    </row>
    <row r="263" spans="1:60" s="3" customFormat="1" ht="9.75" customHeight="1">
      <c r="A263" s="488"/>
      <c r="B263" s="127">
        <v>6</v>
      </c>
      <c r="C263" s="133">
        <v>50</v>
      </c>
      <c r="D263" s="133">
        <v>28</v>
      </c>
      <c r="E263" s="133">
        <v>0</v>
      </c>
      <c r="F263" s="133">
        <v>0</v>
      </c>
      <c r="G263" s="133">
        <v>7</v>
      </c>
      <c r="H263" s="133">
        <v>2</v>
      </c>
      <c r="I263" s="133">
        <v>0</v>
      </c>
      <c r="J263" s="133">
        <v>0</v>
      </c>
      <c r="K263" s="133"/>
      <c r="L263" s="134"/>
      <c r="M263" s="145">
        <f t="shared" si="29"/>
        <v>57</v>
      </c>
      <c r="N263" s="145">
        <f t="shared" si="30"/>
        <v>30</v>
      </c>
      <c r="O263" s="166">
        <f t="shared" si="31"/>
        <v>1.8387096774193548</v>
      </c>
      <c r="P263" s="137">
        <f t="shared" si="32"/>
        <v>0.967741935483871</v>
      </c>
    </row>
    <row r="264" spans="1:60" s="3" customFormat="1" ht="9.75" customHeight="1">
      <c r="A264" s="488"/>
      <c r="B264" s="127">
        <v>7</v>
      </c>
      <c r="C264" s="133">
        <v>47</v>
      </c>
      <c r="D264" s="133">
        <v>62</v>
      </c>
      <c r="E264" s="133">
        <v>0</v>
      </c>
      <c r="F264" s="133">
        <v>0</v>
      </c>
      <c r="G264" s="133">
        <v>4</v>
      </c>
      <c r="H264" s="133">
        <v>0</v>
      </c>
      <c r="I264" s="133">
        <v>3</v>
      </c>
      <c r="J264" s="133">
        <v>5</v>
      </c>
      <c r="K264" s="133"/>
      <c r="L264" s="134"/>
      <c r="M264" s="135">
        <f t="shared" si="29"/>
        <v>54</v>
      </c>
      <c r="N264" s="145">
        <f t="shared" si="30"/>
        <v>67</v>
      </c>
      <c r="O264" s="166">
        <f t="shared" si="31"/>
        <v>1.7419354838709677</v>
      </c>
      <c r="P264" s="137">
        <f t="shared" si="32"/>
        <v>2.161290322580645</v>
      </c>
    </row>
    <row r="265" spans="1:60" s="3" customFormat="1" ht="9.75" customHeight="1">
      <c r="A265" s="488"/>
      <c r="B265" s="127">
        <v>8</v>
      </c>
      <c r="C265" s="133">
        <v>56</v>
      </c>
      <c r="D265" s="133">
        <v>43</v>
      </c>
      <c r="E265" s="133">
        <v>0</v>
      </c>
      <c r="F265" s="133">
        <v>0</v>
      </c>
      <c r="G265" s="133">
        <v>2</v>
      </c>
      <c r="H265" s="133">
        <v>8</v>
      </c>
      <c r="I265" s="133">
        <v>3</v>
      </c>
      <c r="J265" s="133">
        <v>0</v>
      </c>
      <c r="K265" s="133"/>
      <c r="L265" s="134"/>
      <c r="M265" s="135">
        <f t="shared" si="29"/>
        <v>61</v>
      </c>
      <c r="N265" s="145">
        <f t="shared" si="30"/>
        <v>51</v>
      </c>
      <c r="O265" s="166">
        <f t="shared" si="31"/>
        <v>1.967741935483871</v>
      </c>
      <c r="P265" s="137">
        <f t="shared" si="32"/>
        <v>1.6451612903225807</v>
      </c>
    </row>
    <row r="266" spans="1:60" s="3" customFormat="1" ht="9.75" customHeight="1">
      <c r="A266" s="488"/>
      <c r="B266" s="127">
        <v>9</v>
      </c>
      <c r="C266" s="133">
        <v>84</v>
      </c>
      <c r="D266" s="133">
        <v>56</v>
      </c>
      <c r="E266" s="133">
        <v>0</v>
      </c>
      <c r="F266" s="133">
        <v>0</v>
      </c>
      <c r="G266" s="133">
        <v>5</v>
      </c>
      <c r="H266" s="133">
        <v>0</v>
      </c>
      <c r="I266" s="133">
        <v>2</v>
      </c>
      <c r="J266" s="133">
        <v>0</v>
      </c>
      <c r="K266" s="133"/>
      <c r="L266" s="134"/>
      <c r="M266" s="135">
        <f t="shared" ref="M266:M297" si="33">+C266+E266+G266+I266+K266</f>
        <v>91</v>
      </c>
      <c r="N266" s="145">
        <f t="shared" ref="N266:N297" si="34">+D266+F266+H266+J266+L266</f>
        <v>56</v>
      </c>
      <c r="O266" s="166">
        <f t="shared" si="31"/>
        <v>2.935483870967742</v>
      </c>
      <c r="P266" s="137">
        <f t="shared" si="32"/>
        <v>1.8064516129032258</v>
      </c>
    </row>
    <row r="267" spans="1:60" s="3" customFormat="1" ht="9.75" customHeight="1">
      <c r="A267" s="488"/>
      <c r="B267" s="127">
        <v>10</v>
      </c>
      <c r="C267" s="128">
        <v>105</v>
      </c>
      <c r="D267" s="128">
        <v>102</v>
      </c>
      <c r="E267" s="128">
        <v>0</v>
      </c>
      <c r="F267" s="128">
        <v>0</v>
      </c>
      <c r="G267" s="128">
        <v>6</v>
      </c>
      <c r="H267" s="128">
        <v>3</v>
      </c>
      <c r="I267" s="128">
        <v>1</v>
      </c>
      <c r="J267" s="128">
        <v>0</v>
      </c>
      <c r="K267" s="128"/>
      <c r="L267" s="164"/>
      <c r="M267" s="130">
        <f t="shared" si="33"/>
        <v>112</v>
      </c>
      <c r="N267" s="146">
        <f t="shared" si="34"/>
        <v>105</v>
      </c>
      <c r="O267" s="165">
        <f t="shared" si="31"/>
        <v>3.6129032258064515</v>
      </c>
      <c r="P267" s="132">
        <f t="shared" si="32"/>
        <v>3.3870967741935485</v>
      </c>
    </row>
    <row r="268" spans="1:60" s="3" customFormat="1" ht="9.75" customHeight="1">
      <c r="A268" s="488"/>
      <c r="B268" s="127">
        <v>11</v>
      </c>
      <c r="C268" s="133">
        <v>153</v>
      </c>
      <c r="D268" s="133">
        <v>136</v>
      </c>
      <c r="E268" s="133">
        <v>0</v>
      </c>
      <c r="F268" s="133">
        <v>0</v>
      </c>
      <c r="G268" s="133">
        <v>4</v>
      </c>
      <c r="H268" s="133">
        <v>4</v>
      </c>
      <c r="I268" s="133">
        <v>6</v>
      </c>
      <c r="J268" s="133">
        <v>4</v>
      </c>
      <c r="K268" s="133"/>
      <c r="L268" s="144"/>
      <c r="M268" s="135">
        <f t="shared" si="33"/>
        <v>163</v>
      </c>
      <c r="N268" s="145">
        <f t="shared" si="34"/>
        <v>144</v>
      </c>
      <c r="O268" s="166">
        <f t="shared" si="31"/>
        <v>5.258064516129032</v>
      </c>
      <c r="P268" s="137">
        <f t="shared" si="32"/>
        <v>4.645161290322581</v>
      </c>
    </row>
    <row r="269" spans="1:60" s="3" customFormat="1" ht="9.75" customHeight="1" thickBot="1">
      <c r="A269" s="488"/>
      <c r="B269" s="127">
        <v>12</v>
      </c>
      <c r="C269" s="133">
        <v>181</v>
      </c>
      <c r="D269" s="133">
        <v>249</v>
      </c>
      <c r="E269" s="133">
        <v>2</v>
      </c>
      <c r="F269" s="133">
        <v>1</v>
      </c>
      <c r="G269" s="133">
        <v>11</v>
      </c>
      <c r="H269" s="133">
        <v>4</v>
      </c>
      <c r="I269" s="133">
        <v>2</v>
      </c>
      <c r="J269" s="133">
        <v>4</v>
      </c>
      <c r="K269" s="133"/>
      <c r="L269" s="144"/>
      <c r="M269" s="135">
        <f t="shared" si="33"/>
        <v>196</v>
      </c>
      <c r="N269" s="145">
        <f t="shared" si="34"/>
        <v>258</v>
      </c>
      <c r="O269" s="166">
        <f t="shared" si="31"/>
        <v>6.32258064516129</v>
      </c>
      <c r="P269" s="137">
        <f t="shared" si="32"/>
        <v>8.32258064516129</v>
      </c>
    </row>
    <row r="270" spans="1:60" s="3" customFormat="1" ht="9.75" customHeight="1">
      <c r="A270" s="487">
        <v>2015</v>
      </c>
      <c r="B270" s="410">
        <v>1</v>
      </c>
      <c r="C270" s="416">
        <v>140</v>
      </c>
      <c r="D270" s="416">
        <v>174</v>
      </c>
      <c r="E270" s="416">
        <v>0</v>
      </c>
      <c r="F270" s="416">
        <v>0</v>
      </c>
      <c r="G270" s="416">
        <v>11</v>
      </c>
      <c r="H270" s="416">
        <v>14</v>
      </c>
      <c r="I270" s="416">
        <v>7</v>
      </c>
      <c r="J270" s="416">
        <v>3</v>
      </c>
      <c r="K270" s="416"/>
      <c r="L270" s="431"/>
      <c r="M270" s="418">
        <f t="shared" si="33"/>
        <v>158</v>
      </c>
      <c r="N270" s="419">
        <f t="shared" si="34"/>
        <v>191</v>
      </c>
      <c r="O270" s="429">
        <f t="shared" si="31"/>
        <v>5.096774193548387</v>
      </c>
      <c r="P270" s="421">
        <f t="shared" si="32"/>
        <v>6.161290322580645</v>
      </c>
      <c r="Q270" s="343"/>
      <c r="R270" s="343"/>
      <c r="S270" s="343"/>
      <c r="T270" s="343"/>
      <c r="U270" s="343"/>
      <c r="V270" s="343"/>
      <c r="W270" s="343"/>
      <c r="X270" s="343"/>
      <c r="Y270" s="343"/>
      <c r="Z270" s="343"/>
      <c r="AA270" s="343"/>
      <c r="AB270" s="343"/>
      <c r="AC270" s="343"/>
      <c r="AD270" s="343"/>
      <c r="AE270" s="343"/>
      <c r="AF270" s="343"/>
      <c r="AG270" s="343"/>
      <c r="AH270" s="343"/>
      <c r="AI270" s="343"/>
      <c r="AJ270" s="343"/>
      <c r="AK270" s="343"/>
      <c r="AL270" s="343"/>
      <c r="AM270" s="343"/>
      <c r="AN270" s="343"/>
      <c r="AO270" s="343"/>
      <c r="AP270" s="343"/>
      <c r="AQ270" s="343"/>
      <c r="AR270" s="343"/>
      <c r="AS270" s="343"/>
      <c r="AT270" s="343"/>
      <c r="AU270" s="343"/>
      <c r="AV270" s="343"/>
      <c r="AW270" s="343"/>
      <c r="AX270" s="343"/>
      <c r="AY270" s="343"/>
      <c r="AZ270" s="343"/>
      <c r="BA270" s="343"/>
      <c r="BB270" s="343"/>
      <c r="BC270" s="343"/>
      <c r="BD270" s="343"/>
      <c r="BE270" s="343"/>
      <c r="BF270" s="343"/>
      <c r="BG270" s="343"/>
      <c r="BH270" s="343"/>
    </row>
    <row r="271" spans="1:60" s="3" customFormat="1" ht="9.75" customHeight="1">
      <c r="A271" s="488"/>
      <c r="B271" s="127">
        <v>2</v>
      </c>
      <c r="C271" s="128">
        <v>130</v>
      </c>
      <c r="D271" s="128">
        <v>141</v>
      </c>
      <c r="E271" s="128">
        <v>0</v>
      </c>
      <c r="F271" s="128">
        <v>0</v>
      </c>
      <c r="G271" s="128">
        <v>10</v>
      </c>
      <c r="H271" s="128">
        <v>20</v>
      </c>
      <c r="I271" s="128">
        <v>5</v>
      </c>
      <c r="J271" s="128">
        <v>6</v>
      </c>
      <c r="K271" s="128"/>
      <c r="L271" s="164"/>
      <c r="M271" s="130">
        <f t="shared" si="33"/>
        <v>145</v>
      </c>
      <c r="N271" s="146">
        <f t="shared" si="34"/>
        <v>167</v>
      </c>
      <c r="O271" s="165">
        <f t="shared" si="31"/>
        <v>4.67741935483871</v>
      </c>
      <c r="P271" s="132">
        <f t="shared" si="32"/>
        <v>5.387096774193548</v>
      </c>
      <c r="Q271" s="343"/>
      <c r="R271" s="343"/>
      <c r="S271" s="343"/>
      <c r="T271" s="343"/>
      <c r="U271" s="343"/>
      <c r="V271" s="343"/>
      <c r="W271" s="343"/>
      <c r="X271" s="343"/>
      <c r="Y271" s="343"/>
      <c r="Z271" s="343"/>
      <c r="AA271" s="343"/>
      <c r="AB271" s="343"/>
      <c r="AC271" s="343"/>
      <c r="AD271" s="343"/>
      <c r="AE271" s="343"/>
      <c r="AF271" s="343"/>
      <c r="AG271" s="343"/>
      <c r="AH271" s="343"/>
      <c r="AI271" s="343"/>
      <c r="AJ271" s="343"/>
      <c r="AK271" s="343"/>
      <c r="AL271" s="343"/>
      <c r="AM271" s="343"/>
      <c r="AN271" s="343"/>
      <c r="AO271" s="343"/>
      <c r="AP271" s="343"/>
      <c r="AQ271" s="343"/>
      <c r="AR271" s="343"/>
      <c r="AS271" s="343"/>
      <c r="AT271" s="343"/>
      <c r="AU271" s="343"/>
      <c r="AV271" s="343"/>
      <c r="AW271" s="343"/>
      <c r="AX271" s="343"/>
      <c r="AY271" s="343"/>
      <c r="AZ271" s="343"/>
      <c r="BA271" s="343"/>
      <c r="BB271" s="343"/>
      <c r="BC271" s="343"/>
      <c r="BD271" s="343"/>
      <c r="BE271" s="343"/>
      <c r="BF271" s="343"/>
      <c r="BG271" s="343"/>
      <c r="BH271" s="343"/>
    </row>
    <row r="272" spans="1:60" s="3" customFormat="1" ht="9.75" customHeight="1">
      <c r="A272" s="488"/>
      <c r="B272" s="127">
        <v>3</v>
      </c>
      <c r="C272" s="128">
        <v>109</v>
      </c>
      <c r="D272" s="128">
        <v>94</v>
      </c>
      <c r="E272" s="128">
        <v>0</v>
      </c>
      <c r="F272" s="128">
        <v>0</v>
      </c>
      <c r="G272" s="128">
        <v>7</v>
      </c>
      <c r="H272" s="128">
        <v>5</v>
      </c>
      <c r="I272" s="128">
        <v>3</v>
      </c>
      <c r="J272" s="128">
        <v>4</v>
      </c>
      <c r="K272" s="128"/>
      <c r="L272" s="164"/>
      <c r="M272" s="130">
        <f t="shared" si="33"/>
        <v>119</v>
      </c>
      <c r="N272" s="146">
        <f t="shared" si="34"/>
        <v>103</v>
      </c>
      <c r="O272" s="165">
        <f t="shared" si="31"/>
        <v>3.838709677419355</v>
      </c>
      <c r="P272" s="132">
        <f t="shared" si="32"/>
        <v>3.3225806451612905</v>
      </c>
      <c r="Q272" s="343"/>
      <c r="R272" s="343"/>
      <c r="S272" s="343"/>
      <c r="T272" s="343"/>
      <c r="U272" s="343"/>
      <c r="V272" s="343"/>
      <c r="W272" s="343"/>
      <c r="X272" s="343"/>
      <c r="Y272" s="343"/>
      <c r="Z272" s="343"/>
      <c r="AA272" s="343"/>
      <c r="AB272" s="343"/>
      <c r="AC272" s="343"/>
      <c r="AD272" s="343"/>
      <c r="AE272" s="343"/>
      <c r="AF272" s="343"/>
      <c r="AG272" s="343"/>
      <c r="AH272" s="343"/>
      <c r="AI272" s="343"/>
      <c r="AJ272" s="343"/>
      <c r="AK272" s="343"/>
      <c r="AL272" s="343"/>
      <c r="AM272" s="343"/>
      <c r="AN272" s="343"/>
      <c r="AO272" s="343"/>
      <c r="AP272" s="343"/>
      <c r="AQ272" s="343"/>
      <c r="AR272" s="343"/>
      <c r="AS272" s="343"/>
      <c r="AT272" s="343"/>
      <c r="AU272" s="343"/>
      <c r="AV272" s="343"/>
      <c r="AW272" s="343"/>
      <c r="AX272" s="343"/>
      <c r="AY272" s="343"/>
      <c r="AZ272" s="343"/>
      <c r="BA272" s="343"/>
      <c r="BB272" s="343"/>
      <c r="BC272" s="343"/>
      <c r="BD272" s="343"/>
      <c r="BE272" s="343"/>
      <c r="BF272" s="343"/>
      <c r="BG272" s="343"/>
      <c r="BH272" s="343"/>
    </row>
    <row r="273" spans="1:60" s="3" customFormat="1" ht="9.75" customHeight="1">
      <c r="A273" s="488"/>
      <c r="B273" s="127">
        <v>4</v>
      </c>
      <c r="C273" s="128">
        <v>117</v>
      </c>
      <c r="D273" s="128">
        <v>124</v>
      </c>
      <c r="E273" s="128">
        <v>0</v>
      </c>
      <c r="F273" s="128">
        <v>0</v>
      </c>
      <c r="G273" s="128">
        <v>1</v>
      </c>
      <c r="H273" s="128">
        <v>1</v>
      </c>
      <c r="I273" s="128">
        <v>1</v>
      </c>
      <c r="J273" s="128">
        <v>0</v>
      </c>
      <c r="K273" s="128"/>
      <c r="L273" s="164"/>
      <c r="M273" s="130">
        <f t="shared" si="33"/>
        <v>119</v>
      </c>
      <c r="N273" s="146">
        <f t="shared" si="34"/>
        <v>125</v>
      </c>
      <c r="O273" s="165">
        <f t="shared" si="31"/>
        <v>3.838709677419355</v>
      </c>
      <c r="P273" s="132">
        <f t="shared" si="32"/>
        <v>4.032258064516129</v>
      </c>
      <c r="Q273" s="343"/>
      <c r="R273" s="343"/>
      <c r="S273" s="343"/>
      <c r="T273" s="343"/>
      <c r="U273" s="343"/>
      <c r="V273" s="343"/>
      <c r="W273" s="343"/>
      <c r="X273" s="343"/>
      <c r="Y273" s="343"/>
      <c r="Z273" s="343"/>
      <c r="AA273" s="343"/>
      <c r="AB273" s="343"/>
      <c r="AC273" s="343"/>
      <c r="AD273" s="343"/>
      <c r="AE273" s="343"/>
      <c r="AF273" s="343"/>
      <c r="AG273" s="343"/>
      <c r="AH273" s="343"/>
      <c r="AI273" s="343"/>
      <c r="AJ273" s="343"/>
      <c r="AK273" s="343"/>
      <c r="AL273" s="343"/>
      <c r="AM273" s="343"/>
      <c r="AN273" s="343"/>
      <c r="AO273" s="343"/>
      <c r="AP273" s="343"/>
      <c r="AQ273" s="343"/>
      <c r="AR273" s="343"/>
      <c r="AS273" s="343"/>
      <c r="AT273" s="343"/>
      <c r="AU273" s="343"/>
      <c r="AV273" s="343"/>
      <c r="AW273" s="343"/>
      <c r="AX273" s="343"/>
      <c r="AY273" s="343"/>
      <c r="AZ273" s="343"/>
      <c r="BA273" s="343"/>
      <c r="BB273" s="343"/>
      <c r="BC273" s="343"/>
      <c r="BD273" s="343"/>
      <c r="BE273" s="343"/>
      <c r="BF273" s="343"/>
      <c r="BG273" s="343"/>
      <c r="BH273" s="343"/>
    </row>
    <row r="274" spans="1:60" s="3" customFormat="1" ht="9.75" customHeight="1">
      <c r="A274" s="488"/>
      <c r="B274" s="127">
        <v>5</v>
      </c>
      <c r="C274" s="128">
        <v>83</v>
      </c>
      <c r="D274" s="128">
        <v>115</v>
      </c>
      <c r="E274" s="128">
        <v>0</v>
      </c>
      <c r="F274" s="128">
        <v>0</v>
      </c>
      <c r="G274" s="128">
        <v>2</v>
      </c>
      <c r="H274" s="128">
        <v>0</v>
      </c>
      <c r="I274" s="128">
        <v>1</v>
      </c>
      <c r="J274" s="128">
        <v>2</v>
      </c>
      <c r="K274" s="128"/>
      <c r="L274" s="164"/>
      <c r="M274" s="130">
        <f t="shared" si="33"/>
        <v>86</v>
      </c>
      <c r="N274" s="146">
        <f t="shared" si="34"/>
        <v>117</v>
      </c>
      <c r="O274" s="165">
        <f t="shared" si="31"/>
        <v>2.774193548387097</v>
      </c>
      <c r="P274" s="132">
        <f t="shared" si="32"/>
        <v>3.774193548387097</v>
      </c>
      <c r="Q274" s="343"/>
      <c r="R274" s="343"/>
      <c r="S274" s="343"/>
      <c r="T274" s="343"/>
      <c r="U274" s="343"/>
      <c r="V274" s="343"/>
      <c r="W274" s="343"/>
      <c r="X274" s="343"/>
      <c r="Y274" s="343"/>
      <c r="Z274" s="343"/>
      <c r="AA274" s="343"/>
      <c r="AB274" s="343"/>
      <c r="AC274" s="343"/>
      <c r="AD274" s="343"/>
      <c r="AE274" s="343"/>
      <c r="AF274" s="343"/>
      <c r="AG274" s="343"/>
      <c r="AH274" s="343"/>
      <c r="AI274" s="343"/>
      <c r="AJ274" s="343"/>
      <c r="AK274" s="343"/>
      <c r="AL274" s="343"/>
      <c r="AM274" s="343"/>
      <c r="AN274" s="343"/>
      <c r="AO274" s="343"/>
      <c r="AP274" s="343"/>
      <c r="AQ274" s="343"/>
      <c r="AR274" s="343"/>
      <c r="AS274" s="343"/>
      <c r="AT274" s="343"/>
      <c r="AU274" s="343"/>
      <c r="AV274" s="343"/>
      <c r="AW274" s="343"/>
      <c r="AX274" s="343"/>
      <c r="AY274" s="343"/>
      <c r="AZ274" s="343"/>
      <c r="BA274" s="343"/>
      <c r="BB274" s="343"/>
      <c r="BC274" s="343"/>
      <c r="BD274" s="343"/>
      <c r="BE274" s="343"/>
      <c r="BF274" s="343"/>
      <c r="BG274" s="343"/>
      <c r="BH274" s="343"/>
    </row>
    <row r="275" spans="1:60" s="3" customFormat="1" ht="9.75" customHeight="1">
      <c r="A275" s="488"/>
      <c r="B275" s="127">
        <v>6</v>
      </c>
      <c r="C275" s="138">
        <v>59</v>
      </c>
      <c r="D275" s="138">
        <v>51</v>
      </c>
      <c r="E275" s="138">
        <v>3</v>
      </c>
      <c r="F275" s="138">
        <v>0</v>
      </c>
      <c r="G275" s="138">
        <v>3</v>
      </c>
      <c r="H275" s="138">
        <v>2</v>
      </c>
      <c r="I275" s="138">
        <v>3</v>
      </c>
      <c r="J275" s="138">
        <v>4</v>
      </c>
      <c r="K275" s="138"/>
      <c r="L275" s="143"/>
      <c r="M275" s="135">
        <f t="shared" si="33"/>
        <v>68</v>
      </c>
      <c r="N275" s="145">
        <f t="shared" si="34"/>
        <v>57</v>
      </c>
      <c r="O275" s="166">
        <f t="shared" si="31"/>
        <v>2.193548387096774</v>
      </c>
      <c r="P275" s="137">
        <f t="shared" si="32"/>
        <v>1.8387096774193548</v>
      </c>
      <c r="Q275" s="343"/>
      <c r="R275" s="343"/>
      <c r="S275" s="343"/>
      <c r="T275" s="343"/>
      <c r="U275" s="343"/>
      <c r="V275" s="343"/>
      <c r="W275" s="343"/>
      <c r="X275" s="343"/>
      <c r="Y275" s="343"/>
      <c r="Z275" s="343"/>
      <c r="AA275" s="343"/>
      <c r="AB275" s="343"/>
      <c r="AC275" s="343"/>
      <c r="AD275" s="343"/>
      <c r="AE275" s="343"/>
      <c r="AF275" s="343"/>
      <c r="AG275" s="343"/>
      <c r="AH275" s="343"/>
      <c r="AI275" s="343"/>
      <c r="AJ275" s="343"/>
      <c r="AK275" s="343"/>
      <c r="AL275" s="343"/>
      <c r="AM275" s="343"/>
      <c r="AN275" s="343"/>
      <c r="AO275" s="343"/>
      <c r="AP275" s="343"/>
      <c r="AQ275" s="343"/>
      <c r="AR275" s="343"/>
      <c r="AS275" s="343"/>
      <c r="AT275" s="343"/>
      <c r="AU275" s="343"/>
      <c r="AV275" s="343"/>
      <c r="AW275" s="343"/>
      <c r="AX275" s="343"/>
      <c r="AY275" s="343"/>
      <c r="AZ275" s="343"/>
      <c r="BA275" s="343"/>
      <c r="BB275" s="343"/>
      <c r="BC275" s="343"/>
      <c r="BD275" s="343"/>
      <c r="BE275" s="343"/>
      <c r="BF275" s="343"/>
      <c r="BG275" s="343"/>
      <c r="BH275" s="343"/>
    </row>
    <row r="276" spans="1:60" s="3" customFormat="1" ht="9.75" customHeight="1">
      <c r="A276" s="488"/>
      <c r="B276" s="127">
        <v>7</v>
      </c>
      <c r="C276" s="133">
        <v>77</v>
      </c>
      <c r="D276" s="133">
        <v>59</v>
      </c>
      <c r="E276" s="133">
        <v>0</v>
      </c>
      <c r="F276" s="133">
        <v>0</v>
      </c>
      <c r="G276" s="133">
        <v>4</v>
      </c>
      <c r="H276" s="133">
        <v>1</v>
      </c>
      <c r="I276" s="133">
        <v>3</v>
      </c>
      <c r="J276" s="133">
        <v>2</v>
      </c>
      <c r="K276" s="133"/>
      <c r="L276" s="144"/>
      <c r="M276" s="135">
        <f t="shared" si="33"/>
        <v>84</v>
      </c>
      <c r="N276" s="145">
        <f t="shared" si="34"/>
        <v>62</v>
      </c>
      <c r="O276" s="166">
        <f t="shared" si="31"/>
        <v>2.7096774193548385</v>
      </c>
      <c r="P276" s="137">
        <f t="shared" si="32"/>
        <v>2</v>
      </c>
      <c r="Q276" s="343"/>
      <c r="R276" s="343"/>
      <c r="S276" s="343"/>
      <c r="T276" s="343"/>
      <c r="U276" s="343"/>
      <c r="V276" s="343"/>
      <c r="W276" s="343"/>
      <c r="X276" s="343"/>
      <c r="Y276" s="343"/>
      <c r="Z276" s="343"/>
      <c r="AA276" s="343"/>
      <c r="AB276" s="343"/>
      <c r="AC276" s="343"/>
      <c r="AD276" s="343"/>
      <c r="AE276" s="343"/>
      <c r="AF276" s="343"/>
      <c r="AG276" s="343"/>
      <c r="AH276" s="343"/>
      <c r="AI276" s="343"/>
      <c r="AJ276" s="343"/>
      <c r="AK276" s="343"/>
      <c r="AL276" s="343"/>
      <c r="AM276" s="343"/>
      <c r="AN276" s="343"/>
      <c r="AO276" s="343"/>
      <c r="AP276" s="343"/>
      <c r="AQ276" s="343"/>
      <c r="AR276" s="343"/>
      <c r="AS276" s="343"/>
      <c r="AT276" s="343"/>
      <c r="AU276" s="343"/>
      <c r="AV276" s="343"/>
      <c r="AW276" s="343"/>
      <c r="AX276" s="343"/>
      <c r="AY276" s="343"/>
      <c r="AZ276" s="343"/>
      <c r="BA276" s="343"/>
      <c r="BB276" s="343"/>
      <c r="BC276" s="343"/>
      <c r="BD276" s="343"/>
      <c r="BE276" s="343"/>
      <c r="BF276" s="343"/>
      <c r="BG276" s="343"/>
      <c r="BH276" s="343"/>
    </row>
    <row r="277" spans="1:60" s="3" customFormat="1" ht="9.75" customHeight="1">
      <c r="A277" s="488"/>
      <c r="B277" s="127">
        <v>8</v>
      </c>
      <c r="C277" s="133">
        <v>71</v>
      </c>
      <c r="D277" s="133">
        <v>63</v>
      </c>
      <c r="E277" s="133">
        <v>0</v>
      </c>
      <c r="F277" s="133">
        <v>0</v>
      </c>
      <c r="G277" s="133">
        <v>4</v>
      </c>
      <c r="H277" s="133">
        <v>2</v>
      </c>
      <c r="I277" s="133">
        <v>4</v>
      </c>
      <c r="J277" s="133">
        <v>0</v>
      </c>
      <c r="K277" s="133"/>
      <c r="L277" s="144"/>
      <c r="M277" s="135">
        <f t="shared" si="33"/>
        <v>79</v>
      </c>
      <c r="N277" s="145">
        <f t="shared" si="34"/>
        <v>65</v>
      </c>
      <c r="O277" s="166">
        <f t="shared" si="31"/>
        <v>2.5483870967741935</v>
      </c>
      <c r="P277" s="137">
        <f t="shared" si="32"/>
        <v>2.096774193548387</v>
      </c>
      <c r="Q277" s="343"/>
      <c r="R277" s="343"/>
      <c r="S277" s="343"/>
      <c r="T277" s="343"/>
      <c r="U277" s="343"/>
      <c r="V277" s="343"/>
      <c r="W277" s="343"/>
      <c r="X277" s="343"/>
      <c r="Y277" s="343"/>
      <c r="Z277" s="343"/>
      <c r="AA277" s="343"/>
      <c r="AB277" s="343"/>
      <c r="AC277" s="343"/>
      <c r="AD277" s="343"/>
      <c r="AE277" s="343"/>
      <c r="AF277" s="343"/>
      <c r="AG277" s="343"/>
      <c r="AH277" s="343"/>
      <c r="AI277" s="343"/>
      <c r="AJ277" s="343"/>
      <c r="AK277" s="343"/>
      <c r="AL277" s="343"/>
      <c r="AM277" s="343"/>
      <c r="AN277" s="343"/>
      <c r="AO277" s="343"/>
      <c r="AP277" s="343"/>
      <c r="AQ277" s="343"/>
      <c r="AR277" s="343"/>
      <c r="AS277" s="343"/>
      <c r="AT277" s="343"/>
      <c r="AU277" s="343"/>
      <c r="AV277" s="343"/>
      <c r="AW277" s="343"/>
      <c r="AX277" s="343"/>
      <c r="AY277" s="343"/>
      <c r="AZ277" s="343"/>
      <c r="BA277" s="343"/>
      <c r="BB277" s="343"/>
      <c r="BC277" s="343"/>
      <c r="BD277" s="343"/>
      <c r="BE277" s="343"/>
      <c r="BF277" s="343"/>
      <c r="BG277" s="343"/>
      <c r="BH277" s="343"/>
    </row>
    <row r="278" spans="1:60" s="3" customFormat="1" ht="9.75" customHeight="1">
      <c r="A278" s="488"/>
      <c r="B278" s="127">
        <v>9</v>
      </c>
      <c r="C278" s="133">
        <v>96</v>
      </c>
      <c r="D278" s="133">
        <v>55</v>
      </c>
      <c r="E278" s="133">
        <v>0</v>
      </c>
      <c r="F278" s="133">
        <v>0</v>
      </c>
      <c r="G278" s="133">
        <v>4</v>
      </c>
      <c r="H278" s="133">
        <v>1</v>
      </c>
      <c r="I278" s="133">
        <v>3</v>
      </c>
      <c r="J278" s="133">
        <v>2</v>
      </c>
      <c r="K278" s="133"/>
      <c r="L278" s="144"/>
      <c r="M278" s="135">
        <f t="shared" si="33"/>
        <v>103</v>
      </c>
      <c r="N278" s="145">
        <f t="shared" si="34"/>
        <v>58</v>
      </c>
      <c r="O278" s="166">
        <v>3.3225806451612905</v>
      </c>
      <c r="P278" s="137">
        <v>1.8709677419354838</v>
      </c>
      <c r="Q278" s="343"/>
      <c r="R278" s="343"/>
      <c r="S278" s="343"/>
      <c r="T278" s="343"/>
      <c r="U278" s="343"/>
      <c r="V278" s="343"/>
      <c r="W278" s="343"/>
      <c r="X278" s="343"/>
      <c r="Y278" s="343"/>
      <c r="Z278" s="343"/>
      <c r="AA278" s="343"/>
      <c r="AB278" s="343"/>
      <c r="AC278" s="343"/>
      <c r="AD278" s="343"/>
      <c r="AE278" s="343"/>
      <c r="AF278" s="343"/>
      <c r="AG278" s="343"/>
      <c r="AH278" s="343"/>
      <c r="AI278" s="343"/>
      <c r="AJ278" s="343"/>
      <c r="AK278" s="343"/>
      <c r="AL278" s="343"/>
      <c r="AM278" s="343"/>
      <c r="AN278" s="343"/>
      <c r="AO278" s="343"/>
      <c r="AP278" s="343"/>
      <c r="AQ278" s="343"/>
      <c r="AR278" s="343"/>
      <c r="AS278" s="343"/>
      <c r="AT278" s="343"/>
      <c r="AU278" s="343"/>
      <c r="AV278" s="343"/>
      <c r="AW278" s="343"/>
      <c r="AX278" s="343"/>
      <c r="AY278" s="343"/>
      <c r="AZ278" s="343"/>
      <c r="BA278" s="343"/>
      <c r="BB278" s="343"/>
      <c r="BC278" s="343"/>
      <c r="BD278" s="343"/>
      <c r="BE278" s="343"/>
      <c r="BF278" s="343"/>
      <c r="BG278" s="343"/>
      <c r="BH278" s="343"/>
    </row>
    <row r="279" spans="1:60" s="3" customFormat="1" ht="9.75" customHeight="1">
      <c r="A279" s="488"/>
      <c r="B279" s="127">
        <v>10</v>
      </c>
      <c r="C279" s="128">
        <v>179</v>
      </c>
      <c r="D279" s="128">
        <v>158</v>
      </c>
      <c r="E279" s="128">
        <v>0</v>
      </c>
      <c r="F279" s="358">
        <v>0</v>
      </c>
      <c r="G279" s="128">
        <v>3</v>
      </c>
      <c r="H279" s="128">
        <v>1</v>
      </c>
      <c r="I279" s="128">
        <v>3</v>
      </c>
      <c r="J279" s="128">
        <v>1</v>
      </c>
      <c r="K279" s="128"/>
      <c r="L279" s="129"/>
      <c r="M279" s="135">
        <f t="shared" si="33"/>
        <v>185</v>
      </c>
      <c r="N279" s="145">
        <f t="shared" si="34"/>
        <v>160</v>
      </c>
      <c r="O279" s="166">
        <f t="shared" ref="O279:P282" si="35">M279/31</f>
        <v>5.967741935483871</v>
      </c>
      <c r="P279" s="137">
        <f t="shared" si="35"/>
        <v>5.161290322580645</v>
      </c>
      <c r="Q279" s="343"/>
      <c r="R279" s="343"/>
      <c r="S279" s="343"/>
      <c r="T279" s="343"/>
      <c r="U279" s="343"/>
      <c r="V279" s="343"/>
      <c r="W279" s="343"/>
      <c r="X279" s="343"/>
      <c r="Y279" s="343"/>
      <c r="Z279" s="343"/>
      <c r="AA279" s="343"/>
      <c r="AB279" s="343"/>
      <c r="AC279" s="343"/>
      <c r="AD279" s="343"/>
      <c r="AE279" s="343"/>
      <c r="AF279" s="343"/>
      <c r="AG279" s="343"/>
      <c r="AH279" s="343"/>
      <c r="AI279" s="343"/>
      <c r="AJ279" s="343"/>
      <c r="AK279" s="343"/>
      <c r="AL279" s="343"/>
      <c r="AM279" s="343"/>
      <c r="AN279" s="343"/>
      <c r="AO279" s="343"/>
      <c r="AP279" s="343"/>
      <c r="AQ279" s="343"/>
      <c r="AR279" s="343"/>
      <c r="AS279" s="343"/>
      <c r="AT279" s="343"/>
      <c r="AU279" s="343"/>
      <c r="AV279" s="343"/>
      <c r="AW279" s="343"/>
      <c r="AX279" s="343"/>
      <c r="AY279" s="343"/>
      <c r="AZ279" s="343"/>
      <c r="BA279" s="343"/>
      <c r="BB279" s="343"/>
      <c r="BC279" s="343"/>
      <c r="BD279" s="343"/>
      <c r="BE279" s="343"/>
      <c r="BF279" s="343"/>
      <c r="BG279" s="343"/>
      <c r="BH279" s="343"/>
    </row>
    <row r="280" spans="1:60" s="3" customFormat="1" ht="9.75" customHeight="1">
      <c r="A280" s="488"/>
      <c r="B280" s="127">
        <v>11</v>
      </c>
      <c r="C280" s="365">
        <v>253</v>
      </c>
      <c r="D280" s="365">
        <v>146</v>
      </c>
      <c r="E280" s="365">
        <v>0</v>
      </c>
      <c r="F280" s="365">
        <v>0</v>
      </c>
      <c r="G280" s="365">
        <v>16</v>
      </c>
      <c r="H280" s="365">
        <v>0</v>
      </c>
      <c r="I280" s="365">
        <v>5</v>
      </c>
      <c r="J280" s="365">
        <v>0</v>
      </c>
      <c r="K280" s="365"/>
      <c r="L280" s="366"/>
      <c r="M280" s="135">
        <f t="shared" si="33"/>
        <v>274</v>
      </c>
      <c r="N280" s="145">
        <f t="shared" si="34"/>
        <v>146</v>
      </c>
      <c r="O280" s="166">
        <f t="shared" si="35"/>
        <v>8.8387096774193541</v>
      </c>
      <c r="P280" s="137">
        <f t="shared" si="35"/>
        <v>4.709677419354839</v>
      </c>
      <c r="Q280" s="343"/>
      <c r="R280" s="343"/>
      <c r="S280" s="343"/>
      <c r="T280" s="343"/>
      <c r="U280" s="343"/>
      <c r="V280" s="343"/>
      <c r="W280" s="343"/>
      <c r="X280" s="343"/>
      <c r="Y280" s="343"/>
      <c r="Z280" s="343"/>
      <c r="AA280" s="343"/>
      <c r="AB280" s="343"/>
      <c r="AC280" s="343"/>
      <c r="AD280" s="343"/>
      <c r="AE280" s="343"/>
      <c r="AF280" s="343"/>
      <c r="AG280" s="343"/>
      <c r="AH280" s="343"/>
      <c r="AI280" s="343"/>
      <c r="AJ280" s="343"/>
      <c r="AK280" s="343"/>
      <c r="AL280" s="343"/>
      <c r="AM280" s="343"/>
      <c r="AN280" s="343"/>
      <c r="AO280" s="343"/>
      <c r="AP280" s="343"/>
      <c r="AQ280" s="343"/>
      <c r="AR280" s="343"/>
      <c r="AS280" s="343"/>
      <c r="AT280" s="343"/>
      <c r="AU280" s="343"/>
      <c r="AV280" s="343"/>
      <c r="AW280" s="343"/>
      <c r="AX280" s="343"/>
      <c r="AY280" s="343"/>
      <c r="AZ280" s="343"/>
      <c r="BA280" s="343"/>
      <c r="BB280" s="343"/>
      <c r="BC280" s="343"/>
      <c r="BD280" s="343"/>
      <c r="BE280" s="343"/>
      <c r="BF280" s="343"/>
      <c r="BG280" s="343"/>
      <c r="BH280" s="343"/>
    </row>
    <row r="281" spans="1:60" s="3" customFormat="1" ht="9.75" customHeight="1" thickBot="1">
      <c r="A281" s="489"/>
      <c r="B281" s="127">
        <v>12</v>
      </c>
      <c r="C281" s="182">
        <v>274</v>
      </c>
      <c r="D281" s="182">
        <v>291</v>
      </c>
      <c r="E281" s="182">
        <v>1</v>
      </c>
      <c r="F281" s="195">
        <v>3</v>
      </c>
      <c r="G281" s="182">
        <v>9</v>
      </c>
      <c r="H281" s="182">
        <v>4</v>
      </c>
      <c r="I281" s="182">
        <v>8</v>
      </c>
      <c r="J281" s="182">
        <v>7</v>
      </c>
      <c r="K281" s="182"/>
      <c r="L281" s="183"/>
      <c r="M281" s="135">
        <f t="shared" si="33"/>
        <v>292</v>
      </c>
      <c r="N281" s="145">
        <f t="shared" si="34"/>
        <v>305</v>
      </c>
      <c r="O281" s="166">
        <f t="shared" si="35"/>
        <v>9.4193548387096779</v>
      </c>
      <c r="P281" s="137">
        <f t="shared" si="35"/>
        <v>9.8387096774193541</v>
      </c>
      <c r="Q281" s="343"/>
      <c r="R281" s="343"/>
      <c r="S281" s="343"/>
      <c r="T281" s="343"/>
      <c r="U281" s="343"/>
      <c r="V281" s="343"/>
      <c r="W281" s="343"/>
      <c r="X281" s="343"/>
      <c r="Y281" s="343"/>
      <c r="Z281" s="343"/>
      <c r="AA281" s="343"/>
      <c r="AB281" s="343"/>
      <c r="AC281" s="343"/>
      <c r="AD281" s="343"/>
      <c r="AE281" s="343"/>
      <c r="AF281" s="343"/>
      <c r="AG281" s="343"/>
      <c r="AH281" s="343"/>
      <c r="AI281" s="343"/>
      <c r="AJ281" s="343"/>
      <c r="AK281" s="343"/>
      <c r="AL281" s="343"/>
      <c r="AM281" s="343"/>
      <c r="AN281" s="343"/>
      <c r="AO281" s="343"/>
      <c r="AP281" s="343"/>
      <c r="AQ281" s="343"/>
      <c r="AR281" s="343"/>
      <c r="AS281" s="343"/>
      <c r="AT281" s="343"/>
      <c r="AU281" s="343"/>
      <c r="AV281" s="343"/>
      <c r="AW281" s="343"/>
      <c r="AX281" s="343"/>
      <c r="AY281" s="343"/>
      <c r="AZ281" s="343"/>
      <c r="BA281" s="343"/>
      <c r="BB281" s="343"/>
      <c r="BC281" s="343"/>
      <c r="BD281" s="343"/>
      <c r="BE281" s="343"/>
      <c r="BF281" s="343"/>
      <c r="BG281" s="343"/>
      <c r="BH281" s="343"/>
    </row>
    <row r="282" spans="1:60" s="3" customFormat="1" ht="9.75" customHeight="1">
      <c r="A282" s="487">
        <v>2016</v>
      </c>
      <c r="B282" s="410">
        <v>1</v>
      </c>
      <c r="C282" s="416">
        <v>257</v>
      </c>
      <c r="D282" s="416">
        <v>285</v>
      </c>
      <c r="E282" s="416">
        <v>1</v>
      </c>
      <c r="F282" s="416">
        <v>2</v>
      </c>
      <c r="G282" s="416">
        <v>18</v>
      </c>
      <c r="H282" s="416">
        <v>18</v>
      </c>
      <c r="I282" s="416">
        <v>6</v>
      </c>
      <c r="J282" s="416">
        <v>3</v>
      </c>
      <c r="K282" s="416"/>
      <c r="L282" s="431"/>
      <c r="M282" s="418">
        <f t="shared" si="33"/>
        <v>282</v>
      </c>
      <c r="N282" s="419">
        <f t="shared" si="34"/>
        <v>308</v>
      </c>
      <c r="O282" s="429">
        <f t="shared" si="35"/>
        <v>9.0967741935483879</v>
      </c>
      <c r="P282" s="421">
        <f t="shared" si="35"/>
        <v>9.935483870967742</v>
      </c>
      <c r="Q282" s="343"/>
      <c r="R282" s="343"/>
      <c r="S282" s="343"/>
      <c r="T282" s="343"/>
      <c r="U282" s="343"/>
      <c r="V282" s="343"/>
      <c r="W282" s="343"/>
      <c r="X282" s="343"/>
      <c r="Y282" s="343"/>
      <c r="Z282" s="343"/>
      <c r="AA282" s="343"/>
      <c r="AB282" s="343"/>
      <c r="AC282" s="343"/>
      <c r="AD282" s="343"/>
      <c r="AE282" s="343"/>
      <c r="AF282" s="343"/>
      <c r="AG282" s="343"/>
      <c r="AH282" s="343"/>
      <c r="AI282" s="343"/>
      <c r="AJ282" s="343"/>
      <c r="AK282" s="343"/>
      <c r="AL282" s="343"/>
      <c r="AM282" s="343"/>
      <c r="AN282" s="343"/>
      <c r="AO282" s="343"/>
      <c r="AP282" s="343"/>
      <c r="AQ282" s="343"/>
      <c r="AR282" s="343"/>
      <c r="AS282" s="343"/>
      <c r="AT282" s="343"/>
      <c r="AU282" s="343"/>
      <c r="AV282" s="343"/>
      <c r="AW282" s="343"/>
      <c r="AX282" s="343"/>
      <c r="AY282" s="343"/>
      <c r="AZ282" s="343"/>
      <c r="BA282" s="343"/>
      <c r="BB282" s="343"/>
      <c r="BC282" s="343"/>
      <c r="BD282" s="343"/>
      <c r="BE282" s="343"/>
      <c r="BF282" s="343"/>
      <c r="BG282" s="343"/>
      <c r="BH282" s="343"/>
    </row>
    <row r="283" spans="1:60" s="3" customFormat="1" ht="9.75" customHeight="1">
      <c r="A283" s="488"/>
      <c r="B283" s="127">
        <v>2</v>
      </c>
      <c r="C283" s="128">
        <v>200</v>
      </c>
      <c r="D283" s="128">
        <v>209</v>
      </c>
      <c r="E283" s="128">
        <v>0</v>
      </c>
      <c r="F283" s="128">
        <v>0</v>
      </c>
      <c r="G283" s="128">
        <v>13</v>
      </c>
      <c r="H283" s="128">
        <v>10</v>
      </c>
      <c r="I283" s="128">
        <v>6</v>
      </c>
      <c r="J283" s="128">
        <v>15</v>
      </c>
      <c r="K283" s="128"/>
      <c r="L283" s="164"/>
      <c r="M283" s="130">
        <f t="shared" si="33"/>
        <v>219</v>
      </c>
      <c r="N283" s="146">
        <f t="shared" si="34"/>
        <v>234</v>
      </c>
      <c r="O283" s="131">
        <f>M283/29</f>
        <v>7.5517241379310347</v>
      </c>
      <c r="P283" s="132">
        <f>N283/29</f>
        <v>8.068965517241379</v>
      </c>
      <c r="Q283" s="343"/>
      <c r="R283" s="343"/>
      <c r="S283" s="343"/>
      <c r="T283" s="343"/>
      <c r="U283" s="343"/>
      <c r="V283" s="343"/>
      <c r="W283" s="343"/>
      <c r="X283" s="343"/>
      <c r="Y283" s="343"/>
      <c r="Z283" s="343"/>
      <c r="AA283" s="343"/>
      <c r="AB283" s="343"/>
      <c r="AC283" s="343"/>
      <c r="AD283" s="343"/>
      <c r="AE283" s="343"/>
      <c r="AF283" s="343"/>
      <c r="AG283" s="343"/>
      <c r="AH283" s="343"/>
      <c r="AI283" s="343"/>
      <c r="AJ283" s="343"/>
      <c r="AK283" s="343"/>
      <c r="AL283" s="343"/>
      <c r="AM283" s="343"/>
      <c r="AN283" s="343"/>
      <c r="AO283" s="343"/>
      <c r="AP283" s="343"/>
      <c r="AQ283" s="343"/>
      <c r="AR283" s="343"/>
      <c r="AS283" s="343"/>
      <c r="AT283" s="343"/>
      <c r="AU283" s="343"/>
      <c r="AV283" s="343"/>
      <c r="AW283" s="343"/>
      <c r="AX283" s="343"/>
      <c r="AY283" s="343"/>
      <c r="AZ283" s="343"/>
      <c r="BA283" s="343"/>
      <c r="BB283" s="343"/>
      <c r="BC283" s="343"/>
      <c r="BD283" s="343"/>
      <c r="BE283" s="343"/>
      <c r="BF283" s="343"/>
      <c r="BG283" s="343"/>
      <c r="BH283" s="343"/>
    </row>
    <row r="284" spans="1:60" s="3" customFormat="1" ht="9.75" customHeight="1">
      <c r="A284" s="488"/>
      <c r="B284" s="127">
        <v>3</v>
      </c>
      <c r="C284" s="128">
        <v>132</v>
      </c>
      <c r="D284" s="128">
        <v>109</v>
      </c>
      <c r="E284" s="128">
        <v>0</v>
      </c>
      <c r="F284" s="128">
        <v>0</v>
      </c>
      <c r="G284" s="128">
        <v>5</v>
      </c>
      <c r="H284" s="128">
        <v>4</v>
      </c>
      <c r="I284" s="128">
        <v>1</v>
      </c>
      <c r="J284" s="128">
        <v>0</v>
      </c>
      <c r="K284" s="128"/>
      <c r="L284" s="164"/>
      <c r="M284" s="130">
        <f t="shared" si="33"/>
        <v>138</v>
      </c>
      <c r="N284" s="146">
        <f t="shared" si="34"/>
        <v>113</v>
      </c>
      <c r="O284" s="131">
        <f>M284/31</f>
        <v>4.4516129032258061</v>
      </c>
      <c r="P284" s="132">
        <f>N284/31</f>
        <v>3.6451612903225805</v>
      </c>
      <c r="Q284" s="343"/>
      <c r="R284" s="343"/>
      <c r="S284" s="343"/>
      <c r="T284" s="343"/>
      <c r="U284" s="343"/>
      <c r="V284" s="343"/>
      <c r="W284" s="343"/>
      <c r="X284" s="343"/>
      <c r="Y284" s="343"/>
      <c r="Z284" s="343"/>
      <c r="AA284" s="343"/>
      <c r="AB284" s="343"/>
      <c r="AC284" s="343"/>
      <c r="AD284" s="343"/>
      <c r="AE284" s="343"/>
      <c r="AF284" s="343"/>
      <c r="AG284" s="343"/>
      <c r="AH284" s="343"/>
      <c r="AI284" s="343"/>
      <c r="AJ284" s="343"/>
      <c r="AK284" s="343"/>
      <c r="AL284" s="343"/>
      <c r="AM284" s="343"/>
      <c r="AN284" s="343"/>
      <c r="AO284" s="343"/>
      <c r="AP284" s="343"/>
      <c r="AQ284" s="343"/>
      <c r="AR284" s="343"/>
      <c r="AS284" s="343"/>
      <c r="AT284" s="343"/>
      <c r="AU284" s="343"/>
      <c r="AV284" s="343"/>
      <c r="AW284" s="343"/>
      <c r="AX284" s="343"/>
      <c r="AY284" s="343"/>
      <c r="AZ284" s="343"/>
      <c r="BA284" s="343"/>
      <c r="BB284" s="343"/>
      <c r="BC284" s="343"/>
      <c r="BD284" s="343"/>
      <c r="BE284" s="343"/>
      <c r="BF284" s="343"/>
      <c r="BG284" s="343"/>
      <c r="BH284" s="343"/>
    </row>
    <row r="285" spans="1:60" s="3" customFormat="1" ht="9.75" customHeight="1">
      <c r="A285" s="488"/>
      <c r="B285" s="127">
        <v>4</v>
      </c>
      <c r="C285" s="128">
        <v>88</v>
      </c>
      <c r="D285" s="128">
        <v>90</v>
      </c>
      <c r="E285" s="128">
        <v>0</v>
      </c>
      <c r="F285" s="128">
        <v>0</v>
      </c>
      <c r="G285" s="128">
        <v>0</v>
      </c>
      <c r="H285" s="128">
        <v>0</v>
      </c>
      <c r="I285" s="128">
        <v>1</v>
      </c>
      <c r="J285" s="128">
        <v>0</v>
      </c>
      <c r="K285" s="128"/>
      <c r="L285" s="164"/>
      <c r="M285" s="130">
        <f t="shared" si="33"/>
        <v>89</v>
      </c>
      <c r="N285" s="146">
        <f t="shared" si="34"/>
        <v>90</v>
      </c>
      <c r="O285" s="131">
        <f>M285/30</f>
        <v>2.9666666666666668</v>
      </c>
      <c r="P285" s="132">
        <f>N285/30</f>
        <v>3</v>
      </c>
      <c r="Q285" s="343"/>
      <c r="R285" s="343"/>
      <c r="S285" s="343"/>
      <c r="T285" s="343"/>
      <c r="U285" s="343"/>
      <c r="V285" s="343"/>
      <c r="W285" s="343"/>
      <c r="X285" s="343"/>
      <c r="Y285" s="343"/>
      <c r="Z285" s="343"/>
      <c r="AA285" s="343"/>
      <c r="AB285" s="343"/>
      <c r="AC285" s="343"/>
      <c r="AD285" s="343"/>
      <c r="AE285" s="343"/>
      <c r="AF285" s="343"/>
      <c r="AG285" s="343"/>
      <c r="AH285" s="343"/>
      <c r="AI285" s="343"/>
      <c r="AJ285" s="343"/>
      <c r="AK285" s="343"/>
      <c r="AL285" s="343"/>
      <c r="AM285" s="343"/>
      <c r="AN285" s="343"/>
      <c r="AO285" s="343"/>
      <c r="AP285" s="343"/>
      <c r="AQ285" s="343"/>
      <c r="AR285" s="343"/>
      <c r="AS285" s="343"/>
      <c r="AT285" s="343"/>
      <c r="AU285" s="343"/>
      <c r="AV285" s="343"/>
      <c r="AW285" s="343"/>
      <c r="AX285" s="343"/>
      <c r="AY285" s="343"/>
      <c r="AZ285" s="343"/>
      <c r="BA285" s="343"/>
      <c r="BB285" s="343"/>
      <c r="BC285" s="343"/>
      <c r="BD285" s="343"/>
      <c r="BE285" s="343"/>
      <c r="BF285" s="343"/>
      <c r="BG285" s="343"/>
      <c r="BH285" s="343"/>
    </row>
    <row r="286" spans="1:60" s="3" customFormat="1" ht="9.75" customHeight="1">
      <c r="A286" s="488"/>
      <c r="B286" s="127">
        <v>5</v>
      </c>
      <c r="C286" s="128">
        <v>52</v>
      </c>
      <c r="D286" s="128">
        <v>88</v>
      </c>
      <c r="E286" s="128">
        <v>0</v>
      </c>
      <c r="F286" s="128">
        <v>0</v>
      </c>
      <c r="G286" s="128">
        <v>2</v>
      </c>
      <c r="H286" s="128">
        <v>4</v>
      </c>
      <c r="I286" s="128">
        <v>0</v>
      </c>
      <c r="J286" s="128">
        <v>0</v>
      </c>
      <c r="K286" s="128"/>
      <c r="L286" s="164"/>
      <c r="M286" s="130">
        <f t="shared" si="33"/>
        <v>54</v>
      </c>
      <c r="N286" s="146">
        <f t="shared" si="34"/>
        <v>92</v>
      </c>
      <c r="O286" s="136">
        <f>M286/31</f>
        <v>1.7419354838709677</v>
      </c>
      <c r="P286" s="137">
        <f>N286/31</f>
        <v>2.967741935483871</v>
      </c>
      <c r="Q286" s="343"/>
      <c r="R286" s="343"/>
      <c r="S286" s="343"/>
      <c r="T286" s="343"/>
      <c r="U286" s="343"/>
      <c r="V286" s="343"/>
      <c r="W286" s="343"/>
      <c r="X286" s="343"/>
      <c r="Y286" s="343"/>
      <c r="Z286" s="343"/>
      <c r="AA286" s="343"/>
      <c r="AB286" s="343"/>
      <c r="AC286" s="343"/>
      <c r="AD286" s="343"/>
      <c r="AE286" s="343"/>
      <c r="AF286" s="343"/>
      <c r="AG286" s="343"/>
      <c r="AH286" s="343"/>
      <c r="AI286" s="343"/>
      <c r="AJ286" s="343"/>
      <c r="AK286" s="343"/>
      <c r="AL286" s="343"/>
      <c r="AM286" s="343"/>
      <c r="AN286" s="343"/>
      <c r="AO286" s="343"/>
      <c r="AP286" s="343"/>
      <c r="AQ286" s="343"/>
      <c r="AR286" s="343"/>
      <c r="AS286" s="343"/>
      <c r="AT286" s="343"/>
      <c r="AU286" s="343"/>
      <c r="AV286" s="343"/>
      <c r="AW286" s="343"/>
      <c r="AX286" s="343"/>
      <c r="AY286" s="343"/>
      <c r="AZ286" s="343"/>
      <c r="BA286" s="343"/>
      <c r="BB286" s="343"/>
      <c r="BC286" s="343"/>
      <c r="BD286" s="343"/>
      <c r="BE286" s="343"/>
      <c r="BF286" s="343"/>
      <c r="BG286" s="343"/>
      <c r="BH286" s="343"/>
    </row>
    <row r="287" spans="1:60" s="3" customFormat="1" ht="9.75" customHeight="1">
      <c r="A287" s="488"/>
      <c r="B287" s="127">
        <v>6</v>
      </c>
      <c r="C287" s="138">
        <v>47</v>
      </c>
      <c r="D287" s="138">
        <v>38</v>
      </c>
      <c r="E287" s="138">
        <v>0</v>
      </c>
      <c r="F287" s="138">
        <v>0</v>
      </c>
      <c r="G287" s="138">
        <v>3</v>
      </c>
      <c r="H287" s="138">
        <v>1</v>
      </c>
      <c r="I287" s="138">
        <v>0</v>
      </c>
      <c r="J287" s="138">
        <v>0</v>
      </c>
      <c r="K287" s="138"/>
      <c r="L287" s="143"/>
      <c r="M287" s="135">
        <f t="shared" si="33"/>
        <v>50</v>
      </c>
      <c r="N287" s="145">
        <f t="shared" si="34"/>
        <v>39</v>
      </c>
      <c r="O287" s="136">
        <f>M287/30</f>
        <v>1.6666666666666667</v>
      </c>
      <c r="P287" s="137">
        <f>N287/30</f>
        <v>1.3</v>
      </c>
      <c r="Q287" s="343"/>
      <c r="R287" s="343"/>
      <c r="S287" s="343"/>
      <c r="T287" s="343"/>
      <c r="U287" s="343"/>
      <c r="V287" s="343"/>
      <c r="W287" s="343"/>
      <c r="X287" s="343"/>
      <c r="Y287" s="343"/>
      <c r="Z287" s="343"/>
      <c r="AA287" s="343"/>
      <c r="AB287" s="343"/>
      <c r="AC287" s="343"/>
      <c r="AD287" s="343"/>
      <c r="AE287" s="343"/>
      <c r="AF287" s="343"/>
      <c r="AG287" s="343"/>
      <c r="AH287" s="343"/>
      <c r="AI287" s="343"/>
      <c r="AJ287" s="343"/>
      <c r="AK287" s="343"/>
      <c r="AL287" s="343"/>
      <c r="AM287" s="343"/>
      <c r="AN287" s="343"/>
      <c r="AO287" s="343"/>
      <c r="AP287" s="343"/>
      <c r="AQ287" s="343"/>
      <c r="AR287" s="343"/>
      <c r="AS287" s="343"/>
      <c r="AT287" s="343"/>
      <c r="AU287" s="343"/>
      <c r="AV287" s="343"/>
      <c r="AW287" s="343"/>
      <c r="AX287" s="343"/>
      <c r="AY287" s="343"/>
      <c r="AZ287" s="343"/>
      <c r="BA287" s="343"/>
      <c r="BB287" s="343"/>
      <c r="BC287" s="343"/>
      <c r="BD287" s="343"/>
      <c r="BE287" s="343"/>
      <c r="BF287" s="343"/>
      <c r="BG287" s="343"/>
      <c r="BH287" s="343"/>
    </row>
    <row r="288" spans="1:60" s="3" customFormat="1" ht="9.75" customHeight="1">
      <c r="A288" s="488"/>
      <c r="B288" s="127">
        <v>7</v>
      </c>
      <c r="C288" s="133">
        <v>48</v>
      </c>
      <c r="D288" s="133">
        <v>32</v>
      </c>
      <c r="E288" s="133">
        <v>0</v>
      </c>
      <c r="F288" s="133">
        <v>0</v>
      </c>
      <c r="G288" s="133">
        <v>2</v>
      </c>
      <c r="H288" s="133">
        <v>4</v>
      </c>
      <c r="I288" s="133">
        <v>0</v>
      </c>
      <c r="J288" s="133">
        <v>0</v>
      </c>
      <c r="K288" s="133"/>
      <c r="L288" s="144"/>
      <c r="M288" s="135">
        <f t="shared" si="33"/>
        <v>50</v>
      </c>
      <c r="N288" s="145">
        <f t="shared" si="34"/>
        <v>36</v>
      </c>
      <c r="O288" s="136">
        <f>M288/31</f>
        <v>1.6129032258064515</v>
      </c>
      <c r="P288" s="137">
        <f>N288/31</f>
        <v>1.1612903225806452</v>
      </c>
      <c r="Q288" s="343"/>
      <c r="R288" s="343"/>
      <c r="S288" s="343"/>
      <c r="T288" s="343"/>
      <c r="U288" s="343"/>
      <c r="V288" s="343"/>
      <c r="W288" s="343"/>
      <c r="X288" s="343"/>
      <c r="Y288" s="343"/>
      <c r="Z288" s="343"/>
      <c r="AA288" s="343"/>
      <c r="AB288" s="343"/>
      <c r="AC288" s="343"/>
      <c r="AD288" s="343"/>
      <c r="AE288" s="343"/>
      <c r="AF288" s="343"/>
      <c r="AG288" s="343"/>
      <c r="AH288" s="343"/>
      <c r="AI288" s="343"/>
      <c r="AJ288" s="343"/>
      <c r="AK288" s="343"/>
      <c r="AL288" s="343"/>
      <c r="AM288" s="343"/>
      <c r="AN288" s="343"/>
      <c r="AO288" s="343"/>
      <c r="AP288" s="343"/>
      <c r="AQ288" s="343"/>
      <c r="AR288" s="343"/>
      <c r="AS288" s="343"/>
      <c r="AT288" s="343"/>
      <c r="AU288" s="343"/>
      <c r="AV288" s="343"/>
      <c r="AW288" s="343"/>
      <c r="AX288" s="343"/>
      <c r="AY288" s="343"/>
      <c r="AZ288" s="343"/>
      <c r="BA288" s="343"/>
      <c r="BB288" s="343"/>
      <c r="BC288" s="343"/>
      <c r="BD288" s="343"/>
      <c r="BE288" s="343"/>
      <c r="BF288" s="343"/>
      <c r="BG288" s="343"/>
      <c r="BH288" s="343"/>
    </row>
    <row r="289" spans="1:60" s="3" customFormat="1" ht="9.75" customHeight="1">
      <c r="A289" s="488"/>
      <c r="B289" s="127">
        <v>8</v>
      </c>
      <c r="C289" s="133">
        <v>56</v>
      </c>
      <c r="D289" s="133">
        <v>48</v>
      </c>
      <c r="E289" s="133">
        <v>0</v>
      </c>
      <c r="F289" s="133">
        <v>0</v>
      </c>
      <c r="G289" s="133">
        <v>6</v>
      </c>
      <c r="H289" s="133">
        <v>2</v>
      </c>
      <c r="I289" s="133">
        <v>2</v>
      </c>
      <c r="J289" s="133">
        <v>5</v>
      </c>
      <c r="K289" s="133"/>
      <c r="L289" s="144"/>
      <c r="M289" s="135">
        <f t="shared" si="33"/>
        <v>64</v>
      </c>
      <c r="N289" s="145">
        <f t="shared" si="34"/>
        <v>55</v>
      </c>
      <c r="O289" s="136">
        <f>M289/31</f>
        <v>2.064516129032258</v>
      </c>
      <c r="P289" s="137">
        <f>N289/31</f>
        <v>1.7741935483870968</v>
      </c>
      <c r="Q289" s="343"/>
      <c r="R289" s="343"/>
      <c r="S289" s="343"/>
      <c r="T289" s="343"/>
      <c r="U289" s="343"/>
      <c r="V289" s="343"/>
      <c r="W289" s="343"/>
      <c r="X289" s="343"/>
      <c r="Y289" s="343"/>
      <c r="Z289" s="343"/>
      <c r="AA289" s="343"/>
      <c r="AB289" s="343"/>
      <c r="AC289" s="343"/>
      <c r="AD289" s="343"/>
      <c r="AE289" s="343"/>
      <c r="AF289" s="343"/>
      <c r="AG289" s="343"/>
      <c r="AH289" s="343"/>
      <c r="AI289" s="343"/>
      <c r="AJ289" s="343"/>
      <c r="AK289" s="343"/>
      <c r="AL289" s="343"/>
      <c r="AM289" s="343"/>
      <c r="AN289" s="343"/>
      <c r="AO289" s="343"/>
      <c r="AP289" s="343"/>
      <c r="AQ289" s="343"/>
      <c r="AR289" s="343"/>
      <c r="AS289" s="343"/>
      <c r="AT289" s="343"/>
      <c r="AU289" s="343"/>
      <c r="AV289" s="343"/>
      <c r="AW289" s="343"/>
      <c r="AX289" s="343"/>
      <c r="AY289" s="343"/>
      <c r="AZ289" s="343"/>
      <c r="BA289" s="343"/>
      <c r="BB289" s="343"/>
      <c r="BC289" s="343"/>
      <c r="BD289" s="343"/>
      <c r="BE289" s="343"/>
      <c r="BF289" s="343"/>
      <c r="BG289" s="343"/>
      <c r="BH289" s="343"/>
    </row>
    <row r="290" spans="1:60" s="3" customFormat="1" ht="9.75" customHeight="1">
      <c r="A290" s="488"/>
      <c r="B290" s="127">
        <v>9</v>
      </c>
      <c r="C290" s="133">
        <v>51</v>
      </c>
      <c r="D290" s="133">
        <v>55</v>
      </c>
      <c r="E290" s="133">
        <v>0</v>
      </c>
      <c r="F290" s="133">
        <v>0</v>
      </c>
      <c r="G290" s="133">
        <v>4</v>
      </c>
      <c r="H290" s="133">
        <v>7</v>
      </c>
      <c r="I290" s="133">
        <v>1</v>
      </c>
      <c r="J290" s="133">
        <v>0</v>
      </c>
      <c r="K290" s="133"/>
      <c r="L290" s="144"/>
      <c r="M290" s="135">
        <f t="shared" si="33"/>
        <v>56</v>
      </c>
      <c r="N290" s="145">
        <f t="shared" si="34"/>
        <v>62</v>
      </c>
      <c r="O290" s="136">
        <f>M290/30</f>
        <v>1.8666666666666667</v>
      </c>
      <c r="P290" s="137">
        <f>N290/30</f>
        <v>2.0666666666666669</v>
      </c>
      <c r="Q290" s="343"/>
      <c r="R290" s="343"/>
      <c r="S290" s="343"/>
      <c r="T290" s="343"/>
      <c r="U290" s="343"/>
      <c r="V290" s="343"/>
      <c r="W290" s="343"/>
      <c r="X290" s="343"/>
      <c r="Y290" s="343"/>
      <c r="Z290" s="343"/>
      <c r="AA290" s="343"/>
      <c r="AB290" s="343"/>
      <c r="AC290" s="343"/>
      <c r="AD290" s="343"/>
      <c r="AE290" s="343"/>
      <c r="AF290" s="343"/>
      <c r="AG290" s="343"/>
      <c r="AH290" s="343"/>
      <c r="AI290" s="343"/>
      <c r="AJ290" s="343"/>
      <c r="AK290" s="343"/>
      <c r="AL290" s="343"/>
      <c r="AM290" s="343"/>
      <c r="AN290" s="343"/>
      <c r="AO290" s="343"/>
      <c r="AP290" s="343"/>
      <c r="AQ290" s="343"/>
      <c r="AR290" s="343"/>
      <c r="AS290" s="343"/>
      <c r="AT290" s="343"/>
      <c r="AU290" s="343"/>
      <c r="AV290" s="343"/>
      <c r="AW290" s="343"/>
      <c r="AX290" s="343"/>
      <c r="AY290" s="343"/>
      <c r="AZ290" s="343"/>
      <c r="BA290" s="343"/>
      <c r="BB290" s="343"/>
      <c r="BC290" s="343"/>
      <c r="BD290" s="343"/>
      <c r="BE290" s="343"/>
      <c r="BF290" s="343"/>
      <c r="BG290" s="343"/>
      <c r="BH290" s="343"/>
    </row>
    <row r="291" spans="1:60" s="3" customFormat="1" ht="9.75" customHeight="1">
      <c r="A291" s="488"/>
      <c r="B291" s="127">
        <v>10</v>
      </c>
      <c r="C291" s="128">
        <v>114</v>
      </c>
      <c r="D291" s="128">
        <v>104</v>
      </c>
      <c r="E291" s="128">
        <v>0</v>
      </c>
      <c r="F291" s="358">
        <v>0</v>
      </c>
      <c r="G291" s="128">
        <v>1</v>
      </c>
      <c r="H291" s="128">
        <v>0</v>
      </c>
      <c r="I291" s="128">
        <v>1</v>
      </c>
      <c r="J291" s="128">
        <v>0</v>
      </c>
      <c r="K291" s="128"/>
      <c r="L291" s="129"/>
      <c r="M291" s="135">
        <f t="shared" si="33"/>
        <v>116</v>
      </c>
      <c r="N291" s="145">
        <f t="shared" si="34"/>
        <v>104</v>
      </c>
      <c r="O291" s="136">
        <f>M291/31</f>
        <v>3.7419354838709675</v>
      </c>
      <c r="P291" s="137">
        <f>N291/31</f>
        <v>3.3548387096774195</v>
      </c>
      <c r="Q291" s="343"/>
      <c r="R291" s="343"/>
      <c r="S291" s="343"/>
      <c r="T291" s="343"/>
      <c r="U291" s="343"/>
      <c r="V291" s="343"/>
      <c r="W291" s="343"/>
      <c r="X291" s="343"/>
      <c r="Y291" s="343"/>
      <c r="Z291" s="343"/>
      <c r="AA291" s="343"/>
      <c r="AB291" s="343"/>
      <c r="AC291" s="343"/>
      <c r="AD291" s="343"/>
      <c r="AE291" s="343"/>
      <c r="AF291" s="343"/>
      <c r="AG291" s="343"/>
      <c r="AH291" s="343"/>
      <c r="AI291" s="343"/>
      <c r="AJ291" s="343"/>
      <c r="AK291" s="343"/>
      <c r="AL291" s="343"/>
      <c r="AM291" s="343"/>
      <c r="AN291" s="343"/>
      <c r="AO291" s="343"/>
      <c r="AP291" s="343"/>
      <c r="AQ291" s="343"/>
      <c r="AR291" s="343"/>
      <c r="AS291" s="343"/>
      <c r="AT291" s="343"/>
      <c r="AU291" s="343"/>
      <c r="AV291" s="343"/>
      <c r="AW291" s="343"/>
      <c r="AX291" s="343"/>
      <c r="AY291" s="343"/>
      <c r="AZ291" s="343"/>
      <c r="BA291" s="343"/>
      <c r="BB291" s="343"/>
      <c r="BC291" s="343"/>
      <c r="BD291" s="343"/>
      <c r="BE291" s="343"/>
      <c r="BF291" s="343"/>
      <c r="BG291" s="343"/>
      <c r="BH291" s="343"/>
    </row>
    <row r="292" spans="1:60" s="3" customFormat="1" ht="9.75" customHeight="1">
      <c r="A292" s="488"/>
      <c r="B292" s="127">
        <v>11</v>
      </c>
      <c r="C292" s="365">
        <v>159</v>
      </c>
      <c r="D292" s="365">
        <v>127</v>
      </c>
      <c r="E292" s="365">
        <v>0</v>
      </c>
      <c r="F292" s="365">
        <v>0</v>
      </c>
      <c r="G292" s="365">
        <v>4</v>
      </c>
      <c r="H292" s="365">
        <v>2</v>
      </c>
      <c r="I292" s="365">
        <v>2</v>
      </c>
      <c r="J292" s="365">
        <v>5</v>
      </c>
      <c r="K292" s="365"/>
      <c r="L292" s="366"/>
      <c r="M292" s="135">
        <f t="shared" si="33"/>
        <v>165</v>
      </c>
      <c r="N292" s="145">
        <f t="shared" si="34"/>
        <v>134</v>
      </c>
      <c r="O292" s="136">
        <f>M292/30</f>
        <v>5.5</v>
      </c>
      <c r="P292" s="137">
        <f>N292/30</f>
        <v>4.4666666666666668</v>
      </c>
      <c r="Q292" s="343"/>
      <c r="R292" s="343"/>
      <c r="S292" s="343"/>
      <c r="T292" s="343"/>
      <c r="U292" s="343"/>
      <c r="V292" s="343"/>
      <c r="W292" s="343"/>
      <c r="X292" s="343"/>
      <c r="Y292" s="343"/>
      <c r="Z292" s="343"/>
      <c r="AA292" s="343"/>
      <c r="AB292" s="343"/>
      <c r="AC292" s="343"/>
      <c r="AD292" s="343"/>
      <c r="AE292" s="343"/>
      <c r="AF292" s="343"/>
      <c r="AG292" s="343"/>
      <c r="AH292" s="343"/>
      <c r="AI292" s="343"/>
      <c r="AJ292" s="343"/>
      <c r="AK292" s="343"/>
      <c r="AL292" s="343"/>
      <c r="AM292" s="343"/>
      <c r="AN292" s="343"/>
      <c r="AO292" s="343"/>
      <c r="AP292" s="343"/>
      <c r="AQ292" s="343"/>
      <c r="AR292" s="343"/>
      <c r="AS292" s="343"/>
      <c r="AT292" s="343"/>
      <c r="AU292" s="343"/>
      <c r="AV292" s="343"/>
      <c r="AW292" s="343"/>
      <c r="AX292" s="343"/>
      <c r="AY292" s="343"/>
      <c r="AZ292" s="343"/>
      <c r="BA292" s="343"/>
      <c r="BB292" s="343"/>
      <c r="BC292" s="343"/>
      <c r="BD292" s="343"/>
      <c r="BE292" s="343"/>
      <c r="BF292" s="343"/>
      <c r="BG292" s="343"/>
      <c r="BH292" s="343"/>
    </row>
    <row r="293" spans="1:60" s="3" customFormat="1" ht="9.75" customHeight="1" thickBot="1">
      <c r="A293" s="489"/>
      <c r="B293" s="127">
        <v>12</v>
      </c>
      <c r="C293" s="182">
        <v>198</v>
      </c>
      <c r="D293" s="182">
        <v>116</v>
      </c>
      <c r="E293" s="182">
        <v>0</v>
      </c>
      <c r="F293" s="195">
        <v>0</v>
      </c>
      <c r="G293" s="182">
        <v>5</v>
      </c>
      <c r="H293" s="182">
        <v>4</v>
      </c>
      <c r="I293" s="182">
        <v>2</v>
      </c>
      <c r="J293" s="182">
        <v>0</v>
      </c>
      <c r="K293" s="182"/>
      <c r="L293" s="183"/>
      <c r="M293" s="135">
        <f t="shared" si="33"/>
        <v>205</v>
      </c>
      <c r="N293" s="145">
        <f t="shared" si="34"/>
        <v>120</v>
      </c>
      <c r="O293" s="136">
        <f>M293/31</f>
        <v>6.612903225806452</v>
      </c>
      <c r="P293" s="137">
        <f>N293/31</f>
        <v>3.870967741935484</v>
      </c>
      <c r="Q293" s="343"/>
      <c r="R293" s="343"/>
      <c r="S293" s="343"/>
      <c r="T293" s="343"/>
      <c r="U293" s="343"/>
      <c r="V293" s="343"/>
      <c r="W293" s="343"/>
      <c r="X293" s="343"/>
      <c r="Y293" s="343"/>
      <c r="Z293" s="343"/>
      <c r="AA293" s="343"/>
      <c r="AB293" s="343"/>
      <c r="AC293" s="343"/>
      <c r="AD293" s="343"/>
      <c r="AE293" s="343"/>
      <c r="AF293" s="343"/>
      <c r="AG293" s="343"/>
      <c r="AH293" s="343"/>
      <c r="AI293" s="343"/>
      <c r="AJ293" s="343"/>
      <c r="AK293" s="343"/>
      <c r="AL293" s="343"/>
      <c r="AM293" s="343"/>
      <c r="AN293" s="343"/>
      <c r="AO293" s="343"/>
      <c r="AP293" s="343"/>
      <c r="AQ293" s="343"/>
      <c r="AR293" s="343"/>
      <c r="AS293" s="343"/>
      <c r="AT293" s="343"/>
      <c r="AU293" s="343"/>
      <c r="AV293" s="343"/>
      <c r="AW293" s="343"/>
      <c r="AX293" s="343"/>
      <c r="AY293" s="343"/>
      <c r="AZ293" s="343"/>
      <c r="BA293" s="343"/>
      <c r="BB293" s="343"/>
      <c r="BC293" s="343"/>
      <c r="BD293" s="343"/>
      <c r="BE293" s="343"/>
      <c r="BF293" s="343"/>
      <c r="BG293" s="343"/>
      <c r="BH293" s="343"/>
    </row>
    <row r="294" spans="1:60" ht="12" customHeight="1">
      <c r="A294" s="473">
        <v>2017</v>
      </c>
      <c r="B294" s="410">
        <v>1</v>
      </c>
      <c r="C294" s="422">
        <v>280</v>
      </c>
      <c r="D294" s="422">
        <v>299</v>
      </c>
      <c r="E294" s="422">
        <v>1</v>
      </c>
      <c r="F294" s="422">
        <v>3</v>
      </c>
      <c r="G294" s="422">
        <v>10</v>
      </c>
      <c r="H294" s="422">
        <v>7</v>
      </c>
      <c r="I294" s="422">
        <v>6</v>
      </c>
      <c r="J294" s="422">
        <v>0</v>
      </c>
      <c r="K294" s="422"/>
      <c r="L294" s="432"/>
      <c r="M294" s="424">
        <f t="shared" si="33"/>
        <v>297</v>
      </c>
      <c r="N294" s="425">
        <f t="shared" si="34"/>
        <v>309</v>
      </c>
      <c r="O294" s="430">
        <f>M294/31</f>
        <v>9.5806451612903221</v>
      </c>
      <c r="P294" s="427">
        <f>N294/31</f>
        <v>9.9677419354838701</v>
      </c>
    </row>
    <row r="295" spans="1:60" ht="12" customHeight="1">
      <c r="A295" s="474"/>
      <c r="B295" s="127">
        <v>2</v>
      </c>
      <c r="C295" s="147">
        <v>112</v>
      </c>
      <c r="D295" s="147">
        <v>185</v>
      </c>
      <c r="E295" s="147">
        <v>0</v>
      </c>
      <c r="F295" s="147">
        <v>0</v>
      </c>
      <c r="G295" s="147">
        <v>5</v>
      </c>
      <c r="H295" s="147">
        <v>4</v>
      </c>
      <c r="I295" s="147">
        <v>1</v>
      </c>
      <c r="J295" s="147">
        <v>0</v>
      </c>
      <c r="K295" s="147"/>
      <c r="L295" s="174"/>
      <c r="M295" s="149">
        <f t="shared" si="33"/>
        <v>118</v>
      </c>
      <c r="N295" s="150">
        <f t="shared" si="34"/>
        <v>189</v>
      </c>
      <c r="O295" s="151">
        <f>M295/28</f>
        <v>4.2142857142857144</v>
      </c>
      <c r="P295" s="152">
        <f>N295/28</f>
        <v>6.75</v>
      </c>
    </row>
    <row r="296" spans="1:60" ht="12" customHeight="1">
      <c r="A296" s="474"/>
      <c r="B296" s="127">
        <v>3</v>
      </c>
      <c r="C296" s="147">
        <v>100</v>
      </c>
      <c r="D296" s="147">
        <v>71</v>
      </c>
      <c r="E296" s="147">
        <v>0</v>
      </c>
      <c r="F296" s="147">
        <v>0</v>
      </c>
      <c r="G296" s="147">
        <v>5</v>
      </c>
      <c r="H296" s="147">
        <v>4</v>
      </c>
      <c r="I296" s="147">
        <v>1</v>
      </c>
      <c r="J296" s="147">
        <v>0</v>
      </c>
      <c r="K296" s="147"/>
      <c r="L296" s="174"/>
      <c r="M296" s="149">
        <f t="shared" si="33"/>
        <v>106</v>
      </c>
      <c r="N296" s="150">
        <f t="shared" si="34"/>
        <v>75</v>
      </c>
      <c r="O296" s="151">
        <f>M296/31</f>
        <v>3.4193548387096775</v>
      </c>
      <c r="P296" s="152">
        <f>N296/31</f>
        <v>2.4193548387096775</v>
      </c>
    </row>
    <row r="297" spans="1:60" ht="12" customHeight="1">
      <c r="A297" s="474"/>
      <c r="B297" s="127">
        <v>4</v>
      </c>
      <c r="C297" s="147">
        <v>84</v>
      </c>
      <c r="D297" s="147">
        <v>80</v>
      </c>
      <c r="E297" s="147">
        <v>0</v>
      </c>
      <c r="F297" s="147">
        <v>0</v>
      </c>
      <c r="G297" s="147">
        <v>2</v>
      </c>
      <c r="H297" s="147">
        <v>2</v>
      </c>
      <c r="I297" s="147">
        <v>0</v>
      </c>
      <c r="J297" s="147">
        <v>0</v>
      </c>
      <c r="K297" s="147"/>
      <c r="L297" s="174"/>
      <c r="M297" s="149">
        <f t="shared" si="33"/>
        <v>86</v>
      </c>
      <c r="N297" s="150">
        <f t="shared" si="34"/>
        <v>82</v>
      </c>
      <c r="O297" s="151">
        <f>M297/30</f>
        <v>2.8666666666666667</v>
      </c>
      <c r="P297" s="152">
        <f>N297/30</f>
        <v>2.7333333333333334</v>
      </c>
    </row>
    <row r="298" spans="1:60" ht="12" customHeight="1">
      <c r="A298" s="474"/>
      <c r="B298" s="127">
        <v>5</v>
      </c>
      <c r="C298" s="147">
        <v>35</v>
      </c>
      <c r="D298" s="147">
        <v>43</v>
      </c>
      <c r="E298" s="147">
        <v>0</v>
      </c>
      <c r="F298" s="147">
        <v>0</v>
      </c>
      <c r="G298" s="147">
        <v>5</v>
      </c>
      <c r="H298" s="147">
        <v>3</v>
      </c>
      <c r="I298" s="147">
        <v>1</v>
      </c>
      <c r="J298" s="147">
        <v>0</v>
      </c>
      <c r="K298" s="147">
        <v>0</v>
      </c>
      <c r="L298" s="174">
        <v>0</v>
      </c>
      <c r="M298" s="149">
        <f t="shared" ref="M298:M325" si="36">+C298+E298+G298+I298+K298</f>
        <v>41</v>
      </c>
      <c r="N298" s="150">
        <f t="shared" ref="N298:N325" si="37">+D298+F298+H298+J298+L298</f>
        <v>46</v>
      </c>
      <c r="O298" s="156">
        <f>M298/31</f>
        <v>1.3225806451612903</v>
      </c>
      <c r="P298" s="157">
        <f>N298/31</f>
        <v>1.4838709677419355</v>
      </c>
    </row>
    <row r="299" spans="1:60" ht="12" customHeight="1">
      <c r="A299" s="474"/>
      <c r="B299" s="127">
        <v>6</v>
      </c>
      <c r="C299" s="153">
        <v>74</v>
      </c>
      <c r="D299" s="153">
        <v>76</v>
      </c>
      <c r="E299" s="153">
        <v>2</v>
      </c>
      <c r="F299" s="153">
        <v>0</v>
      </c>
      <c r="G299" s="153">
        <v>6</v>
      </c>
      <c r="H299" s="153">
        <v>8</v>
      </c>
      <c r="I299" s="153">
        <v>0</v>
      </c>
      <c r="J299" s="153">
        <v>0</v>
      </c>
      <c r="K299" s="153">
        <v>0</v>
      </c>
      <c r="L299" s="303">
        <v>0</v>
      </c>
      <c r="M299" s="154">
        <f t="shared" si="36"/>
        <v>82</v>
      </c>
      <c r="N299" s="155">
        <f t="shared" si="37"/>
        <v>84</v>
      </c>
      <c r="O299" s="156">
        <f>M299/30</f>
        <v>2.7333333333333334</v>
      </c>
      <c r="P299" s="157">
        <f>N299/30</f>
        <v>2.8</v>
      </c>
    </row>
    <row r="300" spans="1:60" ht="12" customHeight="1">
      <c r="A300" s="474"/>
      <c r="B300" s="127">
        <v>7</v>
      </c>
      <c r="C300" s="158">
        <v>77</v>
      </c>
      <c r="D300" s="158">
        <v>184</v>
      </c>
      <c r="E300" s="158">
        <v>0</v>
      </c>
      <c r="F300" s="158">
        <v>2</v>
      </c>
      <c r="G300" s="158">
        <v>4</v>
      </c>
      <c r="H300" s="158">
        <v>9</v>
      </c>
      <c r="I300" s="158">
        <v>1</v>
      </c>
      <c r="J300" s="158">
        <v>1</v>
      </c>
      <c r="K300" s="158">
        <v>0</v>
      </c>
      <c r="L300" s="159">
        <v>0</v>
      </c>
      <c r="M300" s="154">
        <f t="shared" si="36"/>
        <v>82</v>
      </c>
      <c r="N300" s="155">
        <f t="shared" si="37"/>
        <v>196</v>
      </c>
      <c r="O300" s="156">
        <f>M300/31</f>
        <v>2.6451612903225805</v>
      </c>
      <c r="P300" s="157">
        <f>N300/31</f>
        <v>6.32258064516129</v>
      </c>
    </row>
    <row r="301" spans="1:60" ht="12" customHeight="1">
      <c r="A301" s="474"/>
      <c r="B301" s="127">
        <v>8</v>
      </c>
      <c r="C301" s="158">
        <v>51</v>
      </c>
      <c r="D301" s="158">
        <v>97</v>
      </c>
      <c r="E301" s="158">
        <v>4</v>
      </c>
      <c r="F301" s="158">
        <v>2</v>
      </c>
      <c r="G301" s="158">
        <v>5</v>
      </c>
      <c r="H301" s="158">
        <v>4</v>
      </c>
      <c r="I301" s="158">
        <v>3</v>
      </c>
      <c r="J301" s="158">
        <v>5</v>
      </c>
      <c r="K301" s="158">
        <v>1</v>
      </c>
      <c r="L301" s="159">
        <v>0</v>
      </c>
      <c r="M301" s="154">
        <f t="shared" si="36"/>
        <v>64</v>
      </c>
      <c r="N301" s="155">
        <f t="shared" si="37"/>
        <v>108</v>
      </c>
      <c r="O301" s="156">
        <f>M301/31</f>
        <v>2.064516129032258</v>
      </c>
      <c r="P301" s="157">
        <f>N301/31</f>
        <v>3.4838709677419355</v>
      </c>
    </row>
    <row r="302" spans="1:60" ht="12" customHeight="1">
      <c r="A302" s="474"/>
      <c r="B302" s="127">
        <v>9</v>
      </c>
      <c r="C302" s="158">
        <v>77</v>
      </c>
      <c r="D302" s="158">
        <v>138</v>
      </c>
      <c r="E302" s="158">
        <v>2</v>
      </c>
      <c r="F302" s="158">
        <v>2</v>
      </c>
      <c r="G302" s="158">
        <v>10</v>
      </c>
      <c r="H302" s="158">
        <v>18</v>
      </c>
      <c r="I302" s="158">
        <v>8</v>
      </c>
      <c r="J302" s="158">
        <v>20</v>
      </c>
      <c r="K302" s="158">
        <v>4</v>
      </c>
      <c r="L302" s="159">
        <v>6</v>
      </c>
      <c r="M302" s="154">
        <f t="shared" si="36"/>
        <v>101</v>
      </c>
      <c r="N302" s="155">
        <f t="shared" si="37"/>
        <v>184</v>
      </c>
      <c r="O302" s="156">
        <f>M302/30</f>
        <v>3.3666666666666667</v>
      </c>
      <c r="P302" s="157">
        <f>N302/30</f>
        <v>6.1333333333333337</v>
      </c>
    </row>
    <row r="303" spans="1:60" ht="12" customHeight="1">
      <c r="A303" s="474"/>
      <c r="B303" s="127">
        <v>10</v>
      </c>
      <c r="C303" s="147">
        <v>119</v>
      </c>
      <c r="D303" s="147">
        <v>190</v>
      </c>
      <c r="E303" s="147">
        <v>1</v>
      </c>
      <c r="F303" s="181">
        <v>5</v>
      </c>
      <c r="G303" s="147">
        <v>3</v>
      </c>
      <c r="H303" s="147">
        <v>11</v>
      </c>
      <c r="I303" s="147">
        <v>0</v>
      </c>
      <c r="J303" s="147">
        <v>4</v>
      </c>
      <c r="K303" s="147">
        <v>6</v>
      </c>
      <c r="L303" s="148">
        <v>8</v>
      </c>
      <c r="M303" s="154">
        <f t="shared" si="36"/>
        <v>129</v>
      </c>
      <c r="N303" s="155">
        <f t="shared" si="37"/>
        <v>218</v>
      </c>
      <c r="O303" s="156">
        <f>M303/31</f>
        <v>4.161290322580645</v>
      </c>
      <c r="P303" s="157">
        <f>N303/31</f>
        <v>7.032258064516129</v>
      </c>
    </row>
    <row r="304" spans="1:60" ht="12" customHeight="1">
      <c r="A304" s="474"/>
      <c r="B304" s="127">
        <v>11</v>
      </c>
      <c r="C304" s="367">
        <v>134</v>
      </c>
      <c r="D304" s="367">
        <v>289</v>
      </c>
      <c r="E304" s="367">
        <v>0</v>
      </c>
      <c r="F304" s="367">
        <v>0</v>
      </c>
      <c r="G304" s="367">
        <v>20</v>
      </c>
      <c r="H304" s="367">
        <v>9</v>
      </c>
      <c r="I304" s="367">
        <v>7</v>
      </c>
      <c r="J304" s="367">
        <v>4</v>
      </c>
      <c r="K304" s="367">
        <v>16</v>
      </c>
      <c r="L304" s="368">
        <v>14</v>
      </c>
      <c r="M304" s="154">
        <f t="shared" si="36"/>
        <v>177</v>
      </c>
      <c r="N304" s="155">
        <f t="shared" si="37"/>
        <v>316</v>
      </c>
      <c r="O304" s="156">
        <f>M304/30</f>
        <v>5.9</v>
      </c>
      <c r="P304" s="157">
        <f>N304/30</f>
        <v>10.533333333333333</v>
      </c>
    </row>
    <row r="305" spans="1:16" ht="12" customHeight="1" thickBot="1">
      <c r="A305" s="475"/>
      <c r="B305" s="127">
        <v>12</v>
      </c>
      <c r="C305" s="187">
        <v>224</v>
      </c>
      <c r="D305" s="187">
        <v>373</v>
      </c>
      <c r="E305" s="187">
        <v>2</v>
      </c>
      <c r="F305" s="188">
        <v>0</v>
      </c>
      <c r="G305" s="187">
        <v>15</v>
      </c>
      <c r="H305" s="187">
        <v>58</v>
      </c>
      <c r="I305" s="187">
        <v>19</v>
      </c>
      <c r="J305" s="187">
        <v>33</v>
      </c>
      <c r="K305" s="187">
        <v>48</v>
      </c>
      <c r="L305" s="189">
        <v>66</v>
      </c>
      <c r="M305" s="154">
        <f t="shared" si="36"/>
        <v>308</v>
      </c>
      <c r="N305" s="155">
        <f t="shared" si="37"/>
        <v>530</v>
      </c>
      <c r="O305" s="156">
        <f>M305/31</f>
        <v>9.935483870967742</v>
      </c>
      <c r="P305" s="157">
        <f>N305/31</f>
        <v>17.096774193548388</v>
      </c>
    </row>
    <row r="306" spans="1:16" ht="12" customHeight="1">
      <c r="A306" s="473">
        <v>2018</v>
      </c>
      <c r="B306" s="410">
        <v>1</v>
      </c>
      <c r="C306" s="422">
        <v>175</v>
      </c>
      <c r="D306" s="422">
        <v>620</v>
      </c>
      <c r="E306" s="422">
        <v>10</v>
      </c>
      <c r="F306" s="422">
        <v>10</v>
      </c>
      <c r="G306" s="422">
        <v>25</v>
      </c>
      <c r="H306" s="422">
        <v>29</v>
      </c>
      <c r="I306" s="422">
        <v>31</v>
      </c>
      <c r="J306" s="422">
        <v>51</v>
      </c>
      <c r="K306" s="422">
        <v>43</v>
      </c>
      <c r="L306" s="432">
        <v>170</v>
      </c>
      <c r="M306" s="424">
        <f t="shared" si="36"/>
        <v>284</v>
      </c>
      <c r="N306" s="425">
        <f t="shared" si="37"/>
        <v>880</v>
      </c>
      <c r="O306" s="430">
        <f>M306/31</f>
        <v>9.1612903225806459</v>
      </c>
      <c r="P306" s="427">
        <f>N306/31</f>
        <v>28.387096774193548</v>
      </c>
    </row>
    <row r="307" spans="1:16" ht="12" customHeight="1">
      <c r="A307" s="474"/>
      <c r="B307" s="127">
        <v>2</v>
      </c>
      <c r="C307" s="147">
        <v>108</v>
      </c>
      <c r="D307" s="147">
        <v>349</v>
      </c>
      <c r="E307" s="147">
        <v>2</v>
      </c>
      <c r="F307" s="147">
        <v>22</v>
      </c>
      <c r="G307" s="147">
        <v>9</v>
      </c>
      <c r="H307" s="147">
        <v>67</v>
      </c>
      <c r="I307" s="147">
        <v>11</v>
      </c>
      <c r="J307" s="147">
        <v>75</v>
      </c>
      <c r="K307" s="147">
        <v>28</v>
      </c>
      <c r="L307" s="174">
        <v>92</v>
      </c>
      <c r="M307" s="149">
        <f t="shared" si="36"/>
        <v>158</v>
      </c>
      <c r="N307" s="150">
        <f t="shared" si="37"/>
        <v>605</v>
      </c>
      <c r="O307" s="151">
        <f>M307/28</f>
        <v>5.6428571428571432</v>
      </c>
      <c r="P307" s="152">
        <f>N307/28</f>
        <v>21.607142857142858</v>
      </c>
    </row>
    <row r="308" spans="1:16" ht="12" customHeight="1">
      <c r="A308" s="474"/>
      <c r="B308" s="127">
        <v>3</v>
      </c>
      <c r="C308" s="147">
        <v>89</v>
      </c>
      <c r="D308" s="147">
        <v>159</v>
      </c>
      <c r="E308" s="147">
        <v>0</v>
      </c>
      <c r="F308" s="147">
        <v>0</v>
      </c>
      <c r="G308" s="147">
        <v>19</v>
      </c>
      <c r="H308" s="147">
        <v>12</v>
      </c>
      <c r="I308" s="147">
        <v>7</v>
      </c>
      <c r="J308" s="147">
        <v>7</v>
      </c>
      <c r="K308" s="147">
        <v>10</v>
      </c>
      <c r="L308" s="174">
        <v>53</v>
      </c>
      <c r="M308" s="149">
        <f t="shared" si="36"/>
        <v>125</v>
      </c>
      <c r="N308" s="150">
        <f t="shared" si="37"/>
        <v>231</v>
      </c>
      <c r="O308" s="151">
        <f>M308/31</f>
        <v>4.032258064516129</v>
      </c>
      <c r="P308" s="152">
        <f>N308/31</f>
        <v>7.4516129032258061</v>
      </c>
    </row>
    <row r="309" spans="1:16" ht="12" customHeight="1">
      <c r="A309" s="474"/>
      <c r="B309" s="127">
        <v>4</v>
      </c>
      <c r="C309" s="147">
        <v>85</v>
      </c>
      <c r="D309" s="147">
        <v>200</v>
      </c>
      <c r="E309" s="147">
        <v>2</v>
      </c>
      <c r="F309" s="147">
        <v>0</v>
      </c>
      <c r="G309" s="147">
        <v>8</v>
      </c>
      <c r="H309" s="147">
        <v>60</v>
      </c>
      <c r="I309" s="147">
        <v>3</v>
      </c>
      <c r="J309" s="147">
        <v>16</v>
      </c>
      <c r="K309" s="147">
        <v>7</v>
      </c>
      <c r="L309" s="174">
        <v>23</v>
      </c>
      <c r="M309" s="149">
        <f t="shared" si="36"/>
        <v>105</v>
      </c>
      <c r="N309" s="150">
        <f t="shared" si="37"/>
        <v>299</v>
      </c>
      <c r="O309" s="151">
        <f>M309/30</f>
        <v>3.5</v>
      </c>
      <c r="P309" s="152">
        <f>N309/30</f>
        <v>9.9666666666666668</v>
      </c>
    </row>
    <row r="310" spans="1:16" ht="12" customHeight="1">
      <c r="A310" s="474"/>
      <c r="B310" s="127">
        <v>5</v>
      </c>
      <c r="C310" s="147">
        <v>86</v>
      </c>
      <c r="D310" s="147">
        <v>210</v>
      </c>
      <c r="E310" s="147">
        <v>0</v>
      </c>
      <c r="F310" s="147">
        <v>1</v>
      </c>
      <c r="G310" s="147">
        <v>8</v>
      </c>
      <c r="H310" s="147">
        <v>3</v>
      </c>
      <c r="I310" s="147">
        <v>5</v>
      </c>
      <c r="J310" s="147">
        <v>6</v>
      </c>
      <c r="K310" s="147">
        <v>2</v>
      </c>
      <c r="L310" s="174">
        <v>13</v>
      </c>
      <c r="M310" s="149">
        <f t="shared" si="36"/>
        <v>101</v>
      </c>
      <c r="N310" s="150">
        <f t="shared" si="37"/>
        <v>233</v>
      </c>
      <c r="O310" s="156">
        <f>M310/31</f>
        <v>3.2580645161290325</v>
      </c>
      <c r="P310" s="157">
        <f>N310/31</f>
        <v>7.5161290322580649</v>
      </c>
    </row>
    <row r="311" spans="1:16" ht="12" customHeight="1">
      <c r="A311" s="474"/>
      <c r="B311" s="127">
        <v>6</v>
      </c>
      <c r="C311" s="153">
        <v>77</v>
      </c>
      <c r="D311" s="153">
        <v>149</v>
      </c>
      <c r="E311" s="153">
        <v>2</v>
      </c>
      <c r="F311" s="153">
        <v>0</v>
      </c>
      <c r="G311" s="153">
        <v>4</v>
      </c>
      <c r="H311" s="153">
        <v>16</v>
      </c>
      <c r="I311" s="153">
        <v>8</v>
      </c>
      <c r="J311" s="153">
        <v>20</v>
      </c>
      <c r="K311" s="153">
        <v>0</v>
      </c>
      <c r="L311" s="303">
        <v>1</v>
      </c>
      <c r="M311" s="154">
        <f t="shared" si="36"/>
        <v>91</v>
      </c>
      <c r="N311" s="155">
        <f t="shared" si="37"/>
        <v>186</v>
      </c>
      <c r="O311" s="156">
        <f>M311/30</f>
        <v>3.0333333333333332</v>
      </c>
      <c r="P311" s="157">
        <f>N311/30</f>
        <v>6.2</v>
      </c>
    </row>
    <row r="312" spans="1:16" ht="12" customHeight="1">
      <c r="A312" s="474"/>
      <c r="B312" s="127">
        <v>7</v>
      </c>
      <c r="C312" s="158">
        <v>175</v>
      </c>
      <c r="D312" s="158">
        <v>272</v>
      </c>
      <c r="E312" s="158">
        <v>0</v>
      </c>
      <c r="F312" s="158">
        <v>2</v>
      </c>
      <c r="G312" s="158">
        <v>6</v>
      </c>
      <c r="H312" s="158">
        <v>23</v>
      </c>
      <c r="I312" s="158">
        <v>4</v>
      </c>
      <c r="J312" s="158">
        <v>13</v>
      </c>
      <c r="K312" s="158">
        <v>3</v>
      </c>
      <c r="L312" s="159">
        <v>5</v>
      </c>
      <c r="M312" s="154">
        <f t="shared" si="36"/>
        <v>188</v>
      </c>
      <c r="N312" s="155">
        <f t="shared" si="37"/>
        <v>315</v>
      </c>
      <c r="O312" s="156">
        <f>M312/31</f>
        <v>6.064516129032258</v>
      </c>
      <c r="P312" s="157">
        <f>N312/31</f>
        <v>10.161290322580646</v>
      </c>
    </row>
    <row r="313" spans="1:16" ht="12" customHeight="1">
      <c r="A313" s="474"/>
      <c r="B313" s="127">
        <v>8</v>
      </c>
      <c r="C313" s="158">
        <v>66</v>
      </c>
      <c r="D313" s="158">
        <v>274</v>
      </c>
      <c r="E313" s="158">
        <v>2</v>
      </c>
      <c r="F313" s="158">
        <v>0</v>
      </c>
      <c r="G313" s="158">
        <v>15</v>
      </c>
      <c r="H313" s="158">
        <v>15</v>
      </c>
      <c r="I313" s="158">
        <v>8</v>
      </c>
      <c r="J313" s="158">
        <v>20</v>
      </c>
      <c r="K313" s="158">
        <v>0</v>
      </c>
      <c r="L313" s="159">
        <v>2</v>
      </c>
      <c r="M313" s="154">
        <f t="shared" si="36"/>
        <v>91</v>
      </c>
      <c r="N313" s="155">
        <f t="shared" si="37"/>
        <v>311</v>
      </c>
      <c r="O313" s="156">
        <f>M313/31</f>
        <v>2.935483870967742</v>
      </c>
      <c r="P313" s="157">
        <f>N313/31</f>
        <v>10.03225806451613</v>
      </c>
    </row>
    <row r="314" spans="1:16" ht="12" customHeight="1">
      <c r="A314" s="474"/>
      <c r="B314" s="127">
        <v>9</v>
      </c>
      <c r="C314" s="158">
        <v>111</v>
      </c>
      <c r="D314" s="158">
        <v>148</v>
      </c>
      <c r="E314" s="158">
        <v>3</v>
      </c>
      <c r="F314" s="158">
        <v>2</v>
      </c>
      <c r="G314" s="158">
        <v>17</v>
      </c>
      <c r="H314" s="158">
        <v>40</v>
      </c>
      <c r="I314" s="158">
        <v>7</v>
      </c>
      <c r="J314" s="158">
        <v>3</v>
      </c>
      <c r="K314" s="158">
        <v>4</v>
      </c>
      <c r="L314" s="159">
        <v>6</v>
      </c>
      <c r="M314" s="154">
        <f t="shared" si="36"/>
        <v>142</v>
      </c>
      <c r="N314" s="155">
        <f t="shared" si="37"/>
        <v>199</v>
      </c>
      <c r="O314" s="156">
        <f>M314/30</f>
        <v>4.7333333333333334</v>
      </c>
      <c r="P314" s="157">
        <f>N314/30</f>
        <v>6.6333333333333337</v>
      </c>
    </row>
    <row r="315" spans="1:16" ht="12" customHeight="1">
      <c r="A315" s="474"/>
      <c r="B315" s="127">
        <v>10</v>
      </c>
      <c r="C315" s="147">
        <v>126</v>
      </c>
      <c r="D315" s="147">
        <v>254</v>
      </c>
      <c r="E315" s="147">
        <v>0</v>
      </c>
      <c r="F315" s="181">
        <v>2</v>
      </c>
      <c r="G315" s="147">
        <v>10</v>
      </c>
      <c r="H315" s="147">
        <v>26</v>
      </c>
      <c r="I315" s="147">
        <v>8</v>
      </c>
      <c r="J315" s="147">
        <v>16</v>
      </c>
      <c r="K315" s="147">
        <v>4</v>
      </c>
      <c r="L315" s="148">
        <v>9</v>
      </c>
      <c r="M315" s="154">
        <f t="shared" si="36"/>
        <v>148</v>
      </c>
      <c r="N315" s="155">
        <f t="shared" si="37"/>
        <v>307</v>
      </c>
      <c r="O315" s="156">
        <f>M315/31</f>
        <v>4.774193548387097</v>
      </c>
      <c r="P315" s="157">
        <f>N315/31</f>
        <v>9.9032258064516121</v>
      </c>
    </row>
    <row r="316" spans="1:16" ht="12" customHeight="1">
      <c r="A316" s="474"/>
      <c r="B316" s="127">
        <v>11</v>
      </c>
      <c r="C316" s="367">
        <v>136</v>
      </c>
      <c r="D316" s="367">
        <v>258</v>
      </c>
      <c r="E316" s="367">
        <v>7</v>
      </c>
      <c r="F316" s="367">
        <v>3</v>
      </c>
      <c r="G316" s="367">
        <v>12</v>
      </c>
      <c r="H316" s="367">
        <v>22</v>
      </c>
      <c r="I316" s="367">
        <v>10</v>
      </c>
      <c r="J316" s="367">
        <v>22</v>
      </c>
      <c r="K316" s="367">
        <v>25</v>
      </c>
      <c r="L316" s="368">
        <v>18</v>
      </c>
      <c r="M316" s="154">
        <f t="shared" si="36"/>
        <v>190</v>
      </c>
      <c r="N316" s="155">
        <f t="shared" si="37"/>
        <v>323</v>
      </c>
      <c r="O316" s="156">
        <f>M316/30</f>
        <v>6.333333333333333</v>
      </c>
      <c r="P316" s="157">
        <f>N316/30</f>
        <v>10.766666666666667</v>
      </c>
    </row>
    <row r="317" spans="1:16" ht="12" customHeight="1" thickBot="1">
      <c r="A317" s="475"/>
      <c r="B317" s="127">
        <v>12</v>
      </c>
      <c r="C317" s="187">
        <v>223</v>
      </c>
      <c r="D317" s="187">
        <v>440</v>
      </c>
      <c r="E317" s="187">
        <v>1</v>
      </c>
      <c r="F317" s="188">
        <v>10</v>
      </c>
      <c r="G317" s="187">
        <v>22</v>
      </c>
      <c r="H317" s="187">
        <v>57</v>
      </c>
      <c r="I317" s="187">
        <v>26</v>
      </c>
      <c r="J317" s="187">
        <v>20</v>
      </c>
      <c r="K317" s="187">
        <v>44</v>
      </c>
      <c r="L317" s="189">
        <v>87</v>
      </c>
      <c r="M317" s="154">
        <f t="shared" si="36"/>
        <v>316</v>
      </c>
      <c r="N317" s="155">
        <f t="shared" si="37"/>
        <v>614</v>
      </c>
      <c r="O317" s="156">
        <f>M317/31</f>
        <v>10.193548387096774</v>
      </c>
      <c r="P317" s="157">
        <f>N317/31</f>
        <v>19.806451612903224</v>
      </c>
    </row>
    <row r="318" spans="1:16" ht="12" customHeight="1">
      <c r="A318" s="473">
        <v>2019</v>
      </c>
      <c r="B318" s="410">
        <v>1</v>
      </c>
      <c r="C318" s="422">
        <v>235</v>
      </c>
      <c r="D318" s="422">
        <v>627</v>
      </c>
      <c r="E318" s="422">
        <v>1</v>
      </c>
      <c r="F318" s="422">
        <v>3</v>
      </c>
      <c r="G318" s="422">
        <v>35</v>
      </c>
      <c r="H318" s="422">
        <v>71</v>
      </c>
      <c r="I318" s="422">
        <v>28</v>
      </c>
      <c r="J318" s="422">
        <v>100</v>
      </c>
      <c r="K318" s="422">
        <v>75</v>
      </c>
      <c r="L318" s="432">
        <v>159</v>
      </c>
      <c r="M318" s="424">
        <f t="shared" si="36"/>
        <v>374</v>
      </c>
      <c r="N318" s="425">
        <f t="shared" si="37"/>
        <v>960</v>
      </c>
      <c r="O318" s="430">
        <f>M318/31</f>
        <v>12.064516129032258</v>
      </c>
      <c r="P318" s="427">
        <f>N318/31</f>
        <v>30.967741935483872</v>
      </c>
    </row>
    <row r="319" spans="1:16" ht="12" customHeight="1">
      <c r="A319" s="474"/>
      <c r="B319" s="127">
        <v>2</v>
      </c>
      <c r="C319" s="147">
        <v>136</v>
      </c>
      <c r="D319" s="147">
        <v>563</v>
      </c>
      <c r="E319" s="147">
        <v>2</v>
      </c>
      <c r="F319" s="147">
        <v>4</v>
      </c>
      <c r="G319" s="147">
        <v>15</v>
      </c>
      <c r="H319" s="147">
        <v>83</v>
      </c>
      <c r="I319" s="147">
        <v>12</v>
      </c>
      <c r="J319" s="147">
        <v>76</v>
      </c>
      <c r="K319" s="147">
        <v>25</v>
      </c>
      <c r="L319" s="174">
        <v>195</v>
      </c>
      <c r="M319" s="149">
        <f t="shared" si="36"/>
        <v>190</v>
      </c>
      <c r="N319" s="150">
        <f t="shared" si="37"/>
        <v>921</v>
      </c>
      <c r="O319" s="151">
        <f>M319/28</f>
        <v>6.7857142857142856</v>
      </c>
      <c r="P319" s="152">
        <f>N319/28</f>
        <v>32.892857142857146</v>
      </c>
    </row>
    <row r="320" spans="1:16" ht="12" customHeight="1">
      <c r="A320" s="474"/>
      <c r="B320" s="127">
        <v>3</v>
      </c>
      <c r="C320" s="147">
        <v>116</v>
      </c>
      <c r="D320" s="147">
        <v>237</v>
      </c>
      <c r="E320" s="147">
        <v>0</v>
      </c>
      <c r="F320" s="147">
        <v>0</v>
      </c>
      <c r="G320" s="147">
        <v>7</v>
      </c>
      <c r="H320" s="147">
        <v>15</v>
      </c>
      <c r="I320" s="147">
        <v>7</v>
      </c>
      <c r="J320" s="147">
        <v>11</v>
      </c>
      <c r="K320" s="147">
        <v>10</v>
      </c>
      <c r="L320" s="174">
        <v>30</v>
      </c>
      <c r="M320" s="149">
        <f t="shared" si="36"/>
        <v>140</v>
      </c>
      <c r="N320" s="150">
        <f t="shared" si="37"/>
        <v>293</v>
      </c>
      <c r="O320" s="151">
        <f>M320/31</f>
        <v>4.5161290322580649</v>
      </c>
      <c r="P320" s="152">
        <f>N320/31</f>
        <v>9.4516129032258061</v>
      </c>
    </row>
    <row r="321" spans="1:16" ht="12" customHeight="1">
      <c r="A321" s="474"/>
      <c r="B321" s="127">
        <v>4</v>
      </c>
      <c r="C321" s="147">
        <v>126</v>
      </c>
      <c r="D321" s="147">
        <v>266</v>
      </c>
      <c r="E321" s="147">
        <v>0</v>
      </c>
      <c r="F321" s="147">
        <v>0</v>
      </c>
      <c r="G321" s="147">
        <v>10</v>
      </c>
      <c r="H321" s="147">
        <v>27</v>
      </c>
      <c r="I321" s="147">
        <v>3</v>
      </c>
      <c r="J321" s="147">
        <v>11</v>
      </c>
      <c r="K321" s="147">
        <v>5</v>
      </c>
      <c r="L321" s="174">
        <v>23</v>
      </c>
      <c r="M321" s="149">
        <f t="shared" si="36"/>
        <v>144</v>
      </c>
      <c r="N321" s="150">
        <f t="shared" si="37"/>
        <v>327</v>
      </c>
      <c r="O321" s="151">
        <f>M321/30</f>
        <v>4.8</v>
      </c>
      <c r="P321" s="152">
        <f>N321/30</f>
        <v>10.9</v>
      </c>
    </row>
    <row r="322" spans="1:16" ht="12" customHeight="1">
      <c r="A322" s="474"/>
      <c r="B322" s="127">
        <v>5</v>
      </c>
      <c r="C322" s="147">
        <v>93</v>
      </c>
      <c r="D322" s="147">
        <v>206</v>
      </c>
      <c r="E322" s="147">
        <v>0</v>
      </c>
      <c r="F322" s="147">
        <v>0</v>
      </c>
      <c r="G322" s="147">
        <v>7</v>
      </c>
      <c r="H322" s="147">
        <v>14</v>
      </c>
      <c r="I322" s="147">
        <v>6</v>
      </c>
      <c r="J322" s="147">
        <v>12</v>
      </c>
      <c r="K322" s="147">
        <v>2</v>
      </c>
      <c r="L322" s="174">
        <v>20</v>
      </c>
      <c r="M322" s="149">
        <f t="shared" si="36"/>
        <v>108</v>
      </c>
      <c r="N322" s="150">
        <f t="shared" si="37"/>
        <v>252</v>
      </c>
      <c r="O322" s="156">
        <f>M322/31</f>
        <v>3.4838709677419355</v>
      </c>
      <c r="P322" s="157">
        <f>N322/31</f>
        <v>8.129032258064516</v>
      </c>
    </row>
    <row r="323" spans="1:16" ht="12" customHeight="1">
      <c r="A323" s="474"/>
      <c r="B323" s="127">
        <v>6</v>
      </c>
      <c r="C323" s="153">
        <v>57</v>
      </c>
      <c r="D323" s="153">
        <v>167</v>
      </c>
      <c r="E323" s="153">
        <v>1</v>
      </c>
      <c r="F323" s="153">
        <v>0</v>
      </c>
      <c r="G323" s="153">
        <v>12</v>
      </c>
      <c r="H323" s="153">
        <v>18</v>
      </c>
      <c r="I323" s="153">
        <v>6</v>
      </c>
      <c r="J323" s="153">
        <v>9</v>
      </c>
      <c r="K323" s="153">
        <v>6</v>
      </c>
      <c r="L323" s="303">
        <v>2</v>
      </c>
      <c r="M323" s="154">
        <f t="shared" si="36"/>
        <v>82</v>
      </c>
      <c r="N323" s="155">
        <f t="shared" si="37"/>
        <v>196</v>
      </c>
      <c r="O323" s="156">
        <f>M323/30</f>
        <v>2.7333333333333334</v>
      </c>
      <c r="P323" s="157">
        <f>N323/30</f>
        <v>6.5333333333333332</v>
      </c>
    </row>
    <row r="324" spans="1:16" ht="12" customHeight="1">
      <c r="A324" s="474"/>
      <c r="B324" s="127">
        <v>7</v>
      </c>
      <c r="C324" s="158">
        <v>73</v>
      </c>
      <c r="D324" s="158">
        <v>104</v>
      </c>
      <c r="E324" s="158">
        <v>1</v>
      </c>
      <c r="F324" s="158">
        <v>5</v>
      </c>
      <c r="G324" s="158">
        <v>18</v>
      </c>
      <c r="H324" s="158">
        <v>34</v>
      </c>
      <c r="I324" s="158">
        <v>13</v>
      </c>
      <c r="J324" s="158">
        <v>26</v>
      </c>
      <c r="K324" s="158">
        <v>2</v>
      </c>
      <c r="L324" s="159">
        <v>6</v>
      </c>
      <c r="M324" s="154">
        <f t="shared" si="36"/>
        <v>107</v>
      </c>
      <c r="N324" s="155">
        <f t="shared" si="37"/>
        <v>175</v>
      </c>
      <c r="O324" s="156">
        <f>M324/31</f>
        <v>3.4516129032258065</v>
      </c>
      <c r="P324" s="157">
        <f>N324/31</f>
        <v>5.645161290322581</v>
      </c>
    </row>
    <row r="325" spans="1:16" ht="12" customHeight="1">
      <c r="A325" s="474"/>
      <c r="B325" s="127">
        <v>8</v>
      </c>
      <c r="C325" s="158">
        <v>92</v>
      </c>
      <c r="D325" s="158">
        <v>229</v>
      </c>
      <c r="E325" s="158">
        <v>0</v>
      </c>
      <c r="F325" s="158">
        <v>0</v>
      </c>
      <c r="G325" s="158">
        <v>3</v>
      </c>
      <c r="H325" s="158">
        <v>20</v>
      </c>
      <c r="I325" s="158">
        <v>5</v>
      </c>
      <c r="J325" s="158">
        <v>13</v>
      </c>
      <c r="K325" s="158">
        <v>3</v>
      </c>
      <c r="L325" s="159">
        <v>11</v>
      </c>
      <c r="M325" s="154">
        <f t="shared" si="36"/>
        <v>103</v>
      </c>
      <c r="N325" s="155">
        <f t="shared" si="37"/>
        <v>273</v>
      </c>
      <c r="O325" s="156">
        <f>M325/31</f>
        <v>3.3225806451612905</v>
      </c>
      <c r="P325" s="157">
        <f>N325/31</f>
        <v>8.806451612903226</v>
      </c>
    </row>
    <row r="326" spans="1:16" ht="12" customHeight="1">
      <c r="A326" s="474"/>
      <c r="B326" s="127">
        <v>9</v>
      </c>
      <c r="C326" s="158">
        <v>114</v>
      </c>
      <c r="D326" s="158">
        <v>132</v>
      </c>
      <c r="E326" s="158">
        <v>0</v>
      </c>
      <c r="F326" s="158">
        <v>0</v>
      </c>
      <c r="G326" s="158">
        <v>7</v>
      </c>
      <c r="H326" s="158">
        <v>21</v>
      </c>
      <c r="I326" s="158">
        <v>10</v>
      </c>
      <c r="J326" s="158">
        <v>0</v>
      </c>
      <c r="K326" s="158">
        <v>2</v>
      </c>
      <c r="L326" s="159">
        <v>3</v>
      </c>
      <c r="M326" s="154">
        <v>133</v>
      </c>
      <c r="N326" s="155">
        <v>156</v>
      </c>
      <c r="O326" s="156">
        <v>4.4333333333333336</v>
      </c>
      <c r="P326" s="157">
        <v>5.2</v>
      </c>
    </row>
    <row r="327" spans="1:16" ht="12" customHeight="1">
      <c r="A327" s="474"/>
      <c r="B327" s="127">
        <v>10</v>
      </c>
      <c r="C327" s="147">
        <v>156</v>
      </c>
      <c r="D327" s="147">
        <v>261</v>
      </c>
      <c r="E327" s="147">
        <v>0</v>
      </c>
      <c r="F327" s="181">
        <v>0</v>
      </c>
      <c r="G327" s="147">
        <v>8</v>
      </c>
      <c r="H327" s="147">
        <v>3</v>
      </c>
      <c r="I327" s="147">
        <v>5</v>
      </c>
      <c r="J327" s="147">
        <v>33</v>
      </c>
      <c r="K327" s="147">
        <v>25</v>
      </c>
      <c r="L327" s="148">
        <v>5</v>
      </c>
      <c r="M327" s="154">
        <f t="shared" ref="M327:M329" si="38">+C327+E327+G327+I327+K327</f>
        <v>194</v>
      </c>
      <c r="N327" s="155">
        <f t="shared" ref="N327:N329" si="39">+D327+F327+H327+J327+L327</f>
        <v>302</v>
      </c>
      <c r="O327" s="156">
        <f>M327/30</f>
        <v>6.4666666666666668</v>
      </c>
      <c r="P327" s="157">
        <f>N327/30</f>
        <v>10.066666666666666</v>
      </c>
    </row>
    <row r="328" spans="1:16" ht="12" customHeight="1">
      <c r="A328" s="474"/>
      <c r="B328" s="127">
        <v>11</v>
      </c>
      <c r="C328" s="367">
        <v>195</v>
      </c>
      <c r="D328" s="367">
        <v>290</v>
      </c>
      <c r="E328" s="367">
        <v>0</v>
      </c>
      <c r="F328" s="367">
        <v>0</v>
      </c>
      <c r="G328" s="367">
        <v>13</v>
      </c>
      <c r="H328" s="367">
        <v>18</v>
      </c>
      <c r="I328" s="367">
        <v>8</v>
      </c>
      <c r="J328" s="367">
        <v>7</v>
      </c>
      <c r="K328" s="367">
        <v>34</v>
      </c>
      <c r="L328" s="368">
        <v>24</v>
      </c>
      <c r="M328" s="154">
        <f t="shared" si="38"/>
        <v>250</v>
      </c>
      <c r="N328" s="155">
        <f t="shared" si="39"/>
        <v>339</v>
      </c>
      <c r="O328" s="156">
        <f>M328/30</f>
        <v>8.3333333333333339</v>
      </c>
      <c r="P328" s="157">
        <f>N328/30</f>
        <v>11.3</v>
      </c>
    </row>
    <row r="329" spans="1:16" ht="12" customHeight="1" thickBot="1">
      <c r="A329" s="475"/>
      <c r="B329" s="127">
        <v>12</v>
      </c>
      <c r="C329" s="367">
        <v>188</v>
      </c>
      <c r="D329" s="367">
        <v>574</v>
      </c>
      <c r="E329" s="367">
        <v>0</v>
      </c>
      <c r="F329" s="367">
        <v>0</v>
      </c>
      <c r="G329" s="367">
        <v>19</v>
      </c>
      <c r="H329" s="367">
        <v>35</v>
      </c>
      <c r="I329" s="367">
        <v>32</v>
      </c>
      <c r="J329" s="367">
        <v>40</v>
      </c>
      <c r="K329" s="367">
        <v>45</v>
      </c>
      <c r="L329" s="368">
        <v>103</v>
      </c>
      <c r="M329" s="154">
        <f t="shared" si="38"/>
        <v>284</v>
      </c>
      <c r="N329" s="155">
        <f t="shared" si="39"/>
        <v>752</v>
      </c>
      <c r="O329" s="156">
        <f>M329/31</f>
        <v>9.1612903225806459</v>
      </c>
      <c r="P329" s="157">
        <f>N329/31</f>
        <v>24.258064516129032</v>
      </c>
    </row>
    <row r="330" spans="1:16" ht="12" customHeight="1">
      <c r="A330" s="473">
        <v>2020</v>
      </c>
      <c r="B330" s="410">
        <v>1</v>
      </c>
      <c r="C330" s="434">
        <v>168</v>
      </c>
      <c r="D330" s="434">
        <v>462</v>
      </c>
      <c r="E330" s="434">
        <v>1</v>
      </c>
      <c r="F330" s="434">
        <v>0</v>
      </c>
      <c r="G330" s="434">
        <v>13</v>
      </c>
      <c r="H330" s="434">
        <v>30</v>
      </c>
      <c r="I330" s="434">
        <v>13</v>
      </c>
      <c r="J330" s="434">
        <v>101</v>
      </c>
      <c r="K330" s="434">
        <v>48</v>
      </c>
      <c r="L330" s="436">
        <v>159</v>
      </c>
      <c r="M330" s="424">
        <f t="shared" ref="M330:M341" si="40">+C330+E330+G330+I330+K330</f>
        <v>243</v>
      </c>
      <c r="N330" s="425">
        <f t="shared" ref="N330:N341" si="41">+D330+F330+H330+J330+L330</f>
        <v>752</v>
      </c>
      <c r="O330" s="430">
        <f>M330/31</f>
        <v>7.838709677419355</v>
      </c>
      <c r="P330" s="427">
        <f>N330/31</f>
        <v>24.258064516129032</v>
      </c>
    </row>
    <row r="331" spans="1:16" ht="12" customHeight="1">
      <c r="A331" s="474"/>
      <c r="B331" s="127">
        <v>2</v>
      </c>
      <c r="C331" s="147">
        <v>74</v>
      </c>
      <c r="D331" s="147">
        <v>364</v>
      </c>
      <c r="E331" s="147">
        <v>0</v>
      </c>
      <c r="F331" s="147">
        <v>1</v>
      </c>
      <c r="G331" s="147">
        <v>8</v>
      </c>
      <c r="H331" s="147">
        <v>29</v>
      </c>
      <c r="I331" s="147">
        <v>6</v>
      </c>
      <c r="J331" s="147">
        <v>17</v>
      </c>
      <c r="K331" s="147">
        <v>7</v>
      </c>
      <c r="L331" s="148">
        <v>113</v>
      </c>
      <c r="M331" s="149">
        <f t="shared" si="40"/>
        <v>95</v>
      </c>
      <c r="N331" s="150">
        <f t="shared" si="41"/>
        <v>524</v>
      </c>
      <c r="O331" s="151">
        <f>M331/28</f>
        <v>3.3928571428571428</v>
      </c>
      <c r="P331" s="152">
        <f>N331/28</f>
        <v>18.714285714285715</v>
      </c>
    </row>
    <row r="332" spans="1:16" ht="12" customHeight="1">
      <c r="A332" s="474"/>
      <c r="B332" s="127">
        <v>3</v>
      </c>
      <c r="C332" s="147">
        <v>18</v>
      </c>
      <c r="D332" s="147">
        <v>52</v>
      </c>
      <c r="E332" s="147">
        <v>1</v>
      </c>
      <c r="F332" s="147">
        <v>1</v>
      </c>
      <c r="G332" s="147">
        <v>1</v>
      </c>
      <c r="H332" s="147">
        <v>2</v>
      </c>
      <c r="I332" s="147">
        <v>0</v>
      </c>
      <c r="J332" s="147">
        <v>0</v>
      </c>
      <c r="K332" s="147">
        <v>0</v>
      </c>
      <c r="L332" s="148">
        <v>0</v>
      </c>
      <c r="M332" s="149">
        <f t="shared" si="40"/>
        <v>20</v>
      </c>
      <c r="N332" s="150">
        <f t="shared" si="41"/>
        <v>55</v>
      </c>
      <c r="O332" s="151">
        <f>M332/31</f>
        <v>0.64516129032258063</v>
      </c>
      <c r="P332" s="152">
        <f>N332/31</f>
        <v>1.7741935483870968</v>
      </c>
    </row>
    <row r="333" spans="1:16" ht="12" customHeight="1">
      <c r="A333" s="474"/>
      <c r="B333" s="127">
        <v>4</v>
      </c>
      <c r="C333" s="147">
        <v>1</v>
      </c>
      <c r="D333" s="147">
        <v>2</v>
      </c>
      <c r="E333" s="147">
        <v>0</v>
      </c>
      <c r="F333" s="147">
        <v>0</v>
      </c>
      <c r="G333" s="147">
        <v>0</v>
      </c>
      <c r="H333" s="147">
        <v>0</v>
      </c>
      <c r="I333" s="147">
        <v>0</v>
      </c>
      <c r="J333" s="147">
        <v>0</v>
      </c>
      <c r="K333" s="147">
        <v>0</v>
      </c>
      <c r="L333" s="148">
        <v>0</v>
      </c>
      <c r="M333" s="149">
        <f t="shared" si="40"/>
        <v>1</v>
      </c>
      <c r="N333" s="150">
        <f t="shared" si="41"/>
        <v>2</v>
      </c>
      <c r="O333" s="151">
        <f>M333/30</f>
        <v>3.3333333333333333E-2</v>
      </c>
      <c r="P333" s="152">
        <f>N333/30</f>
        <v>6.6666666666666666E-2</v>
      </c>
    </row>
    <row r="334" spans="1:16" ht="12" customHeight="1">
      <c r="A334" s="474"/>
      <c r="B334" s="127">
        <v>5</v>
      </c>
      <c r="C334" s="147">
        <v>0</v>
      </c>
      <c r="D334" s="147">
        <v>0</v>
      </c>
      <c r="E334" s="147">
        <v>0</v>
      </c>
      <c r="F334" s="147">
        <v>0</v>
      </c>
      <c r="G334" s="147">
        <v>0</v>
      </c>
      <c r="H334" s="147">
        <v>0</v>
      </c>
      <c r="I334" s="147">
        <v>0</v>
      </c>
      <c r="J334" s="147">
        <v>0</v>
      </c>
      <c r="K334" s="147">
        <v>0</v>
      </c>
      <c r="L334" s="148">
        <v>0</v>
      </c>
      <c r="M334" s="149">
        <f t="shared" si="40"/>
        <v>0</v>
      </c>
      <c r="N334" s="150">
        <f t="shared" si="41"/>
        <v>0</v>
      </c>
      <c r="O334" s="156">
        <f>M334/31</f>
        <v>0</v>
      </c>
      <c r="P334" s="157">
        <f>N334/31</f>
        <v>0</v>
      </c>
    </row>
    <row r="335" spans="1:16" ht="12" customHeight="1">
      <c r="A335" s="474"/>
      <c r="B335" s="127">
        <v>6</v>
      </c>
      <c r="C335" s="147">
        <f>集計用!C22+集計用!C40</f>
        <v>10</v>
      </c>
      <c r="D335" s="147">
        <f>集計用!S22+集計用!S40</f>
        <v>8</v>
      </c>
      <c r="E335" s="147">
        <f>集計用!E22+集計用!E40</f>
        <v>0</v>
      </c>
      <c r="F335" s="147">
        <f>集計用!U22+集計用!U40</f>
        <v>0</v>
      </c>
      <c r="G335" s="147">
        <f>集計用!G22+集計用!G40</f>
        <v>2</v>
      </c>
      <c r="H335" s="147">
        <f>集計用!W22+集計用!W40</f>
        <v>2</v>
      </c>
      <c r="I335" s="147">
        <f>集計用!I22+集計用!I40</f>
        <v>2</v>
      </c>
      <c r="J335" s="147">
        <f>集計用!Y22+集計用!Y40</f>
        <v>0</v>
      </c>
      <c r="K335" s="147">
        <f>集計用!K40</f>
        <v>0</v>
      </c>
      <c r="L335" s="148">
        <f>集計用!AA40</f>
        <v>0</v>
      </c>
      <c r="M335" s="154">
        <f t="shared" si="40"/>
        <v>14</v>
      </c>
      <c r="N335" s="155">
        <f t="shared" si="41"/>
        <v>10</v>
      </c>
      <c r="O335" s="156">
        <f>M335/30</f>
        <v>0.46666666666666667</v>
      </c>
      <c r="P335" s="157">
        <f>N335/30</f>
        <v>0.33333333333333331</v>
      </c>
    </row>
    <row r="336" spans="1:16" ht="12" customHeight="1">
      <c r="A336" s="474"/>
      <c r="B336" s="127">
        <v>7</v>
      </c>
      <c r="C336" s="158"/>
      <c r="D336" s="158"/>
      <c r="E336" s="158"/>
      <c r="F336" s="158"/>
      <c r="G336" s="158"/>
      <c r="H336" s="158"/>
      <c r="I336" s="158"/>
      <c r="J336" s="158"/>
      <c r="K336" s="158"/>
      <c r="L336" s="159"/>
      <c r="M336" s="154">
        <f t="shared" si="40"/>
        <v>0</v>
      </c>
      <c r="N336" s="155">
        <f t="shared" si="41"/>
        <v>0</v>
      </c>
      <c r="O336" s="156">
        <f>M336/31</f>
        <v>0</v>
      </c>
      <c r="P336" s="157">
        <f>N336/31</f>
        <v>0</v>
      </c>
    </row>
    <row r="337" spans="1:16" ht="12" customHeight="1">
      <c r="A337" s="474"/>
      <c r="B337" s="127">
        <v>8</v>
      </c>
      <c r="C337" s="158"/>
      <c r="D337" s="158"/>
      <c r="E337" s="158"/>
      <c r="F337" s="158"/>
      <c r="G337" s="158"/>
      <c r="H337" s="158"/>
      <c r="I337" s="158"/>
      <c r="J337" s="158"/>
      <c r="K337" s="158"/>
      <c r="L337" s="159"/>
      <c r="M337" s="154">
        <f t="shared" si="40"/>
        <v>0</v>
      </c>
      <c r="N337" s="155">
        <f t="shared" si="41"/>
        <v>0</v>
      </c>
      <c r="O337" s="156">
        <f>M337/31</f>
        <v>0</v>
      </c>
      <c r="P337" s="157">
        <f>N337/31</f>
        <v>0</v>
      </c>
    </row>
    <row r="338" spans="1:16" ht="12" customHeight="1">
      <c r="A338" s="474"/>
      <c r="B338" s="127">
        <v>9</v>
      </c>
      <c r="C338" s="158"/>
      <c r="D338" s="158"/>
      <c r="E338" s="158"/>
      <c r="F338" s="158"/>
      <c r="G338" s="158"/>
      <c r="H338" s="158"/>
      <c r="I338" s="158"/>
      <c r="J338" s="158"/>
      <c r="K338" s="158"/>
      <c r="L338" s="159"/>
      <c r="M338" s="154">
        <v>0</v>
      </c>
      <c r="N338" s="155">
        <v>0</v>
      </c>
      <c r="O338" s="156">
        <f t="shared" ref="O338:P340" si="42">M338/30</f>
        <v>0</v>
      </c>
      <c r="P338" s="157">
        <f t="shared" si="42"/>
        <v>0</v>
      </c>
    </row>
    <row r="339" spans="1:16" ht="12" customHeight="1">
      <c r="A339" s="474"/>
      <c r="B339" s="127">
        <v>10</v>
      </c>
      <c r="C339" s="147"/>
      <c r="D339" s="147"/>
      <c r="E339" s="147"/>
      <c r="F339" s="181"/>
      <c r="G339" s="147"/>
      <c r="H339" s="147"/>
      <c r="I339" s="147"/>
      <c r="J339" s="147"/>
      <c r="K339" s="147"/>
      <c r="L339" s="148"/>
      <c r="M339" s="154">
        <f t="shared" ref="M339" si="43">+C339+E339+G339+I339+K339</f>
        <v>0</v>
      </c>
      <c r="N339" s="155">
        <f t="shared" ref="N339" si="44">+D339+F339+H339+J339+L339</f>
        <v>0</v>
      </c>
      <c r="O339" s="156">
        <f t="shared" si="42"/>
        <v>0</v>
      </c>
      <c r="P339" s="157">
        <f t="shared" si="42"/>
        <v>0</v>
      </c>
    </row>
    <row r="340" spans="1:16" ht="12" customHeight="1">
      <c r="A340" s="474"/>
      <c r="B340" s="127">
        <v>11</v>
      </c>
      <c r="C340" s="367"/>
      <c r="D340" s="367"/>
      <c r="E340" s="367"/>
      <c r="F340" s="367"/>
      <c r="G340" s="367"/>
      <c r="H340" s="367"/>
      <c r="I340" s="367"/>
      <c r="J340" s="367"/>
      <c r="K340" s="367"/>
      <c r="L340" s="368"/>
      <c r="M340" s="154">
        <f t="shared" si="40"/>
        <v>0</v>
      </c>
      <c r="N340" s="155">
        <f t="shared" si="41"/>
        <v>0</v>
      </c>
      <c r="O340" s="156">
        <f t="shared" si="42"/>
        <v>0</v>
      </c>
      <c r="P340" s="157">
        <f t="shared" si="42"/>
        <v>0</v>
      </c>
    </row>
    <row r="341" spans="1:16" ht="12" customHeight="1" thickBot="1">
      <c r="A341" s="475"/>
      <c r="B341" s="127">
        <v>12</v>
      </c>
      <c r="C341" s="367"/>
      <c r="D341" s="367"/>
      <c r="E341" s="367"/>
      <c r="F341" s="367"/>
      <c r="G341" s="367"/>
      <c r="H341" s="367"/>
      <c r="I341" s="367"/>
      <c r="J341" s="367"/>
      <c r="K341" s="367"/>
      <c r="L341" s="368"/>
      <c r="M341" s="154">
        <f t="shared" si="40"/>
        <v>0</v>
      </c>
      <c r="N341" s="155">
        <f t="shared" si="41"/>
        <v>0</v>
      </c>
      <c r="O341" s="156">
        <f>M341/31</f>
        <v>0</v>
      </c>
      <c r="P341" s="157">
        <f>N341/31</f>
        <v>0</v>
      </c>
    </row>
    <row r="342" spans="1:16" s="2" customFormat="1" ht="12" customHeight="1" thickBot="1">
      <c r="B342" s="160" t="s">
        <v>5</v>
      </c>
      <c r="C342" s="161">
        <f t="shared" ref="C342:P342" si="45">SUM(C234:C341)</f>
        <v>9241</v>
      </c>
      <c r="D342" s="161">
        <f t="shared" si="45"/>
        <v>14728</v>
      </c>
      <c r="E342" s="161">
        <f t="shared" si="45"/>
        <v>63</v>
      </c>
      <c r="F342" s="161">
        <f t="shared" si="45"/>
        <v>91</v>
      </c>
      <c r="G342" s="161">
        <f t="shared" si="45"/>
        <v>663</v>
      </c>
      <c r="H342" s="161">
        <f t="shared" si="45"/>
        <v>1136</v>
      </c>
      <c r="I342" s="161">
        <f t="shared" si="45"/>
        <v>441</v>
      </c>
      <c r="J342" s="161">
        <f t="shared" si="45"/>
        <v>900</v>
      </c>
      <c r="K342" s="161">
        <f t="shared" si="45"/>
        <v>534</v>
      </c>
      <c r="L342" s="161">
        <f t="shared" si="45"/>
        <v>1426</v>
      </c>
      <c r="M342" s="170">
        <f t="shared" si="45"/>
        <v>10942</v>
      </c>
      <c r="N342" s="161">
        <f t="shared" si="45"/>
        <v>18281</v>
      </c>
      <c r="O342" s="161">
        <f t="shared" si="45"/>
        <v>357.98088087292751</v>
      </c>
      <c r="P342" s="161">
        <f t="shared" si="45"/>
        <v>602.03517665130551</v>
      </c>
    </row>
    <row r="343" spans="1:16" ht="12" customHeight="1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75"/>
    </row>
    <row r="344" spans="1:16" ht="12" customHeight="1">
      <c r="B344" s="490" t="s">
        <v>155</v>
      </c>
      <c r="C344" s="472" t="s">
        <v>29</v>
      </c>
      <c r="D344" s="472"/>
      <c r="E344" s="472" t="s">
        <v>30</v>
      </c>
      <c r="F344" s="472"/>
      <c r="G344" s="472" t="s">
        <v>31</v>
      </c>
      <c r="H344" s="472"/>
      <c r="I344" s="469" t="s">
        <v>58</v>
      </c>
      <c r="J344" s="470"/>
      <c r="K344" s="472" t="s">
        <v>57</v>
      </c>
      <c r="L344" s="491"/>
      <c r="M344" s="470" t="s">
        <v>5</v>
      </c>
      <c r="N344" s="472"/>
      <c r="O344" s="472" t="s">
        <v>33</v>
      </c>
      <c r="P344" s="472"/>
    </row>
    <row r="345" spans="1:16" ht="12" customHeight="1" thickBot="1">
      <c r="B345" s="468"/>
      <c r="C345" s="13" t="s">
        <v>34</v>
      </c>
      <c r="D345" s="13" t="s">
        <v>35</v>
      </c>
      <c r="E345" s="13" t="s">
        <v>34</v>
      </c>
      <c r="F345" s="13" t="s">
        <v>35</v>
      </c>
      <c r="G345" s="13" t="s">
        <v>34</v>
      </c>
      <c r="H345" s="13" t="s">
        <v>35</v>
      </c>
      <c r="I345" s="13" t="s">
        <v>59</v>
      </c>
      <c r="J345" s="13" t="s">
        <v>60</v>
      </c>
      <c r="K345" s="13" t="s">
        <v>34</v>
      </c>
      <c r="L345" s="14" t="s">
        <v>35</v>
      </c>
      <c r="M345" s="15" t="s">
        <v>34</v>
      </c>
      <c r="N345" s="13" t="s">
        <v>35</v>
      </c>
      <c r="O345" s="13" t="s">
        <v>34</v>
      </c>
      <c r="P345" s="163" t="s">
        <v>35</v>
      </c>
    </row>
    <row r="346" spans="1:16" ht="9.75" customHeight="1">
      <c r="A346" s="481">
        <v>2012</v>
      </c>
      <c r="B346" s="410">
        <v>1</v>
      </c>
      <c r="C346" s="411">
        <v>36</v>
      </c>
      <c r="D346" s="411">
        <v>130</v>
      </c>
      <c r="E346" s="411">
        <v>1</v>
      </c>
      <c r="F346" s="411">
        <v>5</v>
      </c>
      <c r="G346" s="411">
        <v>4</v>
      </c>
      <c r="H346" s="411">
        <v>15</v>
      </c>
      <c r="I346" s="411">
        <v>0</v>
      </c>
      <c r="J346" s="411">
        <v>0</v>
      </c>
      <c r="K346" s="411"/>
      <c r="L346" s="412"/>
      <c r="M346" s="413">
        <f t="shared" ref="M346:M377" si="46">+C346+E346+G346+I346+K346</f>
        <v>41</v>
      </c>
      <c r="N346" s="411">
        <f t="shared" ref="N346:N377" si="47">+D346+F346+H346+J346+L346</f>
        <v>150</v>
      </c>
      <c r="O346" s="414">
        <f>M346/30</f>
        <v>1.3666666666666667</v>
      </c>
      <c r="P346" s="415">
        <f>N346/30</f>
        <v>5</v>
      </c>
    </row>
    <row r="347" spans="1:16" ht="9.75" customHeight="1">
      <c r="A347" s="482"/>
      <c r="B347" s="127">
        <v>2</v>
      </c>
      <c r="C347" s="128">
        <v>28</v>
      </c>
      <c r="D347" s="128">
        <v>81</v>
      </c>
      <c r="E347" s="128">
        <v>0</v>
      </c>
      <c r="F347" s="128">
        <v>0</v>
      </c>
      <c r="G347" s="128">
        <v>2</v>
      </c>
      <c r="H347" s="128">
        <v>21</v>
      </c>
      <c r="I347" s="128">
        <v>0</v>
      </c>
      <c r="J347" s="128">
        <v>0</v>
      </c>
      <c r="K347" s="128"/>
      <c r="L347" s="129"/>
      <c r="M347" s="130">
        <f t="shared" si="46"/>
        <v>30</v>
      </c>
      <c r="N347" s="128">
        <f t="shared" si="47"/>
        <v>102</v>
      </c>
      <c r="O347" s="131">
        <f>M347/31</f>
        <v>0.967741935483871</v>
      </c>
      <c r="P347" s="132">
        <f>N347/31</f>
        <v>3.2903225806451615</v>
      </c>
    </row>
    <row r="348" spans="1:16" ht="9.75" customHeight="1">
      <c r="A348" s="482"/>
      <c r="B348" s="127">
        <v>3</v>
      </c>
      <c r="C348" s="128">
        <v>8</v>
      </c>
      <c r="D348" s="128">
        <v>34</v>
      </c>
      <c r="E348" s="128">
        <v>0</v>
      </c>
      <c r="F348" s="128">
        <v>0</v>
      </c>
      <c r="G348" s="128">
        <v>0</v>
      </c>
      <c r="H348" s="128">
        <v>2</v>
      </c>
      <c r="I348" s="128">
        <v>0</v>
      </c>
      <c r="J348" s="128">
        <v>0</v>
      </c>
      <c r="K348" s="128"/>
      <c r="L348" s="129"/>
      <c r="M348" s="130">
        <f t="shared" si="46"/>
        <v>8</v>
      </c>
      <c r="N348" s="128">
        <f t="shared" si="47"/>
        <v>36</v>
      </c>
      <c r="O348" s="131">
        <f>M348/31</f>
        <v>0.25806451612903225</v>
      </c>
      <c r="P348" s="132">
        <f>N348/31</f>
        <v>1.1612903225806452</v>
      </c>
    </row>
    <row r="349" spans="1:16" ht="9.75" customHeight="1">
      <c r="A349" s="482"/>
      <c r="B349" s="127">
        <v>4</v>
      </c>
      <c r="C349" s="128">
        <v>3</v>
      </c>
      <c r="D349" s="128">
        <v>3</v>
      </c>
      <c r="E349" s="128">
        <v>0</v>
      </c>
      <c r="F349" s="128">
        <v>0</v>
      </c>
      <c r="G349" s="128">
        <v>1</v>
      </c>
      <c r="H349" s="128">
        <v>1</v>
      </c>
      <c r="I349" s="128">
        <v>0</v>
      </c>
      <c r="J349" s="128">
        <v>0</v>
      </c>
      <c r="K349" s="128"/>
      <c r="L349" s="129"/>
      <c r="M349" s="130">
        <f t="shared" si="46"/>
        <v>4</v>
      </c>
      <c r="N349" s="128">
        <f t="shared" si="47"/>
        <v>4</v>
      </c>
      <c r="O349" s="131">
        <f>M349/29</f>
        <v>0.13793103448275862</v>
      </c>
      <c r="P349" s="132">
        <f>N349/29</f>
        <v>0.13793103448275862</v>
      </c>
    </row>
    <row r="350" spans="1:16" ht="9.75" customHeight="1">
      <c r="A350" s="482"/>
      <c r="B350" s="127">
        <v>5</v>
      </c>
      <c r="C350" s="128">
        <v>0</v>
      </c>
      <c r="D350" s="128">
        <v>6</v>
      </c>
      <c r="E350" s="128">
        <v>0</v>
      </c>
      <c r="F350" s="128">
        <v>0</v>
      </c>
      <c r="G350" s="128">
        <v>0</v>
      </c>
      <c r="H350" s="128">
        <v>0</v>
      </c>
      <c r="I350" s="128">
        <v>0</v>
      </c>
      <c r="J350" s="128">
        <v>0</v>
      </c>
      <c r="K350" s="128"/>
      <c r="L350" s="129"/>
      <c r="M350" s="130">
        <f t="shared" si="46"/>
        <v>0</v>
      </c>
      <c r="N350" s="128">
        <f t="shared" si="47"/>
        <v>6</v>
      </c>
      <c r="O350" s="131">
        <f>M350/31</f>
        <v>0</v>
      </c>
      <c r="P350" s="132">
        <f>N350/31</f>
        <v>0.19354838709677419</v>
      </c>
    </row>
    <row r="351" spans="1:16" ht="9.75" customHeight="1">
      <c r="A351" s="482"/>
      <c r="B351" s="127">
        <v>6</v>
      </c>
      <c r="C351" s="128">
        <v>0</v>
      </c>
      <c r="D351" s="128">
        <v>0</v>
      </c>
      <c r="E351" s="128">
        <v>0</v>
      </c>
      <c r="F351" s="128">
        <v>0</v>
      </c>
      <c r="G351" s="128">
        <v>0</v>
      </c>
      <c r="H351" s="128">
        <v>0</v>
      </c>
      <c r="I351" s="128">
        <v>0</v>
      </c>
      <c r="J351" s="128">
        <v>0</v>
      </c>
      <c r="K351" s="128"/>
      <c r="L351" s="129"/>
      <c r="M351" s="130">
        <f t="shared" si="46"/>
        <v>0</v>
      </c>
      <c r="N351" s="128">
        <f t="shared" si="47"/>
        <v>0</v>
      </c>
      <c r="O351" s="131">
        <f>M351/30</f>
        <v>0</v>
      </c>
      <c r="P351" s="132">
        <f>N351/30</f>
        <v>0</v>
      </c>
    </row>
    <row r="352" spans="1:16" ht="9.75" customHeight="1">
      <c r="A352" s="482"/>
      <c r="B352" s="127">
        <v>7</v>
      </c>
      <c r="C352" s="128">
        <v>1</v>
      </c>
      <c r="D352" s="128">
        <v>3</v>
      </c>
      <c r="E352" s="128">
        <v>0</v>
      </c>
      <c r="F352" s="128">
        <v>0</v>
      </c>
      <c r="G352" s="128">
        <v>0</v>
      </c>
      <c r="H352" s="128">
        <v>0</v>
      </c>
      <c r="I352" s="128">
        <v>0</v>
      </c>
      <c r="J352" s="128">
        <v>0</v>
      </c>
      <c r="K352" s="128"/>
      <c r="L352" s="129"/>
      <c r="M352" s="130">
        <f t="shared" si="46"/>
        <v>1</v>
      </c>
      <c r="N352" s="128">
        <f t="shared" si="47"/>
        <v>3</v>
      </c>
      <c r="O352" s="131">
        <f>M352/31</f>
        <v>3.2258064516129031E-2</v>
      </c>
      <c r="P352" s="132">
        <f>N352/31</f>
        <v>9.6774193548387094E-2</v>
      </c>
    </row>
    <row r="353" spans="1:16" ht="9.75" customHeight="1">
      <c r="A353" s="482"/>
      <c r="B353" s="127">
        <v>8</v>
      </c>
      <c r="C353" s="128">
        <v>4</v>
      </c>
      <c r="D353" s="128">
        <v>4</v>
      </c>
      <c r="E353" s="128">
        <v>0</v>
      </c>
      <c r="F353" s="128">
        <v>0</v>
      </c>
      <c r="G353" s="128">
        <v>0</v>
      </c>
      <c r="H353" s="128">
        <v>0</v>
      </c>
      <c r="I353" s="128">
        <v>0</v>
      </c>
      <c r="J353" s="128">
        <v>0</v>
      </c>
      <c r="K353" s="128"/>
      <c r="L353" s="129"/>
      <c r="M353" s="130">
        <f t="shared" si="46"/>
        <v>4</v>
      </c>
      <c r="N353" s="128">
        <f t="shared" si="47"/>
        <v>4</v>
      </c>
      <c r="O353" s="131">
        <f>M353/30</f>
        <v>0.13333333333333333</v>
      </c>
      <c r="P353" s="132">
        <f>N353/30</f>
        <v>0.13333333333333333</v>
      </c>
    </row>
    <row r="354" spans="1:16" ht="9.75" customHeight="1">
      <c r="A354" s="482"/>
      <c r="B354" s="127">
        <v>9</v>
      </c>
      <c r="C354" s="128">
        <v>3</v>
      </c>
      <c r="D354" s="128">
        <v>5</v>
      </c>
      <c r="E354" s="128">
        <v>1</v>
      </c>
      <c r="F354" s="128">
        <v>0</v>
      </c>
      <c r="G354" s="128">
        <v>0</v>
      </c>
      <c r="H354" s="128">
        <v>0</v>
      </c>
      <c r="I354" s="128">
        <v>0</v>
      </c>
      <c r="J354" s="128">
        <v>0</v>
      </c>
      <c r="K354" s="128"/>
      <c r="L354" s="129"/>
      <c r="M354" s="130">
        <f t="shared" si="46"/>
        <v>4</v>
      </c>
      <c r="N354" s="128">
        <f t="shared" si="47"/>
        <v>5</v>
      </c>
      <c r="O354" s="131">
        <f>M354/31</f>
        <v>0.12903225806451613</v>
      </c>
      <c r="P354" s="132">
        <f>N354/31</f>
        <v>0.16129032258064516</v>
      </c>
    </row>
    <row r="355" spans="1:16" ht="9.75" customHeight="1">
      <c r="A355" s="482"/>
      <c r="B355" s="127">
        <v>10</v>
      </c>
      <c r="C355" s="128">
        <v>2</v>
      </c>
      <c r="D355" s="128">
        <v>3</v>
      </c>
      <c r="E355" s="128">
        <v>0</v>
      </c>
      <c r="F355" s="128">
        <v>0</v>
      </c>
      <c r="G355" s="128">
        <v>1</v>
      </c>
      <c r="H355" s="128">
        <v>4</v>
      </c>
      <c r="I355" s="128">
        <v>0</v>
      </c>
      <c r="J355" s="128">
        <v>0</v>
      </c>
      <c r="K355" s="128"/>
      <c r="L355" s="129"/>
      <c r="M355" s="130">
        <f t="shared" si="46"/>
        <v>3</v>
      </c>
      <c r="N355" s="128">
        <f t="shared" si="47"/>
        <v>7</v>
      </c>
      <c r="O355" s="131">
        <f>M355/31</f>
        <v>9.6774193548387094E-2</v>
      </c>
      <c r="P355" s="132">
        <f>N355/31</f>
        <v>0.22580645161290322</v>
      </c>
    </row>
    <row r="356" spans="1:16" ht="9.75" customHeight="1">
      <c r="A356" s="482"/>
      <c r="B356" s="127">
        <v>11</v>
      </c>
      <c r="C356" s="128">
        <v>17</v>
      </c>
      <c r="D356" s="128">
        <v>4</v>
      </c>
      <c r="E356" s="128">
        <v>0</v>
      </c>
      <c r="F356" s="128">
        <v>0</v>
      </c>
      <c r="G356" s="128">
        <v>0</v>
      </c>
      <c r="H356" s="128">
        <v>0</v>
      </c>
      <c r="I356" s="128">
        <v>0</v>
      </c>
      <c r="J356" s="128">
        <v>0</v>
      </c>
      <c r="K356" s="128"/>
      <c r="L356" s="129"/>
      <c r="M356" s="130">
        <f t="shared" si="46"/>
        <v>17</v>
      </c>
      <c r="N356" s="128">
        <f t="shared" si="47"/>
        <v>4</v>
      </c>
      <c r="O356" s="131">
        <f>M356/30</f>
        <v>0.56666666666666665</v>
      </c>
      <c r="P356" s="132">
        <f>N356/30</f>
        <v>0.13333333333333333</v>
      </c>
    </row>
    <row r="357" spans="1:16" ht="9.75" customHeight="1" thickBot="1">
      <c r="A357" s="483"/>
      <c r="B357" s="127">
        <v>12</v>
      </c>
      <c r="C357" s="182">
        <v>82</v>
      </c>
      <c r="D357" s="182">
        <v>102</v>
      </c>
      <c r="E357" s="182">
        <v>0</v>
      </c>
      <c r="F357" s="182">
        <v>0</v>
      </c>
      <c r="G357" s="182">
        <v>3</v>
      </c>
      <c r="H357" s="182">
        <v>3</v>
      </c>
      <c r="I357" s="182">
        <v>0</v>
      </c>
      <c r="J357" s="182">
        <v>0</v>
      </c>
      <c r="K357" s="182"/>
      <c r="L357" s="183"/>
      <c r="M357" s="184">
        <f t="shared" si="46"/>
        <v>85</v>
      </c>
      <c r="N357" s="182">
        <f t="shared" si="47"/>
        <v>105</v>
      </c>
      <c r="O357" s="185">
        <f>M357/31</f>
        <v>2.7419354838709675</v>
      </c>
      <c r="P357" s="186">
        <f>N357/31</f>
        <v>3.3870967741935485</v>
      </c>
    </row>
    <row r="358" spans="1:16" s="3" customFormat="1" ht="9.75" customHeight="1">
      <c r="A358" s="484">
        <v>2013</v>
      </c>
      <c r="B358" s="410">
        <v>1</v>
      </c>
      <c r="C358" s="411">
        <v>67</v>
      </c>
      <c r="D358" s="411">
        <v>103</v>
      </c>
      <c r="E358" s="411">
        <v>2</v>
      </c>
      <c r="F358" s="411">
        <v>9</v>
      </c>
      <c r="G358" s="411">
        <v>4</v>
      </c>
      <c r="H358" s="411">
        <v>0</v>
      </c>
      <c r="I358" s="411">
        <v>0</v>
      </c>
      <c r="J358" s="411">
        <v>0</v>
      </c>
      <c r="K358" s="411"/>
      <c r="L358" s="412"/>
      <c r="M358" s="413">
        <f t="shared" si="46"/>
        <v>73</v>
      </c>
      <c r="N358" s="411">
        <f t="shared" si="47"/>
        <v>112</v>
      </c>
      <c r="O358" s="414">
        <f>M358/31</f>
        <v>2.3548387096774195</v>
      </c>
      <c r="P358" s="415">
        <f>N358/31</f>
        <v>3.6129032258064515</v>
      </c>
    </row>
    <row r="359" spans="1:16" s="3" customFormat="1" ht="9.75" customHeight="1">
      <c r="A359" s="485"/>
      <c r="B359" s="127">
        <v>2</v>
      </c>
      <c r="C359" s="128">
        <v>65</v>
      </c>
      <c r="D359" s="128">
        <v>156</v>
      </c>
      <c r="E359" s="128">
        <v>0</v>
      </c>
      <c r="F359" s="128">
        <v>0</v>
      </c>
      <c r="G359" s="128">
        <v>3</v>
      </c>
      <c r="H359" s="128">
        <v>4</v>
      </c>
      <c r="I359" s="128">
        <v>0</v>
      </c>
      <c r="J359" s="128">
        <v>0</v>
      </c>
      <c r="K359" s="128"/>
      <c r="L359" s="129"/>
      <c r="M359" s="130">
        <f t="shared" si="46"/>
        <v>68</v>
      </c>
      <c r="N359" s="128">
        <f t="shared" si="47"/>
        <v>160</v>
      </c>
      <c r="O359" s="131">
        <f>M359/28</f>
        <v>2.4285714285714284</v>
      </c>
      <c r="P359" s="132">
        <f>N359/28</f>
        <v>5.7142857142857144</v>
      </c>
    </row>
    <row r="360" spans="1:16" s="3" customFormat="1" ht="9.75" customHeight="1">
      <c r="A360" s="485"/>
      <c r="B360" s="127">
        <v>3</v>
      </c>
      <c r="C360" s="128">
        <v>29</v>
      </c>
      <c r="D360" s="128">
        <v>93</v>
      </c>
      <c r="E360" s="128">
        <v>0</v>
      </c>
      <c r="F360" s="128">
        <v>0</v>
      </c>
      <c r="G360" s="128">
        <v>1</v>
      </c>
      <c r="H360" s="128">
        <v>4</v>
      </c>
      <c r="I360" s="128">
        <v>0</v>
      </c>
      <c r="J360" s="128">
        <v>0</v>
      </c>
      <c r="K360" s="128"/>
      <c r="L360" s="129"/>
      <c r="M360" s="130">
        <f t="shared" si="46"/>
        <v>30</v>
      </c>
      <c r="N360" s="128">
        <f t="shared" si="47"/>
        <v>97</v>
      </c>
      <c r="O360" s="131">
        <f>M360/31</f>
        <v>0.967741935483871</v>
      </c>
      <c r="P360" s="132">
        <f>N360/31</f>
        <v>3.129032258064516</v>
      </c>
    </row>
    <row r="361" spans="1:16" s="3" customFormat="1" ht="9.75" customHeight="1">
      <c r="A361" s="485"/>
      <c r="B361" s="127">
        <v>4</v>
      </c>
      <c r="C361" s="128">
        <v>4</v>
      </c>
      <c r="D361" s="128">
        <v>4</v>
      </c>
      <c r="E361" s="128">
        <v>0</v>
      </c>
      <c r="F361" s="128">
        <v>0</v>
      </c>
      <c r="G361" s="128">
        <v>0</v>
      </c>
      <c r="H361" s="128">
        <v>0</v>
      </c>
      <c r="I361" s="128">
        <v>0</v>
      </c>
      <c r="J361" s="128">
        <v>0</v>
      </c>
      <c r="K361" s="128"/>
      <c r="L361" s="129"/>
      <c r="M361" s="130">
        <f t="shared" si="46"/>
        <v>4</v>
      </c>
      <c r="N361" s="128">
        <f t="shared" si="47"/>
        <v>4</v>
      </c>
      <c r="O361" s="131">
        <f>M361/30</f>
        <v>0.13333333333333333</v>
      </c>
      <c r="P361" s="132">
        <f>N361/30</f>
        <v>0.13333333333333333</v>
      </c>
    </row>
    <row r="362" spans="1:16" s="3" customFormat="1" ht="9.75" customHeight="1">
      <c r="A362" s="485"/>
      <c r="B362" s="127">
        <v>5</v>
      </c>
      <c r="C362" s="128">
        <v>0</v>
      </c>
      <c r="D362" s="128">
        <v>0</v>
      </c>
      <c r="E362" s="128">
        <v>0</v>
      </c>
      <c r="F362" s="128">
        <v>0</v>
      </c>
      <c r="G362" s="128">
        <v>3</v>
      </c>
      <c r="H362" s="128">
        <v>6</v>
      </c>
      <c r="I362" s="128">
        <v>0</v>
      </c>
      <c r="J362" s="128">
        <v>0</v>
      </c>
      <c r="K362" s="128"/>
      <c r="L362" s="129"/>
      <c r="M362" s="130">
        <f t="shared" si="46"/>
        <v>3</v>
      </c>
      <c r="N362" s="128">
        <f t="shared" si="47"/>
        <v>6</v>
      </c>
      <c r="O362" s="131">
        <f>M362/31</f>
        <v>9.6774193548387094E-2</v>
      </c>
      <c r="P362" s="132">
        <f>N362/31</f>
        <v>0.19354838709677419</v>
      </c>
    </row>
    <row r="363" spans="1:16" s="3" customFormat="1" ht="9.75" customHeight="1">
      <c r="A363" s="485"/>
      <c r="B363" s="127">
        <v>6</v>
      </c>
      <c r="C363" s="128">
        <v>2</v>
      </c>
      <c r="D363" s="128">
        <v>5</v>
      </c>
      <c r="E363" s="128">
        <v>0</v>
      </c>
      <c r="F363" s="128">
        <v>0</v>
      </c>
      <c r="G363" s="128">
        <v>1</v>
      </c>
      <c r="H363" s="128">
        <v>2</v>
      </c>
      <c r="I363" s="128">
        <v>0</v>
      </c>
      <c r="J363" s="128">
        <v>0</v>
      </c>
      <c r="K363" s="128"/>
      <c r="L363" s="129"/>
      <c r="M363" s="130">
        <f t="shared" si="46"/>
        <v>3</v>
      </c>
      <c r="N363" s="128">
        <f t="shared" si="47"/>
        <v>7</v>
      </c>
      <c r="O363" s="131">
        <f>M363/30</f>
        <v>0.1</v>
      </c>
      <c r="P363" s="132">
        <f>N363/30</f>
        <v>0.23333333333333334</v>
      </c>
    </row>
    <row r="364" spans="1:16" s="3" customFormat="1" ht="9.75" customHeight="1">
      <c r="A364" s="485"/>
      <c r="B364" s="127">
        <v>7</v>
      </c>
      <c r="C364" s="128">
        <v>7</v>
      </c>
      <c r="D364" s="128">
        <v>30</v>
      </c>
      <c r="E364" s="128">
        <v>0</v>
      </c>
      <c r="F364" s="128">
        <v>0</v>
      </c>
      <c r="G364" s="128">
        <v>0</v>
      </c>
      <c r="H364" s="128">
        <v>0</v>
      </c>
      <c r="I364" s="128">
        <v>0</v>
      </c>
      <c r="J364" s="128">
        <v>0</v>
      </c>
      <c r="K364" s="128"/>
      <c r="L364" s="129"/>
      <c r="M364" s="130">
        <f t="shared" si="46"/>
        <v>7</v>
      </c>
      <c r="N364" s="128">
        <f t="shared" si="47"/>
        <v>30</v>
      </c>
      <c r="O364" s="131">
        <f t="shared" ref="O364:O389" si="48">M364/31</f>
        <v>0.22580645161290322</v>
      </c>
      <c r="P364" s="132">
        <f t="shared" ref="P364:P389" si="49">N364/31</f>
        <v>0.967741935483871</v>
      </c>
    </row>
    <row r="365" spans="1:16" s="3" customFormat="1" ht="9.75" customHeight="1">
      <c r="A365" s="485"/>
      <c r="B365" s="127">
        <v>8</v>
      </c>
      <c r="C365" s="128">
        <v>6</v>
      </c>
      <c r="D365" s="128">
        <v>11</v>
      </c>
      <c r="E365" s="128">
        <v>0</v>
      </c>
      <c r="F365" s="128">
        <v>0</v>
      </c>
      <c r="G365" s="128">
        <v>0</v>
      </c>
      <c r="H365" s="128">
        <v>0</v>
      </c>
      <c r="I365" s="128">
        <v>0</v>
      </c>
      <c r="J365" s="128">
        <v>0</v>
      </c>
      <c r="K365" s="128"/>
      <c r="L365" s="129"/>
      <c r="M365" s="130">
        <f t="shared" si="46"/>
        <v>6</v>
      </c>
      <c r="N365" s="128">
        <f t="shared" si="47"/>
        <v>11</v>
      </c>
      <c r="O365" s="131">
        <f t="shared" si="48"/>
        <v>0.19354838709677419</v>
      </c>
      <c r="P365" s="132">
        <f t="shared" si="49"/>
        <v>0.35483870967741937</v>
      </c>
    </row>
    <row r="366" spans="1:16" s="3" customFormat="1" ht="9.75" customHeight="1">
      <c r="A366" s="485"/>
      <c r="B366" s="127">
        <v>9</v>
      </c>
      <c r="C366" s="133">
        <v>4</v>
      </c>
      <c r="D366" s="133">
        <v>5</v>
      </c>
      <c r="E366" s="133">
        <v>0</v>
      </c>
      <c r="F366" s="133">
        <v>0</v>
      </c>
      <c r="G366" s="133">
        <v>0</v>
      </c>
      <c r="H366" s="133">
        <v>0</v>
      </c>
      <c r="I366" s="133">
        <v>0</v>
      </c>
      <c r="J366" s="133">
        <v>0</v>
      </c>
      <c r="K366" s="133"/>
      <c r="L366" s="134"/>
      <c r="M366" s="135">
        <f t="shared" si="46"/>
        <v>4</v>
      </c>
      <c r="N366" s="133">
        <f t="shared" si="47"/>
        <v>5</v>
      </c>
      <c r="O366" s="136">
        <f t="shared" si="48"/>
        <v>0.12903225806451613</v>
      </c>
      <c r="P366" s="137">
        <f t="shared" si="49"/>
        <v>0.16129032258064516</v>
      </c>
    </row>
    <row r="367" spans="1:16" s="3" customFormat="1" ht="9.75" customHeight="1">
      <c r="A367" s="485"/>
      <c r="B367" s="127">
        <v>10</v>
      </c>
      <c r="C367" s="128">
        <v>7</v>
      </c>
      <c r="D367" s="128">
        <v>4</v>
      </c>
      <c r="E367" s="128">
        <v>0</v>
      </c>
      <c r="F367" s="128">
        <v>0</v>
      </c>
      <c r="G367" s="128">
        <v>0</v>
      </c>
      <c r="H367" s="128">
        <v>0</v>
      </c>
      <c r="I367" s="128">
        <v>0</v>
      </c>
      <c r="J367" s="128">
        <v>0</v>
      </c>
      <c r="K367" s="128"/>
      <c r="L367" s="129"/>
      <c r="M367" s="130">
        <f t="shared" si="46"/>
        <v>7</v>
      </c>
      <c r="N367" s="128">
        <f t="shared" si="47"/>
        <v>4</v>
      </c>
      <c r="O367" s="131">
        <f t="shared" si="48"/>
        <v>0.22580645161290322</v>
      </c>
      <c r="P367" s="132">
        <f t="shared" si="49"/>
        <v>0.12903225806451613</v>
      </c>
    </row>
    <row r="368" spans="1:16" s="3" customFormat="1" ht="9.75" customHeight="1">
      <c r="A368" s="485"/>
      <c r="B368" s="127">
        <v>11</v>
      </c>
      <c r="C368" s="138">
        <v>27</v>
      </c>
      <c r="D368" s="138">
        <v>10</v>
      </c>
      <c r="E368" s="138">
        <v>0</v>
      </c>
      <c r="F368" s="138">
        <v>0</v>
      </c>
      <c r="G368" s="138">
        <v>6</v>
      </c>
      <c r="H368" s="138">
        <v>5</v>
      </c>
      <c r="I368" s="138">
        <v>0</v>
      </c>
      <c r="J368" s="138">
        <v>0</v>
      </c>
      <c r="K368" s="138"/>
      <c r="L368" s="139"/>
      <c r="M368" s="140">
        <f t="shared" si="46"/>
        <v>33</v>
      </c>
      <c r="N368" s="138">
        <f t="shared" si="47"/>
        <v>15</v>
      </c>
      <c r="O368" s="141">
        <f t="shared" si="48"/>
        <v>1.064516129032258</v>
      </c>
      <c r="P368" s="142">
        <f t="shared" si="49"/>
        <v>0.4838709677419355</v>
      </c>
    </row>
    <row r="369" spans="1:16" s="3" customFormat="1" ht="9.75" customHeight="1" thickBot="1">
      <c r="A369" s="486"/>
      <c r="B369" s="127">
        <v>12</v>
      </c>
      <c r="C369" s="182">
        <v>140</v>
      </c>
      <c r="D369" s="182">
        <v>259</v>
      </c>
      <c r="E369" s="182">
        <v>0</v>
      </c>
      <c r="F369" s="182">
        <v>0</v>
      </c>
      <c r="G369" s="182">
        <v>7</v>
      </c>
      <c r="H369" s="182">
        <v>11</v>
      </c>
      <c r="I369" s="182">
        <v>0</v>
      </c>
      <c r="J369" s="182">
        <v>0</v>
      </c>
      <c r="K369" s="182"/>
      <c r="L369" s="183"/>
      <c r="M369" s="184">
        <f t="shared" si="46"/>
        <v>147</v>
      </c>
      <c r="N369" s="182">
        <f t="shared" si="47"/>
        <v>270</v>
      </c>
      <c r="O369" s="185">
        <f t="shared" si="48"/>
        <v>4.741935483870968</v>
      </c>
      <c r="P369" s="186">
        <f t="shared" si="49"/>
        <v>8.7096774193548381</v>
      </c>
    </row>
    <row r="370" spans="1:16" s="3" customFormat="1" ht="9.75" customHeight="1">
      <c r="A370" s="487">
        <v>2014</v>
      </c>
      <c r="B370" s="410">
        <v>1</v>
      </c>
      <c r="C370" s="411">
        <v>127</v>
      </c>
      <c r="D370" s="411">
        <v>262</v>
      </c>
      <c r="E370" s="411">
        <v>2</v>
      </c>
      <c r="F370" s="411">
        <v>0</v>
      </c>
      <c r="G370" s="411">
        <v>12</v>
      </c>
      <c r="H370" s="411">
        <v>14</v>
      </c>
      <c r="I370" s="411">
        <v>0</v>
      </c>
      <c r="J370" s="411">
        <v>0</v>
      </c>
      <c r="K370" s="411"/>
      <c r="L370" s="428"/>
      <c r="M370" s="413">
        <f t="shared" si="46"/>
        <v>141</v>
      </c>
      <c r="N370" s="411">
        <f t="shared" si="47"/>
        <v>276</v>
      </c>
      <c r="O370" s="414">
        <f t="shared" si="48"/>
        <v>4.5483870967741939</v>
      </c>
      <c r="P370" s="415">
        <f t="shared" si="49"/>
        <v>8.9032258064516121</v>
      </c>
    </row>
    <row r="371" spans="1:16" s="3" customFormat="1" ht="9.75" customHeight="1">
      <c r="A371" s="488"/>
      <c r="B371" s="127">
        <v>2</v>
      </c>
      <c r="C371" s="128">
        <v>131</v>
      </c>
      <c r="D371" s="128">
        <v>241</v>
      </c>
      <c r="E371" s="128">
        <v>0</v>
      </c>
      <c r="F371" s="128">
        <v>0</v>
      </c>
      <c r="G371" s="128">
        <v>7</v>
      </c>
      <c r="H371" s="128">
        <v>4</v>
      </c>
      <c r="I371" s="128">
        <v>0</v>
      </c>
      <c r="J371" s="128">
        <v>0</v>
      </c>
      <c r="K371" s="128"/>
      <c r="L371" s="164"/>
      <c r="M371" s="130">
        <f t="shared" si="46"/>
        <v>138</v>
      </c>
      <c r="N371" s="128">
        <f t="shared" si="47"/>
        <v>245</v>
      </c>
      <c r="O371" s="131">
        <f t="shared" si="48"/>
        <v>4.4516129032258061</v>
      </c>
      <c r="P371" s="132">
        <f t="shared" si="49"/>
        <v>7.903225806451613</v>
      </c>
    </row>
    <row r="372" spans="1:16" s="3" customFormat="1" ht="9.75" customHeight="1">
      <c r="A372" s="488"/>
      <c r="B372" s="127">
        <v>3</v>
      </c>
      <c r="C372" s="128">
        <v>74</v>
      </c>
      <c r="D372" s="128">
        <v>145</v>
      </c>
      <c r="E372" s="128">
        <v>0</v>
      </c>
      <c r="F372" s="128">
        <v>0</v>
      </c>
      <c r="G372" s="128">
        <v>0</v>
      </c>
      <c r="H372" s="128">
        <v>0</v>
      </c>
      <c r="I372" s="128">
        <v>0</v>
      </c>
      <c r="J372" s="128">
        <v>0</v>
      </c>
      <c r="K372" s="128"/>
      <c r="L372" s="164"/>
      <c r="M372" s="130">
        <f t="shared" si="46"/>
        <v>74</v>
      </c>
      <c r="N372" s="128">
        <f t="shared" si="47"/>
        <v>145</v>
      </c>
      <c r="O372" s="131">
        <f t="shared" si="48"/>
        <v>2.3870967741935485</v>
      </c>
      <c r="P372" s="132">
        <f t="shared" si="49"/>
        <v>4.67741935483871</v>
      </c>
    </row>
    <row r="373" spans="1:16" s="3" customFormat="1" ht="9.75" customHeight="1">
      <c r="A373" s="488"/>
      <c r="B373" s="127">
        <v>4</v>
      </c>
      <c r="C373" s="138">
        <v>11</v>
      </c>
      <c r="D373" s="138">
        <v>17</v>
      </c>
      <c r="E373" s="138">
        <v>0</v>
      </c>
      <c r="F373" s="138">
        <v>0</v>
      </c>
      <c r="G373" s="138">
        <v>0</v>
      </c>
      <c r="H373" s="138">
        <v>0</v>
      </c>
      <c r="I373" s="138">
        <v>0</v>
      </c>
      <c r="J373" s="138">
        <v>0</v>
      </c>
      <c r="K373" s="138"/>
      <c r="L373" s="143"/>
      <c r="M373" s="140">
        <f t="shared" si="46"/>
        <v>11</v>
      </c>
      <c r="N373" s="138">
        <f t="shared" si="47"/>
        <v>17</v>
      </c>
      <c r="O373" s="141">
        <f t="shared" si="48"/>
        <v>0.35483870967741937</v>
      </c>
      <c r="P373" s="142">
        <f t="shared" si="49"/>
        <v>0.54838709677419351</v>
      </c>
    </row>
    <row r="374" spans="1:16" s="5" customFormat="1" ht="9.75" customHeight="1">
      <c r="A374" s="488"/>
      <c r="B374" s="127">
        <v>5</v>
      </c>
      <c r="C374" s="133">
        <v>11</v>
      </c>
      <c r="D374" s="133">
        <v>12</v>
      </c>
      <c r="E374" s="133">
        <v>2</v>
      </c>
      <c r="F374" s="133">
        <v>2</v>
      </c>
      <c r="G374" s="133">
        <v>2</v>
      </c>
      <c r="H374" s="133">
        <v>0</v>
      </c>
      <c r="I374" s="133">
        <v>0</v>
      </c>
      <c r="J374" s="133">
        <v>0</v>
      </c>
      <c r="K374" s="133"/>
      <c r="L374" s="144"/>
      <c r="M374" s="135">
        <f t="shared" si="46"/>
        <v>15</v>
      </c>
      <c r="N374" s="145">
        <f t="shared" si="47"/>
        <v>14</v>
      </c>
      <c r="O374" s="166">
        <f t="shared" si="48"/>
        <v>0.4838709677419355</v>
      </c>
      <c r="P374" s="137">
        <f t="shared" si="49"/>
        <v>0.45161290322580644</v>
      </c>
    </row>
    <row r="375" spans="1:16" s="5" customFormat="1" ht="9.75" customHeight="1">
      <c r="A375" s="488"/>
      <c r="B375" s="127">
        <v>6</v>
      </c>
      <c r="C375" s="133">
        <v>9</v>
      </c>
      <c r="D375" s="133">
        <v>9</v>
      </c>
      <c r="E375" s="133">
        <v>0</v>
      </c>
      <c r="F375" s="133">
        <v>0</v>
      </c>
      <c r="G375" s="133">
        <v>2</v>
      </c>
      <c r="H375" s="133">
        <v>2</v>
      </c>
      <c r="I375" s="133">
        <v>0</v>
      </c>
      <c r="J375" s="133">
        <v>0</v>
      </c>
      <c r="K375" s="133"/>
      <c r="L375" s="134"/>
      <c r="M375" s="145">
        <f t="shared" si="46"/>
        <v>11</v>
      </c>
      <c r="N375" s="145">
        <f t="shared" si="47"/>
        <v>11</v>
      </c>
      <c r="O375" s="166">
        <f t="shared" si="48"/>
        <v>0.35483870967741937</v>
      </c>
      <c r="P375" s="137">
        <f t="shared" si="49"/>
        <v>0.35483870967741937</v>
      </c>
    </row>
    <row r="376" spans="1:16" s="5" customFormat="1" ht="9.75" customHeight="1">
      <c r="A376" s="488"/>
      <c r="B376" s="127">
        <v>7</v>
      </c>
      <c r="C376" s="128">
        <v>10</v>
      </c>
      <c r="D376" s="128">
        <v>7</v>
      </c>
      <c r="E376" s="128">
        <v>0</v>
      </c>
      <c r="F376" s="128">
        <v>0</v>
      </c>
      <c r="G376" s="128">
        <v>3</v>
      </c>
      <c r="H376" s="128">
        <v>0</v>
      </c>
      <c r="I376" s="128">
        <v>0</v>
      </c>
      <c r="J376" s="128">
        <v>0</v>
      </c>
      <c r="K376" s="128"/>
      <c r="L376" s="129"/>
      <c r="M376" s="146">
        <f t="shared" si="46"/>
        <v>13</v>
      </c>
      <c r="N376" s="146">
        <f t="shared" si="47"/>
        <v>7</v>
      </c>
      <c r="O376" s="165">
        <f t="shared" si="48"/>
        <v>0.41935483870967744</v>
      </c>
      <c r="P376" s="132">
        <f t="shared" si="49"/>
        <v>0.22580645161290322</v>
      </c>
    </row>
    <row r="377" spans="1:16" s="5" customFormat="1" ht="9.75" customHeight="1">
      <c r="A377" s="488"/>
      <c r="B377" s="127">
        <v>8</v>
      </c>
      <c r="C377" s="133">
        <v>5</v>
      </c>
      <c r="D377" s="133">
        <v>5</v>
      </c>
      <c r="E377" s="133">
        <v>0</v>
      </c>
      <c r="F377" s="133">
        <v>0</v>
      </c>
      <c r="G377" s="133">
        <v>2</v>
      </c>
      <c r="H377" s="133">
        <v>0</v>
      </c>
      <c r="I377" s="133">
        <v>0</v>
      </c>
      <c r="J377" s="133">
        <v>0</v>
      </c>
      <c r="K377" s="133"/>
      <c r="L377" s="134"/>
      <c r="M377" s="145">
        <f t="shared" si="46"/>
        <v>7</v>
      </c>
      <c r="N377" s="145">
        <f t="shared" si="47"/>
        <v>5</v>
      </c>
      <c r="O377" s="166">
        <f t="shared" si="48"/>
        <v>0.22580645161290322</v>
      </c>
      <c r="P377" s="137">
        <f t="shared" si="49"/>
        <v>0.16129032258064516</v>
      </c>
    </row>
    <row r="378" spans="1:16" s="5" customFormat="1" ht="9.75" customHeight="1">
      <c r="A378" s="488"/>
      <c r="B378" s="127">
        <v>9</v>
      </c>
      <c r="C378" s="133">
        <v>7</v>
      </c>
      <c r="D378" s="133">
        <v>8</v>
      </c>
      <c r="E378" s="133">
        <v>0</v>
      </c>
      <c r="F378" s="133">
        <v>0</v>
      </c>
      <c r="G378" s="133">
        <v>0</v>
      </c>
      <c r="H378" s="133">
        <v>0</v>
      </c>
      <c r="I378" s="133">
        <v>0</v>
      </c>
      <c r="J378" s="133">
        <v>0</v>
      </c>
      <c r="K378" s="133"/>
      <c r="L378" s="134"/>
      <c r="M378" s="145">
        <f t="shared" ref="M378:M409" si="50">+C378+E378+G378+I378+K378</f>
        <v>7</v>
      </c>
      <c r="N378" s="145">
        <f t="shared" ref="N378:N409" si="51">+D378+F378+H378+J378+L378</f>
        <v>8</v>
      </c>
      <c r="O378" s="166">
        <f t="shared" si="48"/>
        <v>0.22580645161290322</v>
      </c>
      <c r="P378" s="137">
        <f t="shared" si="49"/>
        <v>0.25806451612903225</v>
      </c>
    </row>
    <row r="379" spans="1:16" s="5" customFormat="1" ht="9.75" customHeight="1">
      <c r="A379" s="488"/>
      <c r="B379" s="127">
        <v>10</v>
      </c>
      <c r="C379" s="133">
        <v>20</v>
      </c>
      <c r="D379" s="133">
        <v>13</v>
      </c>
      <c r="E379" s="133">
        <v>0</v>
      </c>
      <c r="F379" s="133">
        <v>0</v>
      </c>
      <c r="G379" s="133">
        <v>3</v>
      </c>
      <c r="H379" s="133">
        <v>3</v>
      </c>
      <c r="I379" s="133">
        <v>0</v>
      </c>
      <c r="J379" s="133">
        <v>0</v>
      </c>
      <c r="K379" s="133"/>
      <c r="L379" s="134"/>
      <c r="M379" s="145">
        <f t="shared" si="50"/>
        <v>23</v>
      </c>
      <c r="N379" s="145">
        <f t="shared" si="51"/>
        <v>16</v>
      </c>
      <c r="O379" s="166">
        <f t="shared" si="48"/>
        <v>0.74193548387096775</v>
      </c>
      <c r="P379" s="137">
        <f t="shared" si="49"/>
        <v>0.5161290322580645</v>
      </c>
    </row>
    <row r="380" spans="1:16" s="5" customFormat="1" ht="9.75" customHeight="1">
      <c r="A380" s="488"/>
      <c r="B380" s="127">
        <v>11</v>
      </c>
      <c r="C380" s="133">
        <v>75</v>
      </c>
      <c r="D380" s="133">
        <v>19</v>
      </c>
      <c r="E380" s="133">
        <v>0</v>
      </c>
      <c r="F380" s="133">
        <v>0</v>
      </c>
      <c r="G380" s="133">
        <v>14</v>
      </c>
      <c r="H380" s="133">
        <v>2</v>
      </c>
      <c r="I380" s="133">
        <v>0</v>
      </c>
      <c r="J380" s="133">
        <v>0</v>
      </c>
      <c r="K380" s="133"/>
      <c r="L380" s="134"/>
      <c r="M380" s="145">
        <f t="shared" si="50"/>
        <v>89</v>
      </c>
      <c r="N380" s="145">
        <f t="shared" si="51"/>
        <v>21</v>
      </c>
      <c r="O380" s="166">
        <f t="shared" si="48"/>
        <v>2.870967741935484</v>
      </c>
      <c r="P380" s="137">
        <f t="shared" si="49"/>
        <v>0.67741935483870963</v>
      </c>
    </row>
    <row r="381" spans="1:16" s="5" customFormat="1" ht="9.75" customHeight="1" thickBot="1">
      <c r="A381" s="489"/>
      <c r="B381" s="127">
        <v>12</v>
      </c>
      <c r="C381" s="133">
        <v>295</v>
      </c>
      <c r="D381" s="133">
        <v>407</v>
      </c>
      <c r="E381" s="133">
        <v>1</v>
      </c>
      <c r="F381" s="133">
        <v>1</v>
      </c>
      <c r="G381" s="133">
        <v>20</v>
      </c>
      <c r="H381" s="133">
        <v>23</v>
      </c>
      <c r="I381" s="133">
        <v>0</v>
      </c>
      <c r="J381" s="133">
        <v>0</v>
      </c>
      <c r="K381" s="133"/>
      <c r="L381" s="134"/>
      <c r="M381" s="145">
        <f t="shared" si="50"/>
        <v>316</v>
      </c>
      <c r="N381" s="145">
        <f t="shared" si="51"/>
        <v>431</v>
      </c>
      <c r="O381" s="166">
        <f t="shared" si="48"/>
        <v>10.193548387096774</v>
      </c>
      <c r="P381" s="137">
        <f t="shared" si="49"/>
        <v>13.903225806451612</v>
      </c>
    </row>
    <row r="382" spans="1:16" s="5" customFormat="1" ht="9.75" customHeight="1">
      <c r="A382" s="487">
        <v>2015</v>
      </c>
      <c r="B382" s="410">
        <v>1</v>
      </c>
      <c r="C382" s="416">
        <v>377</v>
      </c>
      <c r="D382" s="416">
        <v>515</v>
      </c>
      <c r="E382" s="416">
        <v>0</v>
      </c>
      <c r="F382" s="416">
        <v>0</v>
      </c>
      <c r="G382" s="416">
        <v>32</v>
      </c>
      <c r="H382" s="416">
        <v>33</v>
      </c>
      <c r="I382" s="416">
        <v>9</v>
      </c>
      <c r="J382" s="416">
        <v>0</v>
      </c>
      <c r="K382" s="416"/>
      <c r="L382" s="417"/>
      <c r="M382" s="419">
        <f t="shared" si="50"/>
        <v>418</v>
      </c>
      <c r="N382" s="419">
        <f t="shared" si="51"/>
        <v>548</v>
      </c>
      <c r="O382" s="429">
        <f t="shared" si="48"/>
        <v>13.483870967741936</v>
      </c>
      <c r="P382" s="421">
        <f t="shared" si="49"/>
        <v>17.677419354838708</v>
      </c>
    </row>
    <row r="383" spans="1:16" s="5" customFormat="1" ht="9.75" customHeight="1">
      <c r="A383" s="488"/>
      <c r="B383" s="127">
        <v>2</v>
      </c>
      <c r="C383" s="128">
        <v>302</v>
      </c>
      <c r="D383" s="128">
        <v>481</v>
      </c>
      <c r="E383" s="128">
        <v>0</v>
      </c>
      <c r="F383" s="128">
        <v>0</v>
      </c>
      <c r="G383" s="128">
        <v>28</v>
      </c>
      <c r="H383" s="128">
        <v>37</v>
      </c>
      <c r="I383" s="128">
        <v>2</v>
      </c>
      <c r="J383" s="128">
        <v>2</v>
      </c>
      <c r="K383" s="128"/>
      <c r="L383" s="129"/>
      <c r="M383" s="146">
        <f t="shared" si="50"/>
        <v>332</v>
      </c>
      <c r="N383" s="146">
        <f t="shared" si="51"/>
        <v>520</v>
      </c>
      <c r="O383" s="165">
        <f t="shared" si="48"/>
        <v>10.709677419354838</v>
      </c>
      <c r="P383" s="132">
        <f t="shared" si="49"/>
        <v>16.774193548387096</v>
      </c>
    </row>
    <row r="384" spans="1:16" s="5" customFormat="1" ht="9.75" customHeight="1">
      <c r="A384" s="488"/>
      <c r="B384" s="127">
        <v>3</v>
      </c>
      <c r="C384" s="133">
        <v>186</v>
      </c>
      <c r="D384" s="133">
        <v>285</v>
      </c>
      <c r="E384" s="133">
        <v>0</v>
      </c>
      <c r="F384" s="133">
        <v>0</v>
      </c>
      <c r="G384" s="133">
        <v>6</v>
      </c>
      <c r="H384" s="133">
        <v>3</v>
      </c>
      <c r="I384" s="133">
        <v>0</v>
      </c>
      <c r="J384" s="133">
        <v>0</v>
      </c>
      <c r="K384" s="133"/>
      <c r="L384" s="134"/>
      <c r="M384" s="145">
        <f t="shared" si="50"/>
        <v>192</v>
      </c>
      <c r="N384" s="145">
        <f t="shared" si="51"/>
        <v>288</v>
      </c>
      <c r="O384" s="166">
        <f t="shared" si="48"/>
        <v>6.193548387096774</v>
      </c>
      <c r="P384" s="137">
        <f t="shared" si="49"/>
        <v>9.2903225806451619</v>
      </c>
    </row>
    <row r="385" spans="1:16" s="5" customFormat="1" ht="9.75" customHeight="1">
      <c r="A385" s="488"/>
      <c r="B385" s="127">
        <v>4</v>
      </c>
      <c r="C385" s="128">
        <v>37</v>
      </c>
      <c r="D385" s="128">
        <v>49</v>
      </c>
      <c r="E385" s="128">
        <v>1</v>
      </c>
      <c r="F385" s="128">
        <v>2</v>
      </c>
      <c r="G385" s="128">
        <v>1</v>
      </c>
      <c r="H385" s="128">
        <v>2</v>
      </c>
      <c r="I385" s="128">
        <v>2</v>
      </c>
      <c r="J385" s="128">
        <v>2</v>
      </c>
      <c r="K385" s="128"/>
      <c r="L385" s="129"/>
      <c r="M385" s="146">
        <f t="shared" si="50"/>
        <v>41</v>
      </c>
      <c r="N385" s="146">
        <f t="shared" si="51"/>
        <v>55</v>
      </c>
      <c r="O385" s="165">
        <f t="shared" si="48"/>
        <v>1.3225806451612903</v>
      </c>
      <c r="P385" s="132">
        <f t="shared" si="49"/>
        <v>1.7741935483870968</v>
      </c>
    </row>
    <row r="386" spans="1:16" s="5" customFormat="1" ht="9.75" customHeight="1">
      <c r="A386" s="488"/>
      <c r="B386" s="127">
        <v>5</v>
      </c>
      <c r="C386" s="138">
        <v>10</v>
      </c>
      <c r="D386" s="138">
        <v>7</v>
      </c>
      <c r="E386" s="138">
        <v>0</v>
      </c>
      <c r="F386" s="138">
        <v>0</v>
      </c>
      <c r="G386" s="138">
        <v>1</v>
      </c>
      <c r="H386" s="138">
        <v>0</v>
      </c>
      <c r="I386" s="138">
        <v>0</v>
      </c>
      <c r="J386" s="138">
        <v>0</v>
      </c>
      <c r="K386" s="138"/>
      <c r="L386" s="139"/>
      <c r="M386" s="145">
        <f t="shared" si="50"/>
        <v>11</v>
      </c>
      <c r="N386" s="145">
        <f t="shared" si="51"/>
        <v>7</v>
      </c>
      <c r="O386" s="166">
        <f t="shared" si="48"/>
        <v>0.35483870967741937</v>
      </c>
      <c r="P386" s="137">
        <f t="shared" si="49"/>
        <v>0.22580645161290322</v>
      </c>
    </row>
    <row r="387" spans="1:16" s="5" customFormat="1" ht="9.75" customHeight="1">
      <c r="A387" s="488"/>
      <c r="B387" s="127">
        <v>6</v>
      </c>
      <c r="C387" s="133">
        <v>8</v>
      </c>
      <c r="D387" s="133">
        <v>16</v>
      </c>
      <c r="E387" s="133">
        <v>0</v>
      </c>
      <c r="F387" s="133">
        <v>0</v>
      </c>
      <c r="G387" s="133">
        <v>0</v>
      </c>
      <c r="H387" s="133">
        <v>0</v>
      </c>
      <c r="I387" s="133">
        <v>0</v>
      </c>
      <c r="J387" s="133">
        <v>0</v>
      </c>
      <c r="K387" s="133"/>
      <c r="L387" s="144"/>
      <c r="M387" s="135">
        <f t="shared" si="50"/>
        <v>8</v>
      </c>
      <c r="N387" s="145">
        <f t="shared" si="51"/>
        <v>16</v>
      </c>
      <c r="O387" s="166">
        <f t="shared" si="48"/>
        <v>0.25806451612903225</v>
      </c>
      <c r="P387" s="137">
        <f t="shared" si="49"/>
        <v>0.5161290322580645</v>
      </c>
    </row>
    <row r="388" spans="1:16" s="5" customFormat="1" ht="9.75" customHeight="1">
      <c r="A388" s="488"/>
      <c r="B388" s="127">
        <v>7</v>
      </c>
      <c r="C388" s="133">
        <v>34</v>
      </c>
      <c r="D388" s="133">
        <v>19</v>
      </c>
      <c r="E388" s="133">
        <v>0</v>
      </c>
      <c r="F388" s="133">
        <v>0</v>
      </c>
      <c r="G388" s="133">
        <v>4</v>
      </c>
      <c r="H388" s="133">
        <v>1</v>
      </c>
      <c r="I388" s="133">
        <v>2</v>
      </c>
      <c r="J388" s="133">
        <v>12</v>
      </c>
      <c r="K388" s="133"/>
      <c r="L388" s="144"/>
      <c r="M388" s="135">
        <f t="shared" si="50"/>
        <v>40</v>
      </c>
      <c r="N388" s="145">
        <f t="shared" si="51"/>
        <v>32</v>
      </c>
      <c r="O388" s="166">
        <f t="shared" si="48"/>
        <v>1.2903225806451613</v>
      </c>
      <c r="P388" s="137">
        <f t="shared" si="49"/>
        <v>1.032258064516129</v>
      </c>
    </row>
    <row r="389" spans="1:16" s="5" customFormat="1" ht="9.75" customHeight="1">
      <c r="A389" s="488"/>
      <c r="B389" s="127">
        <v>8</v>
      </c>
      <c r="C389" s="133">
        <v>12</v>
      </c>
      <c r="D389" s="133">
        <v>13</v>
      </c>
      <c r="E389" s="133">
        <v>0</v>
      </c>
      <c r="F389" s="133">
        <v>0</v>
      </c>
      <c r="G389" s="133">
        <v>3</v>
      </c>
      <c r="H389" s="133">
        <v>0</v>
      </c>
      <c r="I389" s="133">
        <v>0</v>
      </c>
      <c r="J389" s="133">
        <v>0</v>
      </c>
      <c r="K389" s="133"/>
      <c r="L389" s="144"/>
      <c r="M389" s="135">
        <f t="shared" si="50"/>
        <v>15</v>
      </c>
      <c r="N389" s="145">
        <f t="shared" si="51"/>
        <v>13</v>
      </c>
      <c r="O389" s="166">
        <f t="shared" si="48"/>
        <v>0.4838709677419355</v>
      </c>
      <c r="P389" s="137">
        <f t="shared" si="49"/>
        <v>0.41935483870967744</v>
      </c>
    </row>
    <row r="390" spans="1:16" s="5" customFormat="1" ht="9.75" customHeight="1">
      <c r="A390" s="488"/>
      <c r="B390" s="127">
        <v>9</v>
      </c>
      <c r="C390" s="133">
        <v>18</v>
      </c>
      <c r="D390" s="133">
        <v>28</v>
      </c>
      <c r="E390" s="133">
        <v>0</v>
      </c>
      <c r="F390" s="133">
        <v>0</v>
      </c>
      <c r="G390" s="133">
        <v>0</v>
      </c>
      <c r="H390" s="133">
        <v>0</v>
      </c>
      <c r="I390" s="133">
        <v>0</v>
      </c>
      <c r="J390" s="133">
        <v>0</v>
      </c>
      <c r="K390" s="133"/>
      <c r="L390" s="144"/>
      <c r="M390" s="135">
        <f t="shared" si="50"/>
        <v>18</v>
      </c>
      <c r="N390" s="145">
        <f t="shared" si="51"/>
        <v>28</v>
      </c>
      <c r="O390" s="166">
        <v>0.58064516129032262</v>
      </c>
      <c r="P390" s="137">
        <v>0.90322580645161288</v>
      </c>
    </row>
    <row r="391" spans="1:16" s="5" customFormat="1" ht="9.75" customHeight="1">
      <c r="A391" s="488"/>
      <c r="B391" s="127">
        <v>10</v>
      </c>
      <c r="C391" s="128">
        <v>15</v>
      </c>
      <c r="D391" s="128">
        <v>13</v>
      </c>
      <c r="E391" s="128">
        <v>0</v>
      </c>
      <c r="F391" s="358">
        <v>0</v>
      </c>
      <c r="G391" s="128">
        <v>3</v>
      </c>
      <c r="H391" s="128">
        <v>1</v>
      </c>
      <c r="I391" s="128">
        <v>0</v>
      </c>
      <c r="J391" s="128">
        <v>0</v>
      </c>
      <c r="K391" s="128"/>
      <c r="L391" s="129"/>
      <c r="M391" s="135">
        <f t="shared" si="50"/>
        <v>18</v>
      </c>
      <c r="N391" s="145">
        <f t="shared" si="51"/>
        <v>14</v>
      </c>
      <c r="O391" s="166">
        <f t="shared" ref="O391:P394" si="52">M391/31</f>
        <v>0.58064516129032262</v>
      </c>
      <c r="P391" s="137">
        <f t="shared" si="52"/>
        <v>0.45161290322580644</v>
      </c>
    </row>
    <row r="392" spans="1:16" s="5" customFormat="1" ht="9.75" customHeight="1">
      <c r="A392" s="488"/>
      <c r="B392" s="127">
        <v>11</v>
      </c>
      <c r="C392" s="365">
        <v>167</v>
      </c>
      <c r="D392" s="365">
        <v>47</v>
      </c>
      <c r="E392" s="365">
        <v>0</v>
      </c>
      <c r="F392" s="365">
        <v>0</v>
      </c>
      <c r="G392" s="365">
        <v>19</v>
      </c>
      <c r="H392" s="365">
        <v>2</v>
      </c>
      <c r="I392" s="365">
        <v>0</v>
      </c>
      <c r="J392" s="365">
        <v>0</v>
      </c>
      <c r="K392" s="365"/>
      <c r="L392" s="366"/>
      <c r="M392" s="135">
        <f t="shared" si="50"/>
        <v>186</v>
      </c>
      <c r="N392" s="145">
        <f t="shared" si="51"/>
        <v>49</v>
      </c>
      <c r="O392" s="166">
        <f t="shared" si="52"/>
        <v>6</v>
      </c>
      <c r="P392" s="137">
        <f t="shared" si="52"/>
        <v>1.5806451612903225</v>
      </c>
    </row>
    <row r="393" spans="1:16" s="5" customFormat="1" ht="9.75" customHeight="1" thickBot="1">
      <c r="A393" s="489"/>
      <c r="B393" s="127">
        <v>12</v>
      </c>
      <c r="C393" s="133">
        <v>534</v>
      </c>
      <c r="D393" s="133">
        <v>656</v>
      </c>
      <c r="E393" s="133">
        <v>2</v>
      </c>
      <c r="F393" s="194">
        <v>2</v>
      </c>
      <c r="G393" s="133">
        <v>57</v>
      </c>
      <c r="H393" s="133">
        <v>53</v>
      </c>
      <c r="I393" s="133">
        <v>2</v>
      </c>
      <c r="J393" s="133">
        <v>4</v>
      </c>
      <c r="K393" s="133"/>
      <c r="L393" s="144"/>
      <c r="M393" s="135">
        <f t="shared" si="50"/>
        <v>595</v>
      </c>
      <c r="N393" s="145">
        <f t="shared" si="51"/>
        <v>715</v>
      </c>
      <c r="O393" s="166">
        <f t="shared" si="52"/>
        <v>19.193548387096776</v>
      </c>
      <c r="P393" s="137">
        <f t="shared" si="52"/>
        <v>23.06451612903226</v>
      </c>
    </row>
    <row r="394" spans="1:16" s="5" customFormat="1" ht="9.75" customHeight="1">
      <c r="A394" s="487">
        <v>2016</v>
      </c>
      <c r="B394" s="410">
        <v>1</v>
      </c>
      <c r="C394" s="416">
        <v>570</v>
      </c>
      <c r="D394" s="416">
        <v>742</v>
      </c>
      <c r="E394" s="416">
        <v>1</v>
      </c>
      <c r="F394" s="416">
        <v>0</v>
      </c>
      <c r="G394" s="416">
        <v>46</v>
      </c>
      <c r="H394" s="416">
        <v>40</v>
      </c>
      <c r="I394" s="416">
        <v>4</v>
      </c>
      <c r="J394" s="416">
        <v>6</v>
      </c>
      <c r="K394" s="416"/>
      <c r="L394" s="417"/>
      <c r="M394" s="419">
        <f t="shared" si="50"/>
        <v>621</v>
      </c>
      <c r="N394" s="419">
        <f t="shared" si="51"/>
        <v>788</v>
      </c>
      <c r="O394" s="429">
        <f t="shared" si="52"/>
        <v>20.032258064516128</v>
      </c>
      <c r="P394" s="421">
        <f t="shared" si="52"/>
        <v>25.419354838709676</v>
      </c>
    </row>
    <row r="395" spans="1:16" s="5" customFormat="1" ht="9.75" customHeight="1">
      <c r="A395" s="488"/>
      <c r="B395" s="127">
        <v>2</v>
      </c>
      <c r="C395" s="128">
        <v>422</v>
      </c>
      <c r="D395" s="128">
        <v>672</v>
      </c>
      <c r="E395" s="128">
        <v>0</v>
      </c>
      <c r="F395" s="128">
        <v>0</v>
      </c>
      <c r="G395" s="128">
        <v>44</v>
      </c>
      <c r="H395" s="128">
        <v>39</v>
      </c>
      <c r="I395" s="128">
        <v>1</v>
      </c>
      <c r="J395" s="128">
        <v>4</v>
      </c>
      <c r="K395" s="128"/>
      <c r="L395" s="129"/>
      <c r="M395" s="146">
        <f t="shared" si="50"/>
        <v>467</v>
      </c>
      <c r="N395" s="146">
        <f t="shared" si="51"/>
        <v>715</v>
      </c>
      <c r="O395" s="131">
        <f>M395/29</f>
        <v>16.103448275862068</v>
      </c>
      <c r="P395" s="132">
        <f>N395/29</f>
        <v>24.655172413793103</v>
      </c>
    </row>
    <row r="396" spans="1:16" s="5" customFormat="1" ht="9.75" customHeight="1">
      <c r="A396" s="488"/>
      <c r="B396" s="127">
        <v>3</v>
      </c>
      <c r="C396" s="133">
        <v>131</v>
      </c>
      <c r="D396" s="133">
        <v>181</v>
      </c>
      <c r="E396" s="133">
        <v>0</v>
      </c>
      <c r="F396" s="133">
        <v>0</v>
      </c>
      <c r="G396" s="133">
        <v>11</v>
      </c>
      <c r="H396" s="133">
        <v>11</v>
      </c>
      <c r="I396" s="133">
        <v>0</v>
      </c>
      <c r="J396" s="133">
        <v>0</v>
      </c>
      <c r="K396" s="133"/>
      <c r="L396" s="134"/>
      <c r="M396" s="145">
        <f t="shared" si="50"/>
        <v>142</v>
      </c>
      <c r="N396" s="145">
        <f t="shared" si="51"/>
        <v>192</v>
      </c>
      <c r="O396" s="131">
        <f>M396/31</f>
        <v>4.580645161290323</v>
      </c>
      <c r="P396" s="132">
        <f>N396/31</f>
        <v>6.193548387096774</v>
      </c>
    </row>
    <row r="397" spans="1:16" s="5" customFormat="1" ht="9.75" customHeight="1">
      <c r="A397" s="488"/>
      <c r="B397" s="127">
        <v>4</v>
      </c>
      <c r="C397" s="128">
        <v>25</v>
      </c>
      <c r="D397" s="128">
        <v>32</v>
      </c>
      <c r="E397" s="128">
        <v>0</v>
      </c>
      <c r="F397" s="128">
        <v>0</v>
      </c>
      <c r="G397" s="128">
        <v>0</v>
      </c>
      <c r="H397" s="128">
        <v>0</v>
      </c>
      <c r="I397" s="128">
        <v>0</v>
      </c>
      <c r="J397" s="128">
        <v>0</v>
      </c>
      <c r="K397" s="128"/>
      <c r="L397" s="129"/>
      <c r="M397" s="146">
        <f t="shared" si="50"/>
        <v>25</v>
      </c>
      <c r="N397" s="146">
        <f t="shared" si="51"/>
        <v>32</v>
      </c>
      <c r="O397" s="131">
        <f>M397/30</f>
        <v>0.83333333333333337</v>
      </c>
      <c r="P397" s="132">
        <f>N397/30</f>
        <v>1.0666666666666667</v>
      </c>
    </row>
    <row r="398" spans="1:16" s="5" customFormat="1" ht="9.75" customHeight="1">
      <c r="A398" s="488"/>
      <c r="B398" s="127">
        <v>5</v>
      </c>
      <c r="C398" s="138">
        <v>14</v>
      </c>
      <c r="D398" s="138">
        <v>9</v>
      </c>
      <c r="E398" s="138">
        <v>0</v>
      </c>
      <c r="F398" s="138">
        <v>0</v>
      </c>
      <c r="G398" s="138">
        <v>4</v>
      </c>
      <c r="H398" s="138">
        <v>0</v>
      </c>
      <c r="I398" s="138">
        <v>0</v>
      </c>
      <c r="J398" s="138">
        <v>0</v>
      </c>
      <c r="K398" s="138"/>
      <c r="L398" s="139"/>
      <c r="M398" s="145">
        <f t="shared" si="50"/>
        <v>18</v>
      </c>
      <c r="N398" s="145">
        <f t="shared" si="51"/>
        <v>9</v>
      </c>
      <c r="O398" s="136">
        <f>M398/31</f>
        <v>0.58064516129032262</v>
      </c>
      <c r="P398" s="137">
        <f>N398/31</f>
        <v>0.29032258064516131</v>
      </c>
    </row>
    <row r="399" spans="1:16" s="5" customFormat="1" ht="9.75" customHeight="1">
      <c r="A399" s="488"/>
      <c r="B399" s="127">
        <v>6</v>
      </c>
      <c r="C399" s="133">
        <v>16</v>
      </c>
      <c r="D399" s="133">
        <v>16</v>
      </c>
      <c r="E399" s="133">
        <v>0</v>
      </c>
      <c r="F399" s="133">
        <v>0</v>
      </c>
      <c r="G399" s="133">
        <v>0</v>
      </c>
      <c r="H399" s="133">
        <v>0</v>
      </c>
      <c r="I399" s="133">
        <v>0</v>
      </c>
      <c r="J399" s="133">
        <v>0</v>
      </c>
      <c r="K399" s="133"/>
      <c r="L399" s="134"/>
      <c r="M399" s="145">
        <f t="shared" si="50"/>
        <v>16</v>
      </c>
      <c r="N399" s="145">
        <f t="shared" si="51"/>
        <v>16</v>
      </c>
      <c r="O399" s="136">
        <f>M399/30</f>
        <v>0.53333333333333333</v>
      </c>
      <c r="P399" s="137">
        <f>N399/30</f>
        <v>0.53333333333333333</v>
      </c>
    </row>
    <row r="400" spans="1:16" s="5" customFormat="1" ht="9.75" customHeight="1">
      <c r="A400" s="488"/>
      <c r="B400" s="127">
        <v>7</v>
      </c>
      <c r="C400" s="133">
        <v>13</v>
      </c>
      <c r="D400" s="133">
        <v>10</v>
      </c>
      <c r="E400" s="133">
        <v>1</v>
      </c>
      <c r="F400" s="133">
        <v>0</v>
      </c>
      <c r="G400" s="133">
        <v>1</v>
      </c>
      <c r="H400" s="133">
        <v>1</v>
      </c>
      <c r="I400" s="133">
        <v>0</v>
      </c>
      <c r="J400" s="133">
        <v>0</v>
      </c>
      <c r="K400" s="133"/>
      <c r="L400" s="134"/>
      <c r="M400" s="145">
        <f t="shared" si="50"/>
        <v>15</v>
      </c>
      <c r="N400" s="145">
        <f t="shared" si="51"/>
        <v>11</v>
      </c>
      <c r="O400" s="136">
        <f>M400/31</f>
        <v>0.4838709677419355</v>
      </c>
      <c r="P400" s="137">
        <f>N400/31</f>
        <v>0.35483870967741937</v>
      </c>
    </row>
    <row r="401" spans="1:16" s="5" customFormat="1" ht="9.75" customHeight="1">
      <c r="A401" s="488"/>
      <c r="B401" s="127">
        <v>8</v>
      </c>
      <c r="C401" s="133">
        <v>17</v>
      </c>
      <c r="D401" s="133">
        <v>15</v>
      </c>
      <c r="E401" s="133">
        <v>0</v>
      </c>
      <c r="F401" s="133">
        <v>0</v>
      </c>
      <c r="G401" s="133">
        <v>0</v>
      </c>
      <c r="H401" s="133">
        <v>0</v>
      </c>
      <c r="I401" s="133">
        <v>1</v>
      </c>
      <c r="J401" s="133">
        <v>0</v>
      </c>
      <c r="K401" s="133"/>
      <c r="L401" s="134"/>
      <c r="M401" s="145">
        <f t="shared" si="50"/>
        <v>18</v>
      </c>
      <c r="N401" s="145">
        <f t="shared" si="51"/>
        <v>15</v>
      </c>
      <c r="O401" s="136">
        <f>M401/31</f>
        <v>0.58064516129032262</v>
      </c>
      <c r="P401" s="137">
        <f>N401/31</f>
        <v>0.4838709677419355</v>
      </c>
    </row>
    <row r="402" spans="1:16" s="5" customFormat="1" ht="9.75" customHeight="1">
      <c r="A402" s="488"/>
      <c r="B402" s="127">
        <v>9</v>
      </c>
      <c r="C402" s="133">
        <v>11</v>
      </c>
      <c r="D402" s="133">
        <v>12</v>
      </c>
      <c r="E402" s="133">
        <v>0</v>
      </c>
      <c r="F402" s="133">
        <v>0</v>
      </c>
      <c r="G402" s="133">
        <v>2</v>
      </c>
      <c r="H402" s="133">
        <v>1</v>
      </c>
      <c r="I402" s="133">
        <v>0</v>
      </c>
      <c r="J402" s="133">
        <v>0</v>
      </c>
      <c r="K402" s="133"/>
      <c r="L402" s="134"/>
      <c r="M402" s="145">
        <f t="shared" si="50"/>
        <v>13</v>
      </c>
      <c r="N402" s="145">
        <f t="shared" si="51"/>
        <v>13</v>
      </c>
      <c r="O402" s="136">
        <f>M402/30</f>
        <v>0.43333333333333335</v>
      </c>
      <c r="P402" s="137">
        <f>N402/30</f>
        <v>0.43333333333333335</v>
      </c>
    </row>
    <row r="403" spans="1:16" s="5" customFormat="1" ht="9.75" customHeight="1">
      <c r="A403" s="488"/>
      <c r="B403" s="127">
        <v>10</v>
      </c>
      <c r="C403" s="128">
        <v>16</v>
      </c>
      <c r="D403" s="128">
        <v>17</v>
      </c>
      <c r="E403" s="128">
        <v>0</v>
      </c>
      <c r="F403" s="358">
        <v>0</v>
      </c>
      <c r="G403" s="128">
        <v>0</v>
      </c>
      <c r="H403" s="128">
        <v>0</v>
      </c>
      <c r="I403" s="128">
        <v>0</v>
      </c>
      <c r="J403" s="128">
        <v>0</v>
      </c>
      <c r="K403" s="128"/>
      <c r="L403" s="129"/>
      <c r="M403" s="145">
        <f t="shared" si="50"/>
        <v>16</v>
      </c>
      <c r="N403" s="145">
        <f t="shared" si="51"/>
        <v>17</v>
      </c>
      <c r="O403" s="136">
        <f>M403/31</f>
        <v>0.5161290322580645</v>
      </c>
      <c r="P403" s="137">
        <f>N403/31</f>
        <v>0.54838709677419351</v>
      </c>
    </row>
    <row r="404" spans="1:16" s="5" customFormat="1" ht="9.75" customHeight="1">
      <c r="A404" s="488"/>
      <c r="B404" s="127">
        <v>11</v>
      </c>
      <c r="C404" s="365">
        <v>146</v>
      </c>
      <c r="D404" s="365">
        <v>35</v>
      </c>
      <c r="E404" s="365">
        <v>0</v>
      </c>
      <c r="F404" s="365">
        <v>0</v>
      </c>
      <c r="G404" s="365">
        <v>7</v>
      </c>
      <c r="H404" s="365">
        <v>1</v>
      </c>
      <c r="I404" s="365">
        <v>4</v>
      </c>
      <c r="J404" s="365">
        <v>0</v>
      </c>
      <c r="K404" s="365"/>
      <c r="L404" s="366"/>
      <c r="M404" s="145">
        <f t="shared" si="50"/>
        <v>157</v>
      </c>
      <c r="N404" s="145">
        <f t="shared" si="51"/>
        <v>36</v>
      </c>
      <c r="O404" s="136">
        <f>M404/30</f>
        <v>5.2333333333333334</v>
      </c>
      <c r="P404" s="137">
        <f>N404/30</f>
        <v>1.2</v>
      </c>
    </row>
    <row r="405" spans="1:16" s="5" customFormat="1" ht="9.75" customHeight="1" thickBot="1">
      <c r="A405" s="489"/>
      <c r="B405" s="127">
        <v>12</v>
      </c>
      <c r="C405" s="182">
        <v>355</v>
      </c>
      <c r="D405" s="182">
        <v>407</v>
      </c>
      <c r="E405" s="182">
        <v>0</v>
      </c>
      <c r="F405" s="195">
        <v>0</v>
      </c>
      <c r="G405" s="182">
        <v>45</v>
      </c>
      <c r="H405" s="182">
        <v>28</v>
      </c>
      <c r="I405" s="182">
        <v>8</v>
      </c>
      <c r="J405" s="182">
        <v>5</v>
      </c>
      <c r="K405" s="182"/>
      <c r="L405" s="183"/>
      <c r="M405" s="145">
        <f t="shared" si="50"/>
        <v>408</v>
      </c>
      <c r="N405" s="145">
        <f t="shared" si="51"/>
        <v>440</v>
      </c>
      <c r="O405" s="136">
        <f>M405/31</f>
        <v>13.161290322580646</v>
      </c>
      <c r="P405" s="137">
        <f>N405/31</f>
        <v>14.193548387096774</v>
      </c>
    </row>
    <row r="406" spans="1:16" s="4" customFormat="1" ht="12" customHeight="1">
      <c r="A406" s="473">
        <v>2017</v>
      </c>
      <c r="B406" s="410">
        <v>1</v>
      </c>
      <c r="C406" s="422">
        <v>487</v>
      </c>
      <c r="D406" s="422">
        <v>685</v>
      </c>
      <c r="E406" s="422">
        <v>0</v>
      </c>
      <c r="F406" s="422">
        <v>0</v>
      </c>
      <c r="G406" s="422">
        <v>35</v>
      </c>
      <c r="H406" s="422">
        <v>30</v>
      </c>
      <c r="I406" s="422">
        <v>7</v>
      </c>
      <c r="J406" s="422">
        <v>8</v>
      </c>
      <c r="K406" s="422"/>
      <c r="L406" s="423"/>
      <c r="M406" s="425">
        <f t="shared" si="50"/>
        <v>529</v>
      </c>
      <c r="N406" s="425">
        <f t="shared" si="51"/>
        <v>723</v>
      </c>
      <c r="O406" s="430">
        <f>M406/31</f>
        <v>17.06451612903226</v>
      </c>
      <c r="P406" s="427">
        <f>N406/31</f>
        <v>23.322580645161292</v>
      </c>
    </row>
    <row r="407" spans="1:16" s="4" customFormat="1" ht="12" customHeight="1">
      <c r="A407" s="474"/>
      <c r="B407" s="127">
        <v>2</v>
      </c>
      <c r="C407" s="147">
        <v>362</v>
      </c>
      <c r="D407" s="147">
        <v>567</v>
      </c>
      <c r="E407" s="147">
        <v>1</v>
      </c>
      <c r="F407" s="147">
        <v>3</v>
      </c>
      <c r="G407" s="147">
        <v>22</v>
      </c>
      <c r="H407" s="147">
        <v>34</v>
      </c>
      <c r="I407" s="147">
        <v>5</v>
      </c>
      <c r="J407" s="147">
        <v>13</v>
      </c>
      <c r="K407" s="147"/>
      <c r="L407" s="148"/>
      <c r="M407" s="150">
        <f t="shared" si="50"/>
        <v>390</v>
      </c>
      <c r="N407" s="150">
        <f t="shared" si="51"/>
        <v>617</v>
      </c>
      <c r="O407" s="151">
        <f>M407/28</f>
        <v>13.928571428571429</v>
      </c>
      <c r="P407" s="152">
        <f>N407/28</f>
        <v>22.035714285714285</v>
      </c>
    </row>
    <row r="408" spans="1:16" s="4" customFormat="1" ht="12" customHeight="1">
      <c r="A408" s="474"/>
      <c r="B408" s="127">
        <v>3</v>
      </c>
      <c r="C408" s="158">
        <v>152</v>
      </c>
      <c r="D408" s="158">
        <v>211</v>
      </c>
      <c r="E408" s="158">
        <v>0</v>
      </c>
      <c r="F408" s="158">
        <v>0</v>
      </c>
      <c r="G408" s="158">
        <v>16</v>
      </c>
      <c r="H408" s="158">
        <v>20</v>
      </c>
      <c r="I408" s="158">
        <v>1</v>
      </c>
      <c r="J408" s="158">
        <v>0</v>
      </c>
      <c r="K408" s="158"/>
      <c r="L408" s="176"/>
      <c r="M408" s="155">
        <f t="shared" si="50"/>
        <v>169</v>
      </c>
      <c r="N408" s="155">
        <f t="shared" si="51"/>
        <v>231</v>
      </c>
      <c r="O408" s="151">
        <f>M408/31</f>
        <v>5.4516129032258061</v>
      </c>
      <c r="P408" s="152">
        <f>N408/31</f>
        <v>7.4516129032258061</v>
      </c>
    </row>
    <row r="409" spans="1:16" s="4" customFormat="1" ht="12" customHeight="1">
      <c r="A409" s="474"/>
      <c r="B409" s="127">
        <v>4</v>
      </c>
      <c r="C409" s="147">
        <v>47</v>
      </c>
      <c r="D409" s="147">
        <v>58</v>
      </c>
      <c r="E409" s="147">
        <v>0</v>
      </c>
      <c r="F409" s="147">
        <v>0</v>
      </c>
      <c r="G409" s="147">
        <v>6</v>
      </c>
      <c r="H409" s="147">
        <v>7</v>
      </c>
      <c r="I409" s="147">
        <v>0</v>
      </c>
      <c r="J409" s="147">
        <v>0</v>
      </c>
      <c r="K409" s="147"/>
      <c r="L409" s="148"/>
      <c r="M409" s="150">
        <f t="shared" si="50"/>
        <v>53</v>
      </c>
      <c r="N409" s="150">
        <f t="shared" si="51"/>
        <v>65</v>
      </c>
      <c r="O409" s="151">
        <f>M409/30</f>
        <v>1.7666666666666666</v>
      </c>
      <c r="P409" s="152">
        <f>N409/30</f>
        <v>2.1666666666666665</v>
      </c>
    </row>
    <row r="410" spans="1:16" s="4" customFormat="1" ht="12" customHeight="1">
      <c r="A410" s="474"/>
      <c r="B410" s="127">
        <v>5</v>
      </c>
      <c r="C410" s="153">
        <v>10</v>
      </c>
      <c r="D410" s="153">
        <v>17</v>
      </c>
      <c r="E410" s="153">
        <v>0</v>
      </c>
      <c r="F410" s="153">
        <v>0</v>
      </c>
      <c r="G410" s="153">
        <v>1</v>
      </c>
      <c r="H410" s="153">
        <v>2</v>
      </c>
      <c r="I410" s="153">
        <v>0</v>
      </c>
      <c r="J410" s="153">
        <v>0</v>
      </c>
      <c r="K410" s="153">
        <v>2</v>
      </c>
      <c r="L410" s="300">
        <v>0</v>
      </c>
      <c r="M410" s="155">
        <f t="shared" ref="M410:M437" si="53">+C410+E410+G410+I410+K410</f>
        <v>13</v>
      </c>
      <c r="N410" s="155">
        <f t="shared" ref="N410:N437" si="54">+D410+F410+H410+J410+L410</f>
        <v>19</v>
      </c>
      <c r="O410" s="156">
        <f>M410/31</f>
        <v>0.41935483870967744</v>
      </c>
      <c r="P410" s="157">
        <f>N410/31</f>
        <v>0.61290322580645162</v>
      </c>
    </row>
    <row r="411" spans="1:16" s="4" customFormat="1" ht="12" customHeight="1">
      <c r="A411" s="474"/>
      <c r="B411" s="127">
        <v>6</v>
      </c>
      <c r="C411" s="158">
        <v>13</v>
      </c>
      <c r="D411" s="158">
        <v>9</v>
      </c>
      <c r="E411" s="158">
        <v>1</v>
      </c>
      <c r="F411" s="158">
        <v>0</v>
      </c>
      <c r="G411" s="158">
        <v>1</v>
      </c>
      <c r="H411" s="158">
        <v>0</v>
      </c>
      <c r="I411" s="158">
        <v>0</v>
      </c>
      <c r="J411" s="158">
        <v>0</v>
      </c>
      <c r="K411" s="158">
        <v>0</v>
      </c>
      <c r="L411" s="176">
        <v>0</v>
      </c>
      <c r="M411" s="155">
        <f t="shared" si="53"/>
        <v>15</v>
      </c>
      <c r="N411" s="155">
        <f t="shared" si="54"/>
        <v>9</v>
      </c>
      <c r="O411" s="156">
        <f>M411/30</f>
        <v>0.5</v>
      </c>
      <c r="P411" s="157">
        <f>N411/30</f>
        <v>0.3</v>
      </c>
    </row>
    <row r="412" spans="1:16" s="4" customFormat="1" ht="12" customHeight="1">
      <c r="A412" s="474"/>
      <c r="B412" s="127">
        <v>7</v>
      </c>
      <c r="C412" s="158">
        <v>14</v>
      </c>
      <c r="D412" s="158">
        <v>28</v>
      </c>
      <c r="E412" s="158">
        <v>0</v>
      </c>
      <c r="F412" s="158">
        <v>1</v>
      </c>
      <c r="G412" s="158">
        <v>0</v>
      </c>
      <c r="H412" s="158">
        <v>2</v>
      </c>
      <c r="I412" s="158">
        <v>0</v>
      </c>
      <c r="J412" s="158">
        <v>0</v>
      </c>
      <c r="K412" s="158">
        <v>0</v>
      </c>
      <c r="L412" s="176">
        <v>0</v>
      </c>
      <c r="M412" s="155">
        <f t="shared" si="53"/>
        <v>14</v>
      </c>
      <c r="N412" s="155">
        <f t="shared" si="54"/>
        <v>31</v>
      </c>
      <c r="O412" s="156">
        <f>M412/31</f>
        <v>0.45161290322580644</v>
      </c>
      <c r="P412" s="157">
        <f>N412/31</f>
        <v>1</v>
      </c>
    </row>
    <row r="413" spans="1:16" s="4" customFormat="1" ht="12" customHeight="1">
      <c r="A413" s="474"/>
      <c r="B413" s="127">
        <v>8</v>
      </c>
      <c r="C413" s="158">
        <v>12</v>
      </c>
      <c r="D413" s="158">
        <v>12</v>
      </c>
      <c r="E413" s="158">
        <v>2</v>
      </c>
      <c r="F413" s="158">
        <v>0</v>
      </c>
      <c r="G413" s="158">
        <v>0</v>
      </c>
      <c r="H413" s="158">
        <v>0</v>
      </c>
      <c r="I413" s="158">
        <v>0</v>
      </c>
      <c r="J413" s="158">
        <v>0</v>
      </c>
      <c r="K413" s="158">
        <v>0</v>
      </c>
      <c r="L413" s="176">
        <v>0</v>
      </c>
      <c r="M413" s="155">
        <f t="shared" si="53"/>
        <v>14</v>
      </c>
      <c r="N413" s="155">
        <f t="shared" si="54"/>
        <v>12</v>
      </c>
      <c r="O413" s="156">
        <f>M413/31</f>
        <v>0.45161290322580644</v>
      </c>
      <c r="P413" s="157">
        <f>N413/31</f>
        <v>0.38709677419354838</v>
      </c>
    </row>
    <row r="414" spans="1:16" s="4" customFormat="1" ht="12" customHeight="1">
      <c r="A414" s="474"/>
      <c r="B414" s="127">
        <v>9</v>
      </c>
      <c r="C414" s="158">
        <v>9</v>
      </c>
      <c r="D414" s="158">
        <v>13</v>
      </c>
      <c r="E414" s="158">
        <v>1</v>
      </c>
      <c r="F414" s="158">
        <v>4</v>
      </c>
      <c r="G414" s="158">
        <v>3</v>
      </c>
      <c r="H414" s="158">
        <v>1</v>
      </c>
      <c r="I414" s="158">
        <v>0</v>
      </c>
      <c r="J414" s="158">
        <v>0</v>
      </c>
      <c r="K414" s="158">
        <v>0</v>
      </c>
      <c r="L414" s="176">
        <v>0</v>
      </c>
      <c r="M414" s="155">
        <f t="shared" si="53"/>
        <v>13</v>
      </c>
      <c r="N414" s="155">
        <f t="shared" si="54"/>
        <v>18</v>
      </c>
      <c r="O414" s="156">
        <f>M414/30</f>
        <v>0.43333333333333335</v>
      </c>
      <c r="P414" s="157">
        <f>N414/30</f>
        <v>0.6</v>
      </c>
    </row>
    <row r="415" spans="1:16" s="4" customFormat="1" ht="12" customHeight="1">
      <c r="A415" s="474"/>
      <c r="B415" s="127">
        <v>10</v>
      </c>
      <c r="C415" s="147">
        <v>14</v>
      </c>
      <c r="D415" s="147">
        <v>19</v>
      </c>
      <c r="E415" s="147">
        <v>0</v>
      </c>
      <c r="F415" s="181">
        <v>0</v>
      </c>
      <c r="G415" s="147">
        <v>1</v>
      </c>
      <c r="H415" s="147">
        <v>3</v>
      </c>
      <c r="I415" s="147">
        <v>0</v>
      </c>
      <c r="J415" s="147">
        <v>0</v>
      </c>
      <c r="K415" s="147">
        <v>0</v>
      </c>
      <c r="L415" s="148">
        <v>0</v>
      </c>
      <c r="M415" s="155">
        <f t="shared" si="53"/>
        <v>15</v>
      </c>
      <c r="N415" s="155">
        <f t="shared" si="54"/>
        <v>22</v>
      </c>
      <c r="O415" s="156">
        <f>M415/31</f>
        <v>0.4838709677419355</v>
      </c>
      <c r="P415" s="157">
        <f>N415/31</f>
        <v>0.70967741935483875</v>
      </c>
    </row>
    <row r="416" spans="1:16" s="4" customFormat="1" ht="12" customHeight="1">
      <c r="A416" s="474"/>
      <c r="B416" s="127">
        <v>11</v>
      </c>
      <c r="C416" s="367">
        <v>142</v>
      </c>
      <c r="D416" s="367">
        <v>46</v>
      </c>
      <c r="E416" s="367">
        <v>0</v>
      </c>
      <c r="F416" s="367">
        <v>0</v>
      </c>
      <c r="G416" s="367">
        <v>19</v>
      </c>
      <c r="H416" s="367">
        <v>5</v>
      </c>
      <c r="I416" s="367">
        <v>0</v>
      </c>
      <c r="J416" s="367">
        <v>0</v>
      </c>
      <c r="K416" s="367">
        <v>0</v>
      </c>
      <c r="L416" s="368">
        <v>0</v>
      </c>
      <c r="M416" s="155">
        <f t="shared" si="53"/>
        <v>161</v>
      </c>
      <c r="N416" s="155">
        <f t="shared" si="54"/>
        <v>51</v>
      </c>
      <c r="O416" s="156">
        <f>M416/30</f>
        <v>5.3666666666666663</v>
      </c>
      <c r="P416" s="157">
        <f>N416/30</f>
        <v>1.7</v>
      </c>
    </row>
    <row r="417" spans="1:16" s="4" customFormat="1" ht="12" customHeight="1" thickBot="1">
      <c r="A417" s="475"/>
      <c r="B417" s="127">
        <v>12</v>
      </c>
      <c r="C417" s="187">
        <v>432</v>
      </c>
      <c r="D417" s="187">
        <v>906</v>
      </c>
      <c r="E417" s="187">
        <v>3</v>
      </c>
      <c r="F417" s="188">
        <v>5</v>
      </c>
      <c r="G417" s="187">
        <v>42</v>
      </c>
      <c r="H417" s="187">
        <v>79</v>
      </c>
      <c r="I417" s="187">
        <v>4</v>
      </c>
      <c r="J417" s="187">
        <v>0</v>
      </c>
      <c r="K417" s="187">
        <v>0</v>
      </c>
      <c r="L417" s="189">
        <v>0</v>
      </c>
      <c r="M417" s="155">
        <f t="shared" si="53"/>
        <v>481</v>
      </c>
      <c r="N417" s="155">
        <f t="shared" si="54"/>
        <v>990</v>
      </c>
      <c r="O417" s="156">
        <f>M417/31</f>
        <v>15.516129032258064</v>
      </c>
      <c r="P417" s="157">
        <f>N417/31</f>
        <v>31.93548387096774</v>
      </c>
    </row>
    <row r="418" spans="1:16" s="4" customFormat="1" ht="12" customHeight="1">
      <c r="A418" s="473">
        <v>2018</v>
      </c>
      <c r="B418" s="410">
        <v>1</v>
      </c>
      <c r="C418" s="422">
        <v>681</v>
      </c>
      <c r="D418" s="422">
        <v>1298</v>
      </c>
      <c r="E418" s="422">
        <v>1</v>
      </c>
      <c r="F418" s="422">
        <v>1</v>
      </c>
      <c r="G418" s="422">
        <v>46</v>
      </c>
      <c r="H418" s="422">
        <v>103</v>
      </c>
      <c r="I418" s="422">
        <v>16</v>
      </c>
      <c r="J418" s="422">
        <v>20</v>
      </c>
      <c r="K418" s="422">
        <v>0</v>
      </c>
      <c r="L418" s="423">
        <v>0</v>
      </c>
      <c r="M418" s="425">
        <f t="shared" si="53"/>
        <v>744</v>
      </c>
      <c r="N418" s="425">
        <f t="shared" si="54"/>
        <v>1422</v>
      </c>
      <c r="O418" s="430">
        <f>M418/31</f>
        <v>24</v>
      </c>
      <c r="P418" s="427">
        <f>N418/31</f>
        <v>45.87096774193548</v>
      </c>
    </row>
    <row r="419" spans="1:16" s="4" customFormat="1" ht="12" customHeight="1">
      <c r="A419" s="474"/>
      <c r="B419" s="127">
        <v>2</v>
      </c>
      <c r="C419" s="147">
        <v>511</v>
      </c>
      <c r="D419" s="147">
        <v>1472</v>
      </c>
      <c r="E419" s="147">
        <v>0</v>
      </c>
      <c r="F419" s="147">
        <v>0</v>
      </c>
      <c r="G419" s="147">
        <v>74</v>
      </c>
      <c r="H419" s="147">
        <v>140</v>
      </c>
      <c r="I419" s="147">
        <v>9</v>
      </c>
      <c r="J419" s="147">
        <v>35</v>
      </c>
      <c r="K419" s="147">
        <v>1</v>
      </c>
      <c r="L419" s="148">
        <v>0</v>
      </c>
      <c r="M419" s="150">
        <f t="shared" si="53"/>
        <v>595</v>
      </c>
      <c r="N419" s="150">
        <f t="shared" si="54"/>
        <v>1647</v>
      </c>
      <c r="O419" s="151">
        <f>M419/28</f>
        <v>21.25</v>
      </c>
      <c r="P419" s="152">
        <f>N419/28</f>
        <v>58.821428571428569</v>
      </c>
    </row>
    <row r="420" spans="1:16" s="4" customFormat="1" ht="12" customHeight="1">
      <c r="A420" s="474"/>
      <c r="B420" s="127">
        <v>3</v>
      </c>
      <c r="C420" s="158">
        <v>288</v>
      </c>
      <c r="D420" s="158">
        <v>694</v>
      </c>
      <c r="E420" s="158">
        <v>0</v>
      </c>
      <c r="F420" s="158">
        <v>0</v>
      </c>
      <c r="G420" s="158">
        <v>43</v>
      </c>
      <c r="H420" s="158">
        <v>144</v>
      </c>
      <c r="I420" s="158">
        <v>5</v>
      </c>
      <c r="J420" s="158">
        <v>15</v>
      </c>
      <c r="K420" s="158">
        <v>0</v>
      </c>
      <c r="L420" s="176">
        <v>2</v>
      </c>
      <c r="M420" s="155">
        <f t="shared" si="53"/>
        <v>336</v>
      </c>
      <c r="N420" s="155">
        <f t="shared" si="54"/>
        <v>855</v>
      </c>
      <c r="O420" s="151">
        <f>M420/31</f>
        <v>10.838709677419354</v>
      </c>
      <c r="P420" s="152">
        <f>N420/31</f>
        <v>27.580645161290324</v>
      </c>
    </row>
    <row r="421" spans="1:16" s="4" customFormat="1" ht="12" customHeight="1">
      <c r="A421" s="474"/>
      <c r="B421" s="127">
        <v>4</v>
      </c>
      <c r="C421" s="147">
        <v>36</v>
      </c>
      <c r="D421" s="147">
        <v>92</v>
      </c>
      <c r="E421" s="147">
        <v>2</v>
      </c>
      <c r="F421" s="147">
        <v>0</v>
      </c>
      <c r="G421" s="147">
        <v>2</v>
      </c>
      <c r="H421" s="147">
        <v>6</v>
      </c>
      <c r="I421" s="147">
        <v>1</v>
      </c>
      <c r="J421" s="147">
        <v>1</v>
      </c>
      <c r="K421" s="147">
        <v>0</v>
      </c>
      <c r="L421" s="148">
        <v>0</v>
      </c>
      <c r="M421" s="150">
        <f t="shared" si="53"/>
        <v>41</v>
      </c>
      <c r="N421" s="150">
        <f t="shared" si="54"/>
        <v>99</v>
      </c>
      <c r="O421" s="151">
        <f>M421/30</f>
        <v>1.3666666666666667</v>
      </c>
      <c r="P421" s="152">
        <f>N421/30</f>
        <v>3.3</v>
      </c>
    </row>
    <row r="422" spans="1:16" s="4" customFormat="1" ht="12" customHeight="1">
      <c r="A422" s="474"/>
      <c r="B422" s="127">
        <v>5</v>
      </c>
      <c r="C422" s="153">
        <v>17</v>
      </c>
      <c r="D422" s="153">
        <v>29</v>
      </c>
      <c r="E422" s="153">
        <v>1</v>
      </c>
      <c r="F422" s="153">
        <v>6</v>
      </c>
      <c r="G422" s="153">
        <v>4</v>
      </c>
      <c r="H422" s="153">
        <v>4</v>
      </c>
      <c r="I422" s="153">
        <v>1</v>
      </c>
      <c r="J422" s="153">
        <v>9</v>
      </c>
      <c r="K422" s="153">
        <v>0</v>
      </c>
      <c r="L422" s="300">
        <v>0</v>
      </c>
      <c r="M422" s="155">
        <f t="shared" si="53"/>
        <v>23</v>
      </c>
      <c r="N422" s="155">
        <f t="shared" si="54"/>
        <v>48</v>
      </c>
      <c r="O422" s="156">
        <f>M422/31</f>
        <v>0.74193548387096775</v>
      </c>
      <c r="P422" s="157">
        <f>N422/31</f>
        <v>1.5483870967741935</v>
      </c>
    </row>
    <row r="423" spans="1:16" s="4" customFormat="1" ht="12" customHeight="1">
      <c r="A423" s="474"/>
      <c r="B423" s="127">
        <v>6</v>
      </c>
      <c r="C423" s="158">
        <v>18</v>
      </c>
      <c r="D423" s="158">
        <v>26</v>
      </c>
      <c r="E423" s="158">
        <v>1</v>
      </c>
      <c r="F423" s="158">
        <v>3</v>
      </c>
      <c r="G423" s="158">
        <v>2</v>
      </c>
      <c r="H423" s="158">
        <v>8</v>
      </c>
      <c r="I423" s="158">
        <v>0</v>
      </c>
      <c r="J423" s="158">
        <v>2</v>
      </c>
      <c r="K423" s="158">
        <v>0</v>
      </c>
      <c r="L423" s="176">
        <v>0</v>
      </c>
      <c r="M423" s="155">
        <f t="shared" si="53"/>
        <v>21</v>
      </c>
      <c r="N423" s="155">
        <f t="shared" si="54"/>
        <v>39</v>
      </c>
      <c r="O423" s="156">
        <f>M423/30</f>
        <v>0.7</v>
      </c>
      <c r="P423" s="157">
        <f>N423/30</f>
        <v>1.3</v>
      </c>
    </row>
    <row r="424" spans="1:16" s="4" customFormat="1" ht="12" customHeight="1">
      <c r="A424" s="474"/>
      <c r="B424" s="127">
        <v>7</v>
      </c>
      <c r="C424" s="158">
        <v>36</v>
      </c>
      <c r="D424" s="158">
        <v>63</v>
      </c>
      <c r="E424" s="158">
        <v>3</v>
      </c>
      <c r="F424" s="158">
        <v>3</v>
      </c>
      <c r="G424" s="158">
        <v>5</v>
      </c>
      <c r="H424" s="158">
        <v>19</v>
      </c>
      <c r="I424" s="158">
        <v>1</v>
      </c>
      <c r="J424" s="158">
        <v>2</v>
      </c>
      <c r="K424" s="158">
        <v>0</v>
      </c>
      <c r="L424" s="176">
        <v>0</v>
      </c>
      <c r="M424" s="155">
        <f t="shared" si="53"/>
        <v>45</v>
      </c>
      <c r="N424" s="155">
        <f t="shared" si="54"/>
        <v>87</v>
      </c>
      <c r="O424" s="156">
        <f>M424/31</f>
        <v>1.4516129032258065</v>
      </c>
      <c r="P424" s="157">
        <f>N424/31</f>
        <v>2.806451612903226</v>
      </c>
    </row>
    <row r="425" spans="1:16" s="4" customFormat="1" ht="12" customHeight="1">
      <c r="A425" s="474"/>
      <c r="B425" s="127">
        <v>8</v>
      </c>
      <c r="C425" s="158">
        <v>20</v>
      </c>
      <c r="D425" s="158">
        <v>55</v>
      </c>
      <c r="E425" s="158">
        <v>0</v>
      </c>
      <c r="F425" s="158">
        <v>0</v>
      </c>
      <c r="G425" s="158">
        <v>8</v>
      </c>
      <c r="H425" s="158">
        <v>9</v>
      </c>
      <c r="I425" s="158">
        <v>1</v>
      </c>
      <c r="J425" s="158">
        <v>3</v>
      </c>
      <c r="K425" s="158">
        <v>2</v>
      </c>
      <c r="L425" s="176">
        <v>4</v>
      </c>
      <c r="M425" s="155">
        <f t="shared" si="53"/>
        <v>31</v>
      </c>
      <c r="N425" s="155">
        <f t="shared" si="54"/>
        <v>71</v>
      </c>
      <c r="O425" s="156">
        <f>M425/31</f>
        <v>1</v>
      </c>
      <c r="P425" s="157">
        <f>N425/31</f>
        <v>2.2903225806451615</v>
      </c>
    </row>
    <row r="426" spans="1:16" s="4" customFormat="1" ht="12" customHeight="1">
      <c r="A426" s="474"/>
      <c r="B426" s="127">
        <v>9</v>
      </c>
      <c r="C426" s="158">
        <v>18</v>
      </c>
      <c r="D426" s="158">
        <v>25</v>
      </c>
      <c r="E426" s="158">
        <v>1</v>
      </c>
      <c r="F426" s="158">
        <v>1</v>
      </c>
      <c r="G426" s="158">
        <v>4</v>
      </c>
      <c r="H426" s="158">
        <v>7</v>
      </c>
      <c r="I426" s="158">
        <v>1</v>
      </c>
      <c r="J426" s="158">
        <v>2</v>
      </c>
      <c r="K426" s="158">
        <v>0</v>
      </c>
      <c r="L426" s="176">
        <v>0</v>
      </c>
      <c r="M426" s="155">
        <f t="shared" si="53"/>
        <v>24</v>
      </c>
      <c r="N426" s="155">
        <f t="shared" si="54"/>
        <v>35</v>
      </c>
      <c r="O426" s="156">
        <f>M426/30</f>
        <v>0.8</v>
      </c>
      <c r="P426" s="157">
        <f>N426/30</f>
        <v>1.1666666666666667</v>
      </c>
    </row>
    <row r="427" spans="1:16" s="4" customFormat="1" ht="12" customHeight="1">
      <c r="A427" s="474"/>
      <c r="B427" s="127">
        <v>10</v>
      </c>
      <c r="C427" s="147">
        <v>21</v>
      </c>
      <c r="D427" s="147">
        <v>49</v>
      </c>
      <c r="E427" s="147">
        <v>1</v>
      </c>
      <c r="F427" s="181">
        <v>2</v>
      </c>
      <c r="G427" s="147">
        <v>3</v>
      </c>
      <c r="H427" s="147">
        <v>10</v>
      </c>
      <c r="I427" s="147">
        <v>0</v>
      </c>
      <c r="J427" s="147">
        <v>0</v>
      </c>
      <c r="K427" s="147">
        <v>0</v>
      </c>
      <c r="L427" s="148">
        <v>0</v>
      </c>
      <c r="M427" s="155">
        <f t="shared" si="53"/>
        <v>25</v>
      </c>
      <c r="N427" s="155">
        <f t="shared" si="54"/>
        <v>61</v>
      </c>
      <c r="O427" s="156">
        <f>M427/31</f>
        <v>0.80645161290322576</v>
      </c>
      <c r="P427" s="157">
        <f>N427/31</f>
        <v>1.967741935483871</v>
      </c>
    </row>
    <row r="428" spans="1:16" s="4" customFormat="1" ht="12" customHeight="1">
      <c r="A428" s="474"/>
      <c r="B428" s="127">
        <v>11</v>
      </c>
      <c r="C428" s="367">
        <v>127</v>
      </c>
      <c r="D428" s="367">
        <v>69</v>
      </c>
      <c r="E428" s="367">
        <v>0</v>
      </c>
      <c r="F428" s="367">
        <v>0</v>
      </c>
      <c r="G428" s="367">
        <v>25</v>
      </c>
      <c r="H428" s="367">
        <v>9</v>
      </c>
      <c r="I428" s="367">
        <v>2</v>
      </c>
      <c r="J428" s="367">
        <v>0</v>
      </c>
      <c r="K428" s="367">
        <v>0</v>
      </c>
      <c r="L428" s="368">
        <v>0</v>
      </c>
      <c r="M428" s="155">
        <f t="shared" si="53"/>
        <v>154</v>
      </c>
      <c r="N428" s="155">
        <f t="shared" si="54"/>
        <v>78</v>
      </c>
      <c r="O428" s="156">
        <f>M428/30</f>
        <v>5.1333333333333337</v>
      </c>
      <c r="P428" s="157">
        <f>N428/30</f>
        <v>2.6</v>
      </c>
    </row>
    <row r="429" spans="1:16" s="4" customFormat="1" ht="12" customHeight="1" thickBot="1">
      <c r="A429" s="475"/>
      <c r="B429" s="127">
        <v>12</v>
      </c>
      <c r="C429" s="187">
        <v>535</v>
      </c>
      <c r="D429" s="187">
        <v>869</v>
      </c>
      <c r="E429" s="187">
        <v>2</v>
      </c>
      <c r="F429" s="188">
        <v>0</v>
      </c>
      <c r="G429" s="187">
        <v>88</v>
      </c>
      <c r="H429" s="187">
        <v>98</v>
      </c>
      <c r="I429" s="187">
        <v>19</v>
      </c>
      <c r="J429" s="187">
        <v>26</v>
      </c>
      <c r="K429" s="187">
        <v>0</v>
      </c>
      <c r="L429" s="189">
        <v>0</v>
      </c>
      <c r="M429" s="155">
        <f t="shared" si="53"/>
        <v>644</v>
      </c>
      <c r="N429" s="155">
        <f t="shared" si="54"/>
        <v>993</v>
      </c>
      <c r="O429" s="156">
        <f>M429/31</f>
        <v>20.774193548387096</v>
      </c>
      <c r="P429" s="157">
        <f>N429/31</f>
        <v>32.032258064516128</v>
      </c>
    </row>
    <row r="430" spans="1:16" s="4" customFormat="1" ht="12" customHeight="1">
      <c r="A430" s="473">
        <v>2019</v>
      </c>
      <c r="B430" s="410">
        <v>1</v>
      </c>
      <c r="C430" s="422">
        <v>1001</v>
      </c>
      <c r="D430" s="422">
        <v>1935</v>
      </c>
      <c r="E430" s="422">
        <v>0</v>
      </c>
      <c r="F430" s="422">
        <v>4</v>
      </c>
      <c r="G430" s="422">
        <v>126</v>
      </c>
      <c r="H430" s="422">
        <v>233</v>
      </c>
      <c r="I430" s="422">
        <v>26</v>
      </c>
      <c r="J430" s="422">
        <v>50</v>
      </c>
      <c r="K430" s="422">
        <v>2</v>
      </c>
      <c r="L430" s="423">
        <v>0</v>
      </c>
      <c r="M430" s="425">
        <f t="shared" si="53"/>
        <v>1155</v>
      </c>
      <c r="N430" s="425">
        <f t="shared" si="54"/>
        <v>2222</v>
      </c>
      <c r="O430" s="430">
        <f>M430/31</f>
        <v>37.258064516129032</v>
      </c>
      <c r="P430" s="427">
        <f>N430/31</f>
        <v>71.677419354838705</v>
      </c>
    </row>
    <row r="431" spans="1:16" s="4" customFormat="1" ht="12" customHeight="1">
      <c r="A431" s="474"/>
      <c r="B431" s="127">
        <v>2</v>
      </c>
      <c r="C431" s="147">
        <v>682</v>
      </c>
      <c r="D431" s="147">
        <v>1890</v>
      </c>
      <c r="E431" s="147">
        <v>0</v>
      </c>
      <c r="F431" s="147">
        <v>0</v>
      </c>
      <c r="G431" s="147">
        <v>82</v>
      </c>
      <c r="H431" s="147">
        <v>261</v>
      </c>
      <c r="I431" s="147">
        <v>20</v>
      </c>
      <c r="J431" s="147">
        <v>72</v>
      </c>
      <c r="K431" s="147">
        <v>0</v>
      </c>
      <c r="L431" s="148">
        <v>6</v>
      </c>
      <c r="M431" s="150">
        <f t="shared" si="53"/>
        <v>784</v>
      </c>
      <c r="N431" s="150">
        <f t="shared" si="54"/>
        <v>2229</v>
      </c>
      <c r="O431" s="151">
        <f>M431/28</f>
        <v>28</v>
      </c>
      <c r="P431" s="152">
        <f>N431/28</f>
        <v>79.607142857142861</v>
      </c>
    </row>
    <row r="432" spans="1:16" s="4" customFormat="1" ht="12" customHeight="1">
      <c r="A432" s="474"/>
      <c r="B432" s="127">
        <v>3</v>
      </c>
      <c r="C432" s="158">
        <v>299</v>
      </c>
      <c r="D432" s="158">
        <v>693</v>
      </c>
      <c r="E432" s="158">
        <v>0</v>
      </c>
      <c r="F432" s="158">
        <v>0</v>
      </c>
      <c r="G432" s="158">
        <v>51</v>
      </c>
      <c r="H432" s="158">
        <v>138</v>
      </c>
      <c r="I432" s="158">
        <v>6</v>
      </c>
      <c r="J432" s="158">
        <v>19</v>
      </c>
      <c r="K432" s="158">
        <v>0</v>
      </c>
      <c r="L432" s="176">
        <v>0</v>
      </c>
      <c r="M432" s="155">
        <f t="shared" si="53"/>
        <v>356</v>
      </c>
      <c r="N432" s="155">
        <f t="shared" si="54"/>
        <v>850</v>
      </c>
      <c r="O432" s="151">
        <f>M432/31</f>
        <v>11.483870967741936</v>
      </c>
      <c r="P432" s="152">
        <f>N432/31</f>
        <v>27.419354838709676</v>
      </c>
    </row>
    <row r="433" spans="1:16" s="4" customFormat="1" ht="12" customHeight="1">
      <c r="A433" s="474"/>
      <c r="B433" s="127">
        <v>4</v>
      </c>
      <c r="C433" s="147">
        <v>59</v>
      </c>
      <c r="D433" s="147">
        <v>123</v>
      </c>
      <c r="E433" s="147">
        <v>0</v>
      </c>
      <c r="F433" s="147">
        <v>0</v>
      </c>
      <c r="G433" s="147">
        <v>11</v>
      </c>
      <c r="H433" s="147">
        <v>18</v>
      </c>
      <c r="I433" s="147">
        <v>1</v>
      </c>
      <c r="J433" s="147">
        <v>0</v>
      </c>
      <c r="K433" s="147">
        <v>0</v>
      </c>
      <c r="L433" s="148">
        <v>0</v>
      </c>
      <c r="M433" s="150">
        <f t="shared" si="53"/>
        <v>71</v>
      </c>
      <c r="N433" s="150">
        <f t="shared" si="54"/>
        <v>141</v>
      </c>
      <c r="O433" s="151">
        <f>M433/30</f>
        <v>2.3666666666666667</v>
      </c>
      <c r="P433" s="152">
        <f>N433/30</f>
        <v>4.7</v>
      </c>
    </row>
    <row r="434" spans="1:16" s="4" customFormat="1" ht="12" customHeight="1">
      <c r="A434" s="474"/>
      <c r="B434" s="127">
        <v>5</v>
      </c>
      <c r="C434" s="153">
        <v>35</v>
      </c>
      <c r="D434" s="153">
        <v>66</v>
      </c>
      <c r="E434" s="153">
        <v>4</v>
      </c>
      <c r="F434" s="153">
        <v>5</v>
      </c>
      <c r="G434" s="153">
        <v>8</v>
      </c>
      <c r="H434" s="153">
        <v>25</v>
      </c>
      <c r="I434" s="153">
        <v>4</v>
      </c>
      <c r="J434" s="153">
        <v>3</v>
      </c>
      <c r="K434" s="153">
        <v>2</v>
      </c>
      <c r="L434" s="300">
        <v>0</v>
      </c>
      <c r="M434" s="155">
        <f t="shared" si="53"/>
        <v>53</v>
      </c>
      <c r="N434" s="155">
        <f t="shared" si="54"/>
        <v>99</v>
      </c>
      <c r="O434" s="156">
        <f>M434/31</f>
        <v>1.7096774193548387</v>
      </c>
      <c r="P434" s="157">
        <f>N434/31</f>
        <v>3.193548387096774</v>
      </c>
    </row>
    <row r="435" spans="1:16" s="4" customFormat="1" ht="12" customHeight="1">
      <c r="A435" s="474"/>
      <c r="B435" s="127">
        <v>6</v>
      </c>
      <c r="C435" s="158">
        <v>20</v>
      </c>
      <c r="D435" s="158">
        <v>26</v>
      </c>
      <c r="E435" s="158">
        <v>1</v>
      </c>
      <c r="F435" s="158">
        <v>1</v>
      </c>
      <c r="G435" s="158">
        <v>5</v>
      </c>
      <c r="H435" s="158">
        <v>13</v>
      </c>
      <c r="I435" s="158">
        <v>3</v>
      </c>
      <c r="J435" s="158">
        <v>10</v>
      </c>
      <c r="K435" s="158">
        <v>2</v>
      </c>
      <c r="L435" s="176">
        <v>0</v>
      </c>
      <c r="M435" s="155">
        <f t="shared" si="53"/>
        <v>31</v>
      </c>
      <c r="N435" s="155">
        <f t="shared" si="54"/>
        <v>50</v>
      </c>
      <c r="O435" s="156">
        <f>M435/30</f>
        <v>1.0333333333333334</v>
      </c>
      <c r="P435" s="157">
        <f>N435/30</f>
        <v>1.6666666666666667</v>
      </c>
    </row>
    <row r="436" spans="1:16" s="4" customFormat="1" ht="12" customHeight="1">
      <c r="A436" s="474"/>
      <c r="B436" s="127">
        <v>7</v>
      </c>
      <c r="C436" s="158">
        <v>44</v>
      </c>
      <c r="D436" s="158">
        <v>57</v>
      </c>
      <c r="E436" s="158">
        <v>2</v>
      </c>
      <c r="F436" s="158">
        <v>2</v>
      </c>
      <c r="G436" s="158">
        <v>8</v>
      </c>
      <c r="H436" s="158">
        <v>10</v>
      </c>
      <c r="I436" s="158">
        <v>1</v>
      </c>
      <c r="J436" s="158">
        <v>1</v>
      </c>
      <c r="K436" s="158">
        <v>3</v>
      </c>
      <c r="L436" s="176">
        <v>9</v>
      </c>
      <c r="M436" s="155">
        <f t="shared" si="53"/>
        <v>58</v>
      </c>
      <c r="N436" s="155">
        <f t="shared" si="54"/>
        <v>79</v>
      </c>
      <c r="O436" s="156">
        <f>M436/31</f>
        <v>1.8709677419354838</v>
      </c>
      <c r="P436" s="157">
        <f>N436/31</f>
        <v>2.5483870967741935</v>
      </c>
    </row>
    <row r="437" spans="1:16" s="4" customFormat="1" ht="12" customHeight="1">
      <c r="A437" s="474"/>
      <c r="B437" s="127">
        <v>8</v>
      </c>
      <c r="C437" s="158">
        <v>27</v>
      </c>
      <c r="D437" s="158">
        <v>50</v>
      </c>
      <c r="E437" s="158">
        <v>2</v>
      </c>
      <c r="F437" s="158">
        <v>2</v>
      </c>
      <c r="G437" s="158">
        <v>4</v>
      </c>
      <c r="H437" s="158">
        <v>10</v>
      </c>
      <c r="I437" s="158">
        <v>0</v>
      </c>
      <c r="J437" s="158">
        <v>0</v>
      </c>
      <c r="K437" s="158">
        <v>0</v>
      </c>
      <c r="L437" s="176">
        <v>4</v>
      </c>
      <c r="M437" s="155">
        <f t="shared" si="53"/>
        <v>33</v>
      </c>
      <c r="N437" s="155">
        <f t="shared" si="54"/>
        <v>66</v>
      </c>
      <c r="O437" s="156">
        <f>M437/31</f>
        <v>1.064516129032258</v>
      </c>
      <c r="P437" s="157">
        <f>N437/31</f>
        <v>2.129032258064516</v>
      </c>
    </row>
    <row r="438" spans="1:16" s="4" customFormat="1" ht="12" customHeight="1">
      <c r="A438" s="474"/>
      <c r="B438" s="127">
        <v>9</v>
      </c>
      <c r="C438" s="158">
        <v>24</v>
      </c>
      <c r="D438" s="158">
        <v>59</v>
      </c>
      <c r="E438" s="158">
        <v>0</v>
      </c>
      <c r="F438" s="158">
        <v>0</v>
      </c>
      <c r="G438" s="158">
        <v>2</v>
      </c>
      <c r="H438" s="158">
        <v>9</v>
      </c>
      <c r="I438" s="158">
        <v>0</v>
      </c>
      <c r="J438" s="158">
        <v>0</v>
      </c>
      <c r="K438" s="158">
        <v>0</v>
      </c>
      <c r="L438" s="176">
        <v>0</v>
      </c>
      <c r="M438" s="155">
        <v>26</v>
      </c>
      <c r="N438" s="155">
        <v>68</v>
      </c>
      <c r="O438" s="156">
        <v>0.8666666666666667</v>
      </c>
      <c r="P438" s="157">
        <v>2.2666666666666666</v>
      </c>
    </row>
    <row r="439" spans="1:16" s="4" customFormat="1" ht="12" customHeight="1">
      <c r="A439" s="474"/>
      <c r="B439" s="127">
        <v>10</v>
      </c>
      <c r="C439" s="147">
        <v>0</v>
      </c>
      <c r="D439" s="147">
        <v>36</v>
      </c>
      <c r="E439" s="147">
        <v>0</v>
      </c>
      <c r="F439" s="181">
        <v>0</v>
      </c>
      <c r="G439" s="147">
        <v>14</v>
      </c>
      <c r="H439" s="147">
        <v>10</v>
      </c>
      <c r="I439" s="147">
        <v>7</v>
      </c>
      <c r="J439" s="147">
        <v>0</v>
      </c>
      <c r="K439" s="147">
        <v>4</v>
      </c>
      <c r="L439" s="148">
        <v>9</v>
      </c>
      <c r="M439" s="155">
        <f t="shared" ref="M439:M441" si="55">+C439+E439+G439+I439+K439</f>
        <v>25</v>
      </c>
      <c r="N439" s="155">
        <f t="shared" ref="N439:N441" si="56">+D439+F439+H439+J439+L439</f>
        <v>55</v>
      </c>
      <c r="O439" s="156">
        <f>M439/30</f>
        <v>0.83333333333333337</v>
      </c>
      <c r="P439" s="157">
        <f>N439/30</f>
        <v>1.8333333333333333</v>
      </c>
    </row>
    <row r="440" spans="1:16" s="4" customFormat="1" ht="12" customHeight="1">
      <c r="A440" s="474"/>
      <c r="B440" s="127">
        <v>11</v>
      </c>
      <c r="C440" s="367">
        <v>262</v>
      </c>
      <c r="D440" s="367">
        <v>64</v>
      </c>
      <c r="E440" s="367">
        <v>0</v>
      </c>
      <c r="F440" s="367">
        <v>0</v>
      </c>
      <c r="G440" s="367">
        <v>45</v>
      </c>
      <c r="H440" s="367">
        <v>3</v>
      </c>
      <c r="I440" s="367">
        <v>15</v>
      </c>
      <c r="J440" s="367">
        <v>3</v>
      </c>
      <c r="K440" s="367">
        <v>0</v>
      </c>
      <c r="L440" s="368">
        <v>0</v>
      </c>
      <c r="M440" s="155">
        <f t="shared" si="55"/>
        <v>322</v>
      </c>
      <c r="N440" s="155">
        <f t="shared" si="56"/>
        <v>70</v>
      </c>
      <c r="O440" s="156">
        <f>M440/30</f>
        <v>10.733333333333333</v>
      </c>
      <c r="P440" s="157">
        <f>N440/30</f>
        <v>2.3333333333333335</v>
      </c>
    </row>
    <row r="441" spans="1:16" s="4" customFormat="1" ht="12" customHeight="1" thickBot="1">
      <c r="A441" s="475"/>
      <c r="B441" s="127">
        <v>12</v>
      </c>
      <c r="C441" s="367">
        <v>727</v>
      </c>
      <c r="D441" s="367">
        <v>1224</v>
      </c>
      <c r="E441" s="367">
        <v>0</v>
      </c>
      <c r="F441" s="367">
        <v>0</v>
      </c>
      <c r="G441" s="367">
        <v>103</v>
      </c>
      <c r="H441" s="367">
        <v>112</v>
      </c>
      <c r="I441" s="367">
        <v>54</v>
      </c>
      <c r="J441" s="367">
        <v>71</v>
      </c>
      <c r="K441" s="367">
        <v>0</v>
      </c>
      <c r="L441" s="368">
        <v>2</v>
      </c>
      <c r="M441" s="155">
        <f t="shared" si="55"/>
        <v>884</v>
      </c>
      <c r="N441" s="155">
        <f t="shared" si="56"/>
        <v>1409</v>
      </c>
      <c r="O441" s="156">
        <f>M441/31</f>
        <v>28.516129032258064</v>
      </c>
      <c r="P441" s="157">
        <f>N441/31</f>
        <v>45.451612903225808</v>
      </c>
    </row>
    <row r="442" spans="1:16" s="4" customFormat="1" ht="12" customHeight="1">
      <c r="A442" s="473">
        <v>2020</v>
      </c>
      <c r="B442" s="410">
        <v>1</v>
      </c>
      <c r="C442" s="434">
        <v>994</v>
      </c>
      <c r="D442" s="434">
        <v>2242</v>
      </c>
      <c r="E442" s="434">
        <v>1</v>
      </c>
      <c r="F442" s="434">
        <v>1</v>
      </c>
      <c r="G442" s="434">
        <v>113</v>
      </c>
      <c r="H442" s="434">
        <v>302</v>
      </c>
      <c r="I442" s="434">
        <v>36</v>
      </c>
      <c r="J442" s="434">
        <v>171</v>
      </c>
      <c r="K442" s="434">
        <v>3</v>
      </c>
      <c r="L442" s="436">
        <v>2</v>
      </c>
      <c r="M442" s="425">
        <f t="shared" ref="M442:M453" si="57">+C442+E442+G442+I442+K442</f>
        <v>1147</v>
      </c>
      <c r="N442" s="425">
        <f t="shared" ref="N442:N453" si="58">+D442+F442+H442+J442+L442</f>
        <v>2718</v>
      </c>
      <c r="O442" s="430">
        <f>M442/31</f>
        <v>37</v>
      </c>
      <c r="P442" s="427">
        <f>N442/31</f>
        <v>87.677419354838705</v>
      </c>
    </row>
    <row r="443" spans="1:16" s="4" customFormat="1" ht="12" customHeight="1">
      <c r="A443" s="474"/>
      <c r="B443" s="127">
        <v>2</v>
      </c>
      <c r="C443" s="147">
        <v>837</v>
      </c>
      <c r="D443" s="147">
        <v>2436</v>
      </c>
      <c r="E443" s="147">
        <v>2</v>
      </c>
      <c r="F443" s="147">
        <v>4</v>
      </c>
      <c r="G443" s="147">
        <v>40</v>
      </c>
      <c r="H443" s="147">
        <v>195</v>
      </c>
      <c r="I443" s="147">
        <v>17</v>
      </c>
      <c r="J443" s="147">
        <v>46</v>
      </c>
      <c r="K443" s="147">
        <v>2</v>
      </c>
      <c r="L443" s="148">
        <v>19</v>
      </c>
      <c r="M443" s="150">
        <f t="shared" si="57"/>
        <v>898</v>
      </c>
      <c r="N443" s="150">
        <f t="shared" si="58"/>
        <v>2700</v>
      </c>
      <c r="O443" s="151">
        <f>M443/28</f>
        <v>32.071428571428569</v>
      </c>
      <c r="P443" s="152">
        <f>N443/28</f>
        <v>96.428571428571431</v>
      </c>
    </row>
    <row r="444" spans="1:16" s="4" customFormat="1" ht="12" customHeight="1">
      <c r="A444" s="474"/>
      <c r="B444" s="127">
        <v>3</v>
      </c>
      <c r="C444" s="147">
        <v>280</v>
      </c>
      <c r="D444" s="147">
        <v>753</v>
      </c>
      <c r="E444" s="147">
        <v>0</v>
      </c>
      <c r="F444" s="147">
        <v>0</v>
      </c>
      <c r="G444" s="147">
        <v>12</v>
      </c>
      <c r="H444" s="147">
        <v>15</v>
      </c>
      <c r="I444" s="147">
        <v>1</v>
      </c>
      <c r="J444" s="147">
        <v>3</v>
      </c>
      <c r="K444" s="147">
        <v>0</v>
      </c>
      <c r="L444" s="148">
        <v>0</v>
      </c>
      <c r="M444" s="155">
        <f t="shared" si="57"/>
        <v>293</v>
      </c>
      <c r="N444" s="155">
        <f t="shared" si="58"/>
        <v>771</v>
      </c>
      <c r="O444" s="151">
        <f>M444/31</f>
        <v>9.4516129032258061</v>
      </c>
      <c r="P444" s="152">
        <f>N444/31</f>
        <v>24.870967741935484</v>
      </c>
    </row>
    <row r="445" spans="1:16" s="4" customFormat="1" ht="12" customHeight="1">
      <c r="A445" s="474"/>
      <c r="B445" s="127">
        <v>4</v>
      </c>
      <c r="C445" s="147">
        <v>6</v>
      </c>
      <c r="D445" s="147">
        <v>12</v>
      </c>
      <c r="E445" s="147">
        <v>0</v>
      </c>
      <c r="F445" s="147">
        <v>0</v>
      </c>
      <c r="G445" s="147">
        <v>0</v>
      </c>
      <c r="H445" s="147">
        <v>1</v>
      </c>
      <c r="I445" s="147">
        <v>0</v>
      </c>
      <c r="J445" s="147">
        <v>0</v>
      </c>
      <c r="K445" s="147">
        <v>0</v>
      </c>
      <c r="L445" s="148">
        <v>0</v>
      </c>
      <c r="M445" s="150">
        <f t="shared" si="57"/>
        <v>6</v>
      </c>
      <c r="N445" s="150">
        <f t="shared" si="58"/>
        <v>13</v>
      </c>
      <c r="O445" s="151">
        <f>M445/30</f>
        <v>0.2</v>
      </c>
      <c r="P445" s="152">
        <f>N445/30</f>
        <v>0.43333333333333335</v>
      </c>
    </row>
    <row r="446" spans="1:16" s="4" customFormat="1" ht="12" customHeight="1">
      <c r="A446" s="474"/>
      <c r="B446" s="127">
        <v>5</v>
      </c>
      <c r="C446" s="147">
        <v>0</v>
      </c>
      <c r="D446" s="147">
        <v>0</v>
      </c>
      <c r="E446" s="147">
        <v>0</v>
      </c>
      <c r="F446" s="147">
        <v>0</v>
      </c>
      <c r="G446" s="147">
        <v>0</v>
      </c>
      <c r="H446" s="147">
        <v>0</v>
      </c>
      <c r="I446" s="147">
        <v>0</v>
      </c>
      <c r="J446" s="147">
        <v>0</v>
      </c>
      <c r="K446" s="147">
        <v>0</v>
      </c>
      <c r="L446" s="148">
        <v>0</v>
      </c>
      <c r="M446" s="155">
        <f t="shared" si="57"/>
        <v>0</v>
      </c>
      <c r="N446" s="155">
        <f t="shared" si="58"/>
        <v>0</v>
      </c>
      <c r="O446" s="156">
        <f>M446/31</f>
        <v>0</v>
      </c>
      <c r="P446" s="157">
        <f>N446/31</f>
        <v>0</v>
      </c>
    </row>
    <row r="447" spans="1:16" s="4" customFormat="1" ht="12" customHeight="1">
      <c r="A447" s="474"/>
      <c r="B447" s="127">
        <v>6</v>
      </c>
      <c r="C447" s="147">
        <f>集計用!C23+集計用!C43</f>
        <v>2</v>
      </c>
      <c r="D447" s="147">
        <f>集計用!S23+集計用!S43</f>
        <v>2</v>
      </c>
      <c r="E447" s="147">
        <f>集計用!E23+集計用!E43</f>
        <v>0</v>
      </c>
      <c r="F447" s="147">
        <f>集計用!U23+集計用!U43</f>
        <v>0</v>
      </c>
      <c r="G447" s="147">
        <f>集計用!G23+集計用!G43</f>
        <v>0</v>
      </c>
      <c r="H447" s="147">
        <f>集計用!W23+集計用!W43</f>
        <v>0</v>
      </c>
      <c r="I447" s="147">
        <f>集計用!I23+集計用!I43</f>
        <v>0</v>
      </c>
      <c r="J447" s="147">
        <f>集計用!Y23+集計用!Y43</f>
        <v>0</v>
      </c>
      <c r="K447" s="147">
        <f>集計用!K43</f>
        <v>0</v>
      </c>
      <c r="L447" s="148">
        <f>集計用!AA43</f>
        <v>0</v>
      </c>
      <c r="M447" s="155">
        <f t="shared" si="57"/>
        <v>2</v>
      </c>
      <c r="N447" s="155">
        <f t="shared" si="58"/>
        <v>2</v>
      </c>
      <c r="O447" s="156">
        <f>M447/30</f>
        <v>6.6666666666666666E-2</v>
      </c>
      <c r="P447" s="157">
        <f>N447/30</f>
        <v>6.6666666666666666E-2</v>
      </c>
    </row>
    <row r="448" spans="1:16" s="4" customFormat="1" ht="12" customHeight="1">
      <c r="A448" s="474"/>
      <c r="B448" s="127">
        <v>7</v>
      </c>
      <c r="C448" s="158"/>
      <c r="D448" s="158"/>
      <c r="E448" s="158"/>
      <c r="F448" s="158"/>
      <c r="G448" s="158"/>
      <c r="H448" s="158"/>
      <c r="I448" s="158"/>
      <c r="J448" s="158"/>
      <c r="K448" s="158"/>
      <c r="L448" s="176"/>
      <c r="M448" s="155">
        <f t="shared" si="57"/>
        <v>0</v>
      </c>
      <c r="N448" s="155">
        <f t="shared" si="58"/>
        <v>0</v>
      </c>
      <c r="O448" s="156">
        <f>M448/31</f>
        <v>0</v>
      </c>
      <c r="P448" s="157">
        <f>N448/31</f>
        <v>0</v>
      </c>
    </row>
    <row r="449" spans="1:16" s="4" customFormat="1" ht="12" customHeight="1">
      <c r="A449" s="474"/>
      <c r="B449" s="127">
        <v>8</v>
      </c>
      <c r="C449" s="158"/>
      <c r="D449" s="158"/>
      <c r="E449" s="158"/>
      <c r="F449" s="158"/>
      <c r="G449" s="158"/>
      <c r="H449" s="158"/>
      <c r="I449" s="158"/>
      <c r="J449" s="158"/>
      <c r="K449" s="158"/>
      <c r="L449" s="176"/>
      <c r="M449" s="155">
        <f t="shared" si="57"/>
        <v>0</v>
      </c>
      <c r="N449" s="155">
        <f t="shared" si="58"/>
        <v>0</v>
      </c>
      <c r="O449" s="156">
        <f>M449/31</f>
        <v>0</v>
      </c>
      <c r="P449" s="157">
        <f>N449/31</f>
        <v>0</v>
      </c>
    </row>
    <row r="450" spans="1:16" s="4" customFormat="1" ht="12" customHeight="1">
      <c r="A450" s="474"/>
      <c r="B450" s="127">
        <v>9</v>
      </c>
      <c r="C450" s="158"/>
      <c r="D450" s="158"/>
      <c r="E450" s="158"/>
      <c r="F450" s="158"/>
      <c r="G450" s="158"/>
      <c r="H450" s="158"/>
      <c r="I450" s="158"/>
      <c r="J450" s="158"/>
      <c r="K450" s="158"/>
      <c r="L450" s="176"/>
      <c r="M450" s="155">
        <v>0</v>
      </c>
      <c r="N450" s="155">
        <v>0</v>
      </c>
      <c r="O450" s="156">
        <f t="shared" ref="O450:P452" si="59">M450/30</f>
        <v>0</v>
      </c>
      <c r="P450" s="157">
        <f t="shared" si="59"/>
        <v>0</v>
      </c>
    </row>
    <row r="451" spans="1:16" s="4" customFormat="1" ht="12" customHeight="1">
      <c r="A451" s="474"/>
      <c r="B451" s="127">
        <v>10</v>
      </c>
      <c r="C451" s="147"/>
      <c r="D451" s="147"/>
      <c r="E451" s="147"/>
      <c r="F451" s="181"/>
      <c r="G451" s="147"/>
      <c r="H451" s="147"/>
      <c r="I451" s="147"/>
      <c r="J451" s="147"/>
      <c r="K451" s="147"/>
      <c r="L451" s="148"/>
      <c r="M451" s="155">
        <f t="shared" ref="M451" si="60">+C451+E451+G451+I451+K451</f>
        <v>0</v>
      </c>
      <c r="N451" s="155">
        <f t="shared" ref="N451" si="61">+D451+F451+H451+J451+L451</f>
        <v>0</v>
      </c>
      <c r="O451" s="156">
        <f t="shared" si="59"/>
        <v>0</v>
      </c>
      <c r="P451" s="157">
        <f t="shared" si="59"/>
        <v>0</v>
      </c>
    </row>
    <row r="452" spans="1:16" s="4" customFormat="1" ht="12" customHeight="1">
      <c r="A452" s="474"/>
      <c r="B452" s="127">
        <v>11</v>
      </c>
      <c r="C452" s="367"/>
      <c r="D452" s="367"/>
      <c r="E452" s="367"/>
      <c r="F452" s="367"/>
      <c r="G452" s="367"/>
      <c r="H452" s="367"/>
      <c r="I452" s="367"/>
      <c r="J452" s="367"/>
      <c r="K452" s="367"/>
      <c r="L452" s="368"/>
      <c r="M452" s="155">
        <f t="shared" si="57"/>
        <v>0</v>
      </c>
      <c r="N452" s="155">
        <f t="shared" si="58"/>
        <v>0</v>
      </c>
      <c r="O452" s="156">
        <f t="shared" si="59"/>
        <v>0</v>
      </c>
      <c r="P452" s="157">
        <f t="shared" si="59"/>
        <v>0</v>
      </c>
    </row>
    <row r="453" spans="1:16" s="4" customFormat="1" ht="12" customHeight="1" thickBot="1">
      <c r="A453" s="475"/>
      <c r="B453" s="127">
        <v>12</v>
      </c>
      <c r="C453" s="187"/>
      <c r="D453" s="187"/>
      <c r="E453" s="187"/>
      <c r="F453" s="188"/>
      <c r="G453" s="187"/>
      <c r="H453" s="187"/>
      <c r="I453" s="187"/>
      <c r="J453" s="187"/>
      <c r="K453" s="187"/>
      <c r="L453" s="189"/>
      <c r="M453" s="155">
        <f t="shared" si="57"/>
        <v>0</v>
      </c>
      <c r="N453" s="155">
        <f t="shared" si="58"/>
        <v>0</v>
      </c>
      <c r="O453" s="156">
        <f>M453/31</f>
        <v>0</v>
      </c>
      <c r="P453" s="157">
        <f>N453/31</f>
        <v>0</v>
      </c>
    </row>
    <row r="454" spans="1:16" s="2" customFormat="1" ht="12" customHeight="1" thickBot="1">
      <c r="A454" s="124"/>
      <c r="B454" s="160" t="s">
        <v>5</v>
      </c>
      <c r="C454" s="161">
        <f>SUM(C346:C453)</f>
        <v>14054</v>
      </c>
      <c r="D454" s="161">
        <f t="shared" ref="D454:J454" si="62">SUM(D346:D453)</f>
        <v>25457</v>
      </c>
      <c r="E454" s="161">
        <f t="shared" si="62"/>
        <v>46</v>
      </c>
      <c r="F454" s="161">
        <f t="shared" si="62"/>
        <v>69</v>
      </c>
      <c r="G454" s="161">
        <f>SUM(G346:G453)</f>
        <v>1489</v>
      </c>
      <c r="H454" s="161">
        <f t="shared" si="62"/>
        <v>2474</v>
      </c>
      <c r="I454" s="161">
        <f t="shared" si="62"/>
        <v>299</v>
      </c>
      <c r="J454" s="161">
        <f t="shared" si="62"/>
        <v>620</v>
      </c>
      <c r="K454" s="161">
        <f t="shared" ref="K454:P454" si="63">SUM(K346:K453)</f>
        <v>23</v>
      </c>
      <c r="L454" s="161">
        <f t="shared" si="63"/>
        <v>57</v>
      </c>
      <c r="M454" s="170">
        <f t="shared" si="63"/>
        <v>15911</v>
      </c>
      <c r="N454" s="161">
        <f t="shared" si="63"/>
        <v>28677</v>
      </c>
      <c r="O454" s="161">
        <f t="shared" si="63"/>
        <v>525.0973700937551</v>
      </c>
      <c r="P454" s="161">
        <f t="shared" si="63"/>
        <v>953.21637533767682</v>
      </c>
    </row>
    <row r="455" spans="1:16" s="2" customFormat="1" ht="15" customHeight="1">
      <c r="B455" s="172" t="s">
        <v>25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73">
        <f>P228</f>
        <v>44022</v>
      </c>
    </row>
    <row r="456" spans="1:16" s="2" customFormat="1" ht="7.5" customHeight="1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124"/>
    </row>
    <row r="457" spans="1:16" ht="10.5" customHeight="1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25" t="s">
        <v>26</v>
      </c>
    </row>
    <row r="458" spans="1:16" ht="9.75" customHeight="1">
      <c r="B458" s="11" t="s">
        <v>55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6" t="s">
        <v>27</v>
      </c>
    </row>
    <row r="459" spans="1:16" ht="12" customHeight="1">
      <c r="B459" s="467" t="s">
        <v>156</v>
      </c>
      <c r="C459" s="469" t="s">
        <v>29</v>
      </c>
      <c r="D459" s="470"/>
      <c r="E459" s="469" t="s">
        <v>30</v>
      </c>
      <c r="F459" s="470"/>
      <c r="G459" s="469" t="s">
        <v>31</v>
      </c>
      <c r="H459" s="470"/>
      <c r="I459" s="469" t="s">
        <v>58</v>
      </c>
      <c r="J459" s="470"/>
      <c r="K459" s="469" t="s">
        <v>57</v>
      </c>
      <c r="L459" s="471"/>
      <c r="M459" s="479" t="s">
        <v>5</v>
      </c>
      <c r="N459" s="470"/>
      <c r="O459" s="472" t="s">
        <v>33</v>
      </c>
      <c r="P459" s="472"/>
    </row>
    <row r="460" spans="1:16" ht="12" customHeight="1" thickBot="1">
      <c r="B460" s="480"/>
      <c r="C460" s="13" t="s">
        <v>34</v>
      </c>
      <c r="D460" s="13" t="s">
        <v>35</v>
      </c>
      <c r="E460" s="13" t="s">
        <v>34</v>
      </c>
      <c r="F460" s="13" t="s">
        <v>35</v>
      </c>
      <c r="G460" s="13" t="s">
        <v>34</v>
      </c>
      <c r="H460" s="13" t="s">
        <v>35</v>
      </c>
      <c r="I460" s="13" t="s">
        <v>59</v>
      </c>
      <c r="J460" s="13" t="s">
        <v>60</v>
      </c>
      <c r="K460" s="13" t="s">
        <v>34</v>
      </c>
      <c r="L460" s="14" t="s">
        <v>35</v>
      </c>
      <c r="M460" s="15" t="s">
        <v>34</v>
      </c>
      <c r="N460" s="13" t="s">
        <v>35</v>
      </c>
      <c r="O460" s="163" t="s">
        <v>34</v>
      </c>
      <c r="P460" s="163" t="s">
        <v>35</v>
      </c>
    </row>
    <row r="461" spans="1:16" s="3" customFormat="1" ht="9.75" customHeight="1">
      <c r="A461" s="487">
        <v>2014</v>
      </c>
      <c r="B461" s="410">
        <v>1</v>
      </c>
      <c r="C461" s="411"/>
      <c r="D461" s="411"/>
      <c r="E461" s="411"/>
      <c r="F461" s="411"/>
      <c r="G461" s="411"/>
      <c r="H461" s="411"/>
      <c r="I461" s="411"/>
      <c r="J461" s="411"/>
      <c r="K461" s="411"/>
      <c r="L461" s="428"/>
      <c r="M461" s="413">
        <f t="shared" ref="M461:M492" si="64">+C461+E461+G461+I461+K461</f>
        <v>0</v>
      </c>
      <c r="N461" s="411">
        <f t="shared" ref="N461:N492" si="65">+D461+F461+H461+J461+L461</f>
        <v>0</v>
      </c>
      <c r="O461" s="414">
        <f t="shared" ref="O461:O480" si="66">M461/31</f>
        <v>0</v>
      </c>
      <c r="P461" s="415">
        <f t="shared" ref="P461:P480" si="67">N461/31</f>
        <v>0</v>
      </c>
    </row>
    <row r="462" spans="1:16" s="3" customFormat="1" ht="9.75" customHeight="1">
      <c r="A462" s="488"/>
      <c r="B462" s="127">
        <v>2</v>
      </c>
      <c r="C462" s="128"/>
      <c r="D462" s="128"/>
      <c r="E462" s="128"/>
      <c r="F462" s="128"/>
      <c r="G462" s="128"/>
      <c r="H462" s="128"/>
      <c r="I462" s="128"/>
      <c r="J462" s="128"/>
      <c r="K462" s="128"/>
      <c r="L462" s="164"/>
      <c r="M462" s="130">
        <f t="shared" si="64"/>
        <v>0</v>
      </c>
      <c r="N462" s="128">
        <f t="shared" si="65"/>
        <v>0</v>
      </c>
      <c r="O462" s="131">
        <f t="shared" si="66"/>
        <v>0</v>
      </c>
      <c r="P462" s="132">
        <f t="shared" si="67"/>
        <v>0</v>
      </c>
    </row>
    <row r="463" spans="1:16" s="3" customFormat="1" ht="9.75" customHeight="1">
      <c r="A463" s="488"/>
      <c r="B463" s="127">
        <v>3</v>
      </c>
      <c r="C463" s="128">
        <v>18</v>
      </c>
      <c r="D463" s="128">
        <v>24</v>
      </c>
      <c r="E463" s="128">
        <v>0</v>
      </c>
      <c r="F463" s="128">
        <v>0</v>
      </c>
      <c r="G463" s="128">
        <v>3</v>
      </c>
      <c r="H463" s="128">
        <v>0</v>
      </c>
      <c r="I463" s="128">
        <v>0</v>
      </c>
      <c r="J463" s="128">
        <v>0</v>
      </c>
      <c r="K463" s="128"/>
      <c r="L463" s="164"/>
      <c r="M463" s="130">
        <f t="shared" si="64"/>
        <v>21</v>
      </c>
      <c r="N463" s="128">
        <f t="shared" si="65"/>
        <v>24</v>
      </c>
      <c r="O463" s="131">
        <f t="shared" si="66"/>
        <v>0.67741935483870963</v>
      </c>
      <c r="P463" s="132">
        <f t="shared" si="67"/>
        <v>0.77419354838709675</v>
      </c>
    </row>
    <row r="464" spans="1:16" s="3" customFormat="1" ht="9.75" customHeight="1">
      <c r="A464" s="488"/>
      <c r="B464" s="127">
        <v>4</v>
      </c>
      <c r="C464" s="138">
        <v>24</v>
      </c>
      <c r="D464" s="138">
        <v>31</v>
      </c>
      <c r="E464" s="138">
        <v>2</v>
      </c>
      <c r="F464" s="138">
        <v>1</v>
      </c>
      <c r="G464" s="138">
        <v>2</v>
      </c>
      <c r="H464" s="138">
        <v>5</v>
      </c>
      <c r="I464" s="138">
        <v>0</v>
      </c>
      <c r="J464" s="138">
        <v>0</v>
      </c>
      <c r="K464" s="138"/>
      <c r="L464" s="143"/>
      <c r="M464" s="140">
        <f t="shared" si="64"/>
        <v>28</v>
      </c>
      <c r="N464" s="138">
        <f t="shared" si="65"/>
        <v>37</v>
      </c>
      <c r="O464" s="141">
        <f t="shared" si="66"/>
        <v>0.90322580645161288</v>
      </c>
      <c r="P464" s="142">
        <f t="shared" si="67"/>
        <v>1.1935483870967742</v>
      </c>
    </row>
    <row r="465" spans="1:60" s="3" customFormat="1" ht="9.75" customHeight="1">
      <c r="A465" s="488"/>
      <c r="B465" s="127">
        <v>5</v>
      </c>
      <c r="C465" s="128">
        <v>38</v>
      </c>
      <c r="D465" s="128">
        <v>36</v>
      </c>
      <c r="E465" s="128">
        <v>0</v>
      </c>
      <c r="F465" s="128">
        <v>0</v>
      </c>
      <c r="G465" s="128">
        <v>2</v>
      </c>
      <c r="H465" s="128">
        <v>10</v>
      </c>
      <c r="I465" s="128">
        <v>0</v>
      </c>
      <c r="J465" s="128">
        <v>0</v>
      </c>
      <c r="K465" s="128"/>
      <c r="L465" s="164"/>
      <c r="M465" s="130">
        <f t="shared" si="64"/>
        <v>40</v>
      </c>
      <c r="N465" s="146">
        <f t="shared" si="65"/>
        <v>46</v>
      </c>
      <c r="O465" s="165">
        <f t="shared" si="66"/>
        <v>1.2903225806451613</v>
      </c>
      <c r="P465" s="132">
        <f t="shared" si="67"/>
        <v>1.4838709677419355</v>
      </c>
    </row>
    <row r="466" spans="1:60" s="3" customFormat="1" ht="9.75" customHeight="1">
      <c r="A466" s="488"/>
      <c r="B466" s="127">
        <v>6</v>
      </c>
      <c r="C466" s="133">
        <v>35</v>
      </c>
      <c r="D466" s="133">
        <v>28</v>
      </c>
      <c r="E466" s="133">
        <v>0</v>
      </c>
      <c r="F466" s="133">
        <v>0</v>
      </c>
      <c r="G466" s="133">
        <v>4</v>
      </c>
      <c r="H466" s="133">
        <v>2</v>
      </c>
      <c r="I466" s="133">
        <v>0</v>
      </c>
      <c r="J466" s="133">
        <v>0</v>
      </c>
      <c r="K466" s="133"/>
      <c r="L466" s="134"/>
      <c r="M466" s="145">
        <f t="shared" si="64"/>
        <v>39</v>
      </c>
      <c r="N466" s="145">
        <f t="shared" si="65"/>
        <v>30</v>
      </c>
      <c r="O466" s="166">
        <f t="shared" si="66"/>
        <v>1.2580645161290323</v>
      </c>
      <c r="P466" s="137">
        <f t="shared" si="67"/>
        <v>0.967741935483871</v>
      </c>
    </row>
    <row r="467" spans="1:60" s="3" customFormat="1" ht="9.75" customHeight="1">
      <c r="A467" s="488"/>
      <c r="B467" s="127">
        <v>7</v>
      </c>
      <c r="C467" s="133">
        <v>39</v>
      </c>
      <c r="D467" s="133">
        <v>54</v>
      </c>
      <c r="E467" s="133">
        <v>1</v>
      </c>
      <c r="F467" s="133">
        <v>0</v>
      </c>
      <c r="G467" s="133">
        <v>3</v>
      </c>
      <c r="H467" s="133">
        <v>5</v>
      </c>
      <c r="I467" s="133">
        <v>0</v>
      </c>
      <c r="J467" s="133">
        <v>0</v>
      </c>
      <c r="K467" s="133"/>
      <c r="L467" s="134"/>
      <c r="M467" s="145">
        <f t="shared" si="64"/>
        <v>43</v>
      </c>
      <c r="N467" s="145">
        <f t="shared" si="65"/>
        <v>59</v>
      </c>
      <c r="O467" s="166">
        <f t="shared" si="66"/>
        <v>1.3870967741935485</v>
      </c>
      <c r="P467" s="137">
        <f t="shared" si="67"/>
        <v>1.903225806451613</v>
      </c>
    </row>
    <row r="468" spans="1:60" s="3" customFormat="1" ht="9.75" customHeight="1">
      <c r="A468" s="488"/>
      <c r="B468" s="127">
        <v>8</v>
      </c>
      <c r="C468" s="133">
        <v>42</v>
      </c>
      <c r="D468" s="133">
        <v>53</v>
      </c>
      <c r="E468" s="133">
        <v>0</v>
      </c>
      <c r="F468" s="133">
        <v>0</v>
      </c>
      <c r="G468" s="133">
        <v>2</v>
      </c>
      <c r="H468" s="133">
        <v>0</v>
      </c>
      <c r="I468" s="133">
        <v>0</v>
      </c>
      <c r="J468" s="133">
        <v>0</v>
      </c>
      <c r="K468" s="133"/>
      <c r="L468" s="134"/>
      <c r="M468" s="135">
        <f t="shared" si="64"/>
        <v>44</v>
      </c>
      <c r="N468" s="145">
        <f t="shared" si="65"/>
        <v>53</v>
      </c>
      <c r="O468" s="166">
        <f t="shared" si="66"/>
        <v>1.4193548387096775</v>
      </c>
      <c r="P468" s="137">
        <f t="shared" si="67"/>
        <v>1.7096774193548387</v>
      </c>
    </row>
    <row r="469" spans="1:60" s="3" customFormat="1" ht="9.75" customHeight="1">
      <c r="A469" s="488"/>
      <c r="B469" s="127">
        <v>9</v>
      </c>
      <c r="C469" s="133">
        <v>66</v>
      </c>
      <c r="D469" s="133">
        <v>73</v>
      </c>
      <c r="E469" s="133">
        <v>2</v>
      </c>
      <c r="F469" s="133">
        <v>0</v>
      </c>
      <c r="G469" s="133">
        <v>6</v>
      </c>
      <c r="H469" s="133">
        <v>0</v>
      </c>
      <c r="I469" s="133">
        <v>3</v>
      </c>
      <c r="J469" s="133">
        <v>16</v>
      </c>
      <c r="K469" s="133"/>
      <c r="L469" s="144"/>
      <c r="M469" s="135">
        <f t="shared" si="64"/>
        <v>77</v>
      </c>
      <c r="N469" s="145">
        <f t="shared" si="65"/>
        <v>89</v>
      </c>
      <c r="O469" s="166">
        <f t="shared" si="66"/>
        <v>2.4838709677419355</v>
      </c>
      <c r="P469" s="137">
        <f t="shared" si="67"/>
        <v>2.870967741935484</v>
      </c>
    </row>
    <row r="470" spans="1:60" s="3" customFormat="1" ht="9.75" customHeight="1">
      <c r="A470" s="488"/>
      <c r="B470" s="127">
        <v>10</v>
      </c>
      <c r="C470" s="133">
        <v>67</v>
      </c>
      <c r="D470" s="133">
        <v>86</v>
      </c>
      <c r="E470" s="133">
        <v>2</v>
      </c>
      <c r="F470" s="133">
        <v>2</v>
      </c>
      <c r="G470" s="133">
        <v>3</v>
      </c>
      <c r="H470" s="133">
        <v>4</v>
      </c>
      <c r="I470" s="133">
        <v>0</v>
      </c>
      <c r="J470" s="133">
        <v>0</v>
      </c>
      <c r="K470" s="133"/>
      <c r="L470" s="144"/>
      <c r="M470" s="135">
        <f t="shared" si="64"/>
        <v>72</v>
      </c>
      <c r="N470" s="145">
        <f t="shared" si="65"/>
        <v>92</v>
      </c>
      <c r="O470" s="166">
        <f t="shared" si="66"/>
        <v>2.3225806451612905</v>
      </c>
      <c r="P470" s="137">
        <f t="shared" si="67"/>
        <v>2.967741935483871</v>
      </c>
    </row>
    <row r="471" spans="1:60" s="3" customFormat="1" ht="9.75" customHeight="1">
      <c r="A471" s="488"/>
      <c r="B471" s="127">
        <v>11</v>
      </c>
      <c r="C471" s="133">
        <v>75</v>
      </c>
      <c r="D471" s="133">
        <v>86</v>
      </c>
      <c r="E471" s="133">
        <v>0</v>
      </c>
      <c r="F471" s="133">
        <v>0</v>
      </c>
      <c r="G471" s="133">
        <v>1</v>
      </c>
      <c r="H471" s="133">
        <v>1</v>
      </c>
      <c r="I471" s="133">
        <v>0</v>
      </c>
      <c r="J471" s="133">
        <v>0</v>
      </c>
      <c r="K471" s="133"/>
      <c r="L471" s="144"/>
      <c r="M471" s="135">
        <f t="shared" si="64"/>
        <v>76</v>
      </c>
      <c r="N471" s="145">
        <f t="shared" si="65"/>
        <v>87</v>
      </c>
      <c r="O471" s="166">
        <f t="shared" si="66"/>
        <v>2.4516129032258065</v>
      </c>
      <c r="P471" s="137">
        <f t="shared" si="67"/>
        <v>2.806451612903226</v>
      </c>
    </row>
    <row r="472" spans="1:60" s="3" customFormat="1" ht="9.75" customHeight="1" thickBot="1">
      <c r="A472" s="489"/>
      <c r="B472" s="127">
        <v>12</v>
      </c>
      <c r="C472" s="133">
        <v>76</v>
      </c>
      <c r="D472" s="133">
        <v>113</v>
      </c>
      <c r="E472" s="133">
        <v>0</v>
      </c>
      <c r="F472" s="133">
        <v>0</v>
      </c>
      <c r="G472" s="133">
        <v>2</v>
      </c>
      <c r="H472" s="133">
        <v>2</v>
      </c>
      <c r="I472" s="133">
        <v>0</v>
      </c>
      <c r="J472" s="133">
        <v>0</v>
      </c>
      <c r="K472" s="133"/>
      <c r="L472" s="144"/>
      <c r="M472" s="135">
        <f t="shared" si="64"/>
        <v>78</v>
      </c>
      <c r="N472" s="145">
        <f t="shared" si="65"/>
        <v>115</v>
      </c>
      <c r="O472" s="166">
        <f t="shared" si="66"/>
        <v>2.5161290322580645</v>
      </c>
      <c r="P472" s="137">
        <f t="shared" si="67"/>
        <v>3.7096774193548385</v>
      </c>
    </row>
    <row r="473" spans="1:60" s="3" customFormat="1" ht="9.75" customHeight="1">
      <c r="A473" s="487">
        <v>2015</v>
      </c>
      <c r="B473" s="410">
        <v>1</v>
      </c>
      <c r="C473" s="416">
        <v>43</v>
      </c>
      <c r="D473" s="416">
        <v>33</v>
      </c>
      <c r="E473" s="416">
        <v>0</v>
      </c>
      <c r="F473" s="416">
        <v>0</v>
      </c>
      <c r="G473" s="416">
        <v>7</v>
      </c>
      <c r="H473" s="416">
        <v>9</v>
      </c>
      <c r="I473" s="416">
        <v>0</v>
      </c>
      <c r="J473" s="416">
        <v>0</v>
      </c>
      <c r="K473" s="416"/>
      <c r="L473" s="431"/>
      <c r="M473" s="418">
        <f t="shared" si="64"/>
        <v>50</v>
      </c>
      <c r="N473" s="419">
        <f t="shared" si="65"/>
        <v>42</v>
      </c>
      <c r="O473" s="429">
        <f t="shared" si="66"/>
        <v>1.6129032258064515</v>
      </c>
      <c r="P473" s="421">
        <f t="shared" si="67"/>
        <v>1.3548387096774193</v>
      </c>
      <c r="Q473" s="343"/>
      <c r="R473" s="343"/>
      <c r="S473" s="343"/>
      <c r="T473" s="343"/>
      <c r="U473" s="343"/>
      <c r="V473" s="343"/>
      <c r="W473" s="343"/>
      <c r="X473" s="343"/>
      <c r="Y473" s="343"/>
      <c r="Z473" s="343"/>
      <c r="AA473" s="343"/>
      <c r="AB473" s="343"/>
      <c r="AC473" s="343"/>
      <c r="AD473" s="343"/>
      <c r="AE473" s="343"/>
      <c r="AF473" s="343"/>
      <c r="AG473" s="343"/>
      <c r="AH473" s="343"/>
      <c r="AI473" s="343"/>
      <c r="AJ473" s="343"/>
      <c r="AK473" s="343"/>
      <c r="AL473" s="343"/>
      <c r="AM473" s="343"/>
      <c r="AN473" s="343"/>
      <c r="AO473" s="343"/>
      <c r="AP473" s="343"/>
      <c r="AQ473" s="343"/>
      <c r="AR473" s="343"/>
      <c r="AS473" s="343"/>
      <c r="AT473" s="343"/>
      <c r="AU473" s="343"/>
      <c r="AV473" s="343"/>
      <c r="AW473" s="343"/>
      <c r="AX473" s="343"/>
      <c r="AY473" s="343"/>
      <c r="AZ473" s="343"/>
      <c r="BA473" s="343"/>
      <c r="BB473" s="343"/>
      <c r="BC473" s="343"/>
      <c r="BD473" s="343"/>
      <c r="BE473" s="343"/>
      <c r="BF473" s="343"/>
      <c r="BG473" s="343"/>
      <c r="BH473" s="343"/>
    </row>
    <row r="474" spans="1:60" s="3" customFormat="1" ht="9.75" customHeight="1">
      <c r="A474" s="488"/>
      <c r="B474" s="127">
        <v>2</v>
      </c>
      <c r="C474" s="128">
        <v>43</v>
      </c>
      <c r="D474" s="128">
        <v>24</v>
      </c>
      <c r="E474" s="128">
        <v>0</v>
      </c>
      <c r="F474" s="128">
        <v>0</v>
      </c>
      <c r="G474" s="128">
        <v>1</v>
      </c>
      <c r="H474" s="128">
        <v>2</v>
      </c>
      <c r="I474" s="128">
        <v>0</v>
      </c>
      <c r="J474" s="128">
        <v>0</v>
      </c>
      <c r="K474" s="128"/>
      <c r="L474" s="164"/>
      <c r="M474" s="130">
        <f t="shared" si="64"/>
        <v>44</v>
      </c>
      <c r="N474" s="146">
        <f t="shared" si="65"/>
        <v>26</v>
      </c>
      <c r="O474" s="165">
        <f t="shared" si="66"/>
        <v>1.4193548387096775</v>
      </c>
      <c r="P474" s="132">
        <f t="shared" si="67"/>
        <v>0.83870967741935487</v>
      </c>
      <c r="Q474" s="343"/>
      <c r="R474" s="343"/>
      <c r="S474" s="343"/>
      <c r="T474" s="343"/>
      <c r="U474" s="343"/>
      <c r="V474" s="343"/>
      <c r="W474" s="343"/>
      <c r="X474" s="343"/>
      <c r="Y474" s="343"/>
      <c r="Z474" s="343"/>
      <c r="AA474" s="343"/>
      <c r="AB474" s="343"/>
      <c r="AC474" s="343"/>
      <c r="AD474" s="343"/>
      <c r="AE474" s="343"/>
      <c r="AF474" s="343"/>
      <c r="AG474" s="343"/>
      <c r="AH474" s="343"/>
      <c r="AI474" s="343"/>
      <c r="AJ474" s="343"/>
      <c r="AK474" s="343"/>
      <c r="AL474" s="343"/>
      <c r="AM474" s="343"/>
      <c r="AN474" s="343"/>
      <c r="AO474" s="343"/>
      <c r="AP474" s="343"/>
      <c r="AQ474" s="343"/>
      <c r="AR474" s="343"/>
      <c r="AS474" s="343"/>
      <c r="AT474" s="343"/>
      <c r="AU474" s="343"/>
      <c r="AV474" s="343"/>
      <c r="AW474" s="343"/>
      <c r="AX474" s="343"/>
      <c r="AY474" s="343"/>
      <c r="AZ474" s="343"/>
      <c r="BA474" s="343"/>
      <c r="BB474" s="343"/>
      <c r="BC474" s="343"/>
      <c r="BD474" s="343"/>
      <c r="BE474" s="343"/>
      <c r="BF474" s="343"/>
      <c r="BG474" s="343"/>
      <c r="BH474" s="343"/>
    </row>
    <row r="475" spans="1:60" s="3" customFormat="1" ht="9.75" customHeight="1">
      <c r="A475" s="488"/>
      <c r="B475" s="127">
        <v>3</v>
      </c>
      <c r="C475" s="128">
        <v>92</v>
      </c>
      <c r="D475" s="128">
        <v>73</v>
      </c>
      <c r="E475" s="128">
        <v>0</v>
      </c>
      <c r="F475" s="128">
        <v>0</v>
      </c>
      <c r="G475" s="128">
        <v>13</v>
      </c>
      <c r="H475" s="128">
        <v>0</v>
      </c>
      <c r="I475" s="128">
        <v>0</v>
      </c>
      <c r="J475" s="128">
        <v>0</v>
      </c>
      <c r="K475" s="128"/>
      <c r="L475" s="164"/>
      <c r="M475" s="130">
        <f t="shared" si="64"/>
        <v>105</v>
      </c>
      <c r="N475" s="146">
        <f t="shared" si="65"/>
        <v>73</v>
      </c>
      <c r="O475" s="165">
        <f t="shared" si="66"/>
        <v>3.3870967741935485</v>
      </c>
      <c r="P475" s="132">
        <f t="shared" si="67"/>
        <v>2.3548387096774195</v>
      </c>
      <c r="Q475" s="343"/>
      <c r="R475" s="343"/>
      <c r="S475" s="343"/>
      <c r="T475" s="343"/>
      <c r="U475" s="343"/>
      <c r="V475" s="343"/>
      <c r="W475" s="343"/>
      <c r="X475" s="343"/>
      <c r="Y475" s="343"/>
      <c r="Z475" s="343"/>
      <c r="AA475" s="343"/>
      <c r="AB475" s="343"/>
      <c r="AC475" s="343"/>
      <c r="AD475" s="343"/>
      <c r="AE475" s="343"/>
      <c r="AF475" s="343"/>
      <c r="AG475" s="343"/>
      <c r="AH475" s="343"/>
      <c r="AI475" s="343"/>
      <c r="AJ475" s="343"/>
      <c r="AK475" s="343"/>
      <c r="AL475" s="343"/>
      <c r="AM475" s="343"/>
      <c r="AN475" s="343"/>
      <c r="AO475" s="343"/>
      <c r="AP475" s="343"/>
      <c r="AQ475" s="343"/>
      <c r="AR475" s="343"/>
      <c r="AS475" s="343"/>
      <c r="AT475" s="343"/>
      <c r="AU475" s="343"/>
      <c r="AV475" s="343"/>
      <c r="AW475" s="343"/>
      <c r="AX475" s="343"/>
      <c r="AY475" s="343"/>
      <c r="AZ475" s="343"/>
      <c r="BA475" s="343"/>
      <c r="BB475" s="343"/>
      <c r="BC475" s="343"/>
      <c r="BD475" s="343"/>
      <c r="BE475" s="343"/>
      <c r="BF475" s="343"/>
      <c r="BG475" s="343"/>
      <c r="BH475" s="343"/>
    </row>
    <row r="476" spans="1:60" s="3" customFormat="1" ht="9.75" customHeight="1">
      <c r="A476" s="488"/>
      <c r="B476" s="127">
        <v>4</v>
      </c>
      <c r="C476" s="128">
        <v>146</v>
      </c>
      <c r="D476" s="128">
        <v>164</v>
      </c>
      <c r="E476" s="128">
        <v>1</v>
      </c>
      <c r="F476" s="128">
        <v>1</v>
      </c>
      <c r="G476" s="128">
        <v>15</v>
      </c>
      <c r="H476" s="128">
        <v>12</v>
      </c>
      <c r="I476" s="128">
        <v>0</v>
      </c>
      <c r="J476" s="128">
        <v>4</v>
      </c>
      <c r="K476" s="128"/>
      <c r="L476" s="164"/>
      <c r="M476" s="130">
        <f t="shared" si="64"/>
        <v>162</v>
      </c>
      <c r="N476" s="146">
        <f t="shared" si="65"/>
        <v>181</v>
      </c>
      <c r="O476" s="165">
        <f t="shared" si="66"/>
        <v>5.225806451612903</v>
      </c>
      <c r="P476" s="132">
        <f t="shared" si="67"/>
        <v>5.838709677419355</v>
      </c>
      <c r="Q476" s="343"/>
      <c r="R476" s="343"/>
      <c r="S476" s="343"/>
      <c r="T476" s="343"/>
      <c r="U476" s="343"/>
      <c r="V476" s="343"/>
      <c r="W476" s="343"/>
      <c r="X476" s="343"/>
      <c r="Y476" s="343"/>
      <c r="Z476" s="343"/>
      <c r="AA476" s="343"/>
      <c r="AB476" s="343"/>
      <c r="AC476" s="343"/>
      <c r="AD476" s="343"/>
      <c r="AE476" s="343"/>
      <c r="AF476" s="343"/>
      <c r="AG476" s="343"/>
      <c r="AH476" s="343"/>
      <c r="AI476" s="343"/>
      <c r="AJ476" s="343"/>
      <c r="AK476" s="343"/>
      <c r="AL476" s="343"/>
      <c r="AM476" s="343"/>
      <c r="AN476" s="343"/>
      <c r="AO476" s="343"/>
      <c r="AP476" s="343"/>
      <c r="AQ476" s="343"/>
      <c r="AR476" s="343"/>
      <c r="AS476" s="343"/>
      <c r="AT476" s="343"/>
      <c r="AU476" s="343"/>
      <c r="AV476" s="343"/>
      <c r="AW476" s="343"/>
      <c r="AX476" s="343"/>
      <c r="AY476" s="343"/>
      <c r="AZ476" s="343"/>
      <c r="BA476" s="343"/>
      <c r="BB476" s="343"/>
      <c r="BC476" s="343"/>
      <c r="BD476" s="343"/>
      <c r="BE476" s="343"/>
      <c r="BF476" s="343"/>
      <c r="BG476" s="343"/>
      <c r="BH476" s="343"/>
    </row>
    <row r="477" spans="1:60" s="3" customFormat="1" ht="9.75" customHeight="1">
      <c r="A477" s="488"/>
      <c r="B477" s="127">
        <v>5</v>
      </c>
      <c r="C477" s="128">
        <v>125</v>
      </c>
      <c r="D477" s="128">
        <v>207</v>
      </c>
      <c r="E477" s="128">
        <v>0</v>
      </c>
      <c r="F477" s="128">
        <v>0</v>
      </c>
      <c r="G477" s="128">
        <v>9</v>
      </c>
      <c r="H477" s="128">
        <v>13</v>
      </c>
      <c r="I477" s="128">
        <v>0</v>
      </c>
      <c r="J477" s="128">
        <v>0</v>
      </c>
      <c r="K477" s="128"/>
      <c r="L477" s="164"/>
      <c r="M477" s="130">
        <f t="shared" si="64"/>
        <v>134</v>
      </c>
      <c r="N477" s="146">
        <f t="shared" si="65"/>
        <v>220</v>
      </c>
      <c r="O477" s="165">
        <f t="shared" si="66"/>
        <v>4.32258064516129</v>
      </c>
      <c r="P477" s="132">
        <f t="shared" si="67"/>
        <v>7.096774193548387</v>
      </c>
      <c r="Q477" s="343"/>
      <c r="R477" s="343"/>
      <c r="S477" s="343"/>
      <c r="T477" s="343"/>
      <c r="U477" s="343"/>
      <c r="V477" s="343"/>
      <c r="W477" s="343"/>
      <c r="X477" s="343"/>
      <c r="Y477" s="343"/>
      <c r="Z477" s="343"/>
      <c r="AA477" s="343"/>
      <c r="AB477" s="343"/>
      <c r="AC477" s="343"/>
      <c r="AD477" s="343"/>
      <c r="AE477" s="343"/>
      <c r="AF477" s="343"/>
      <c r="AG477" s="343"/>
      <c r="AH477" s="343"/>
      <c r="AI477" s="343"/>
      <c r="AJ477" s="343"/>
      <c r="AK477" s="343"/>
      <c r="AL477" s="343"/>
      <c r="AM477" s="343"/>
      <c r="AN477" s="343"/>
      <c r="AO477" s="343"/>
      <c r="AP477" s="343"/>
      <c r="AQ477" s="343"/>
      <c r="AR477" s="343"/>
      <c r="AS477" s="343"/>
      <c r="AT477" s="343"/>
      <c r="AU477" s="343"/>
      <c r="AV477" s="343"/>
      <c r="AW477" s="343"/>
      <c r="AX477" s="343"/>
      <c r="AY477" s="343"/>
      <c r="AZ477" s="343"/>
      <c r="BA477" s="343"/>
      <c r="BB477" s="343"/>
      <c r="BC477" s="343"/>
      <c r="BD477" s="343"/>
      <c r="BE477" s="343"/>
      <c r="BF477" s="343"/>
      <c r="BG477" s="343"/>
      <c r="BH477" s="343"/>
    </row>
    <row r="478" spans="1:60" s="3" customFormat="1" ht="9.75" customHeight="1">
      <c r="A478" s="488"/>
      <c r="B478" s="127">
        <v>6</v>
      </c>
      <c r="C478" s="138">
        <v>97</v>
      </c>
      <c r="D478" s="138">
        <v>156</v>
      </c>
      <c r="E478" s="138">
        <v>0</v>
      </c>
      <c r="F478" s="138">
        <v>0</v>
      </c>
      <c r="G478" s="138">
        <v>3</v>
      </c>
      <c r="H478" s="138">
        <v>1</v>
      </c>
      <c r="I478" s="138">
        <v>0</v>
      </c>
      <c r="J478" s="138">
        <v>0</v>
      </c>
      <c r="K478" s="138"/>
      <c r="L478" s="143"/>
      <c r="M478" s="135">
        <f t="shared" si="64"/>
        <v>100</v>
      </c>
      <c r="N478" s="145">
        <f t="shared" si="65"/>
        <v>157</v>
      </c>
      <c r="O478" s="166">
        <f t="shared" si="66"/>
        <v>3.225806451612903</v>
      </c>
      <c r="P478" s="137">
        <f t="shared" si="67"/>
        <v>5.064516129032258</v>
      </c>
      <c r="Q478" s="343"/>
      <c r="R478" s="343"/>
      <c r="S478" s="343"/>
      <c r="T478" s="343"/>
      <c r="U478" s="343"/>
      <c r="V478" s="343"/>
      <c r="W478" s="343"/>
      <c r="X478" s="343"/>
      <c r="Y478" s="343"/>
      <c r="Z478" s="343"/>
      <c r="AA478" s="343"/>
      <c r="AB478" s="343"/>
      <c r="AC478" s="343"/>
      <c r="AD478" s="343"/>
      <c r="AE478" s="343"/>
      <c r="AF478" s="343"/>
      <c r="AG478" s="343"/>
      <c r="AH478" s="343"/>
      <c r="AI478" s="343"/>
      <c r="AJ478" s="343"/>
      <c r="AK478" s="343"/>
      <c r="AL478" s="343"/>
      <c r="AM478" s="343"/>
      <c r="AN478" s="343"/>
      <c r="AO478" s="343"/>
      <c r="AP478" s="343"/>
      <c r="AQ478" s="343"/>
      <c r="AR478" s="343"/>
      <c r="AS478" s="343"/>
      <c r="AT478" s="343"/>
      <c r="AU478" s="343"/>
      <c r="AV478" s="343"/>
      <c r="AW478" s="343"/>
      <c r="AX478" s="343"/>
      <c r="AY478" s="343"/>
      <c r="AZ478" s="343"/>
      <c r="BA478" s="343"/>
      <c r="BB478" s="343"/>
      <c r="BC478" s="343"/>
      <c r="BD478" s="343"/>
      <c r="BE478" s="343"/>
      <c r="BF478" s="343"/>
      <c r="BG478" s="343"/>
      <c r="BH478" s="343"/>
    </row>
    <row r="479" spans="1:60" s="3" customFormat="1" ht="9.75" customHeight="1">
      <c r="A479" s="488"/>
      <c r="B479" s="127">
        <v>7</v>
      </c>
      <c r="C479" s="133">
        <v>74</v>
      </c>
      <c r="D479" s="133">
        <v>77</v>
      </c>
      <c r="E479" s="133">
        <v>0</v>
      </c>
      <c r="F479" s="133">
        <v>0</v>
      </c>
      <c r="G479" s="133">
        <v>17</v>
      </c>
      <c r="H479" s="133">
        <v>10</v>
      </c>
      <c r="I479" s="133">
        <v>2</v>
      </c>
      <c r="J479" s="133">
        <v>2</v>
      </c>
      <c r="K479" s="133"/>
      <c r="L479" s="144"/>
      <c r="M479" s="196">
        <f t="shared" si="64"/>
        <v>93</v>
      </c>
      <c r="N479" s="133">
        <f t="shared" si="65"/>
        <v>89</v>
      </c>
      <c r="O479" s="166">
        <f t="shared" si="66"/>
        <v>3</v>
      </c>
      <c r="P479" s="137">
        <f t="shared" si="67"/>
        <v>2.870967741935484</v>
      </c>
      <c r="Q479" s="343"/>
      <c r="R479" s="343"/>
      <c r="S479" s="343"/>
      <c r="T479" s="343"/>
      <c r="U479" s="343"/>
      <c r="V479" s="343"/>
      <c r="W479" s="343"/>
      <c r="X479" s="343"/>
      <c r="Y479" s="343"/>
      <c r="Z479" s="343"/>
      <c r="AA479" s="343"/>
      <c r="AB479" s="343"/>
      <c r="AC479" s="343"/>
      <c r="AD479" s="343"/>
      <c r="AE479" s="343"/>
      <c r="AF479" s="343"/>
      <c r="AG479" s="343"/>
      <c r="AH479" s="343"/>
      <c r="AI479" s="343"/>
      <c r="AJ479" s="343"/>
      <c r="AK479" s="343"/>
      <c r="AL479" s="343"/>
      <c r="AM479" s="343"/>
      <c r="AN479" s="343"/>
      <c r="AO479" s="343"/>
      <c r="AP479" s="343"/>
      <c r="AQ479" s="343"/>
      <c r="AR479" s="343"/>
      <c r="AS479" s="343"/>
      <c r="AT479" s="343"/>
      <c r="AU479" s="343"/>
      <c r="AV479" s="343"/>
      <c r="AW479" s="343"/>
      <c r="AX479" s="343"/>
      <c r="AY479" s="343"/>
      <c r="AZ479" s="343"/>
      <c r="BA479" s="343"/>
      <c r="BB479" s="343"/>
      <c r="BC479" s="343"/>
      <c r="BD479" s="343"/>
      <c r="BE479" s="343"/>
      <c r="BF479" s="343"/>
      <c r="BG479" s="343"/>
      <c r="BH479" s="343"/>
    </row>
    <row r="480" spans="1:60" s="3" customFormat="1" ht="9.75" customHeight="1">
      <c r="A480" s="488"/>
      <c r="B480" s="127">
        <v>8</v>
      </c>
      <c r="C480" s="133">
        <v>92</v>
      </c>
      <c r="D480" s="133">
        <v>113</v>
      </c>
      <c r="E480" s="133">
        <v>0</v>
      </c>
      <c r="F480" s="133">
        <v>0</v>
      </c>
      <c r="G480" s="133">
        <v>12</v>
      </c>
      <c r="H480" s="133">
        <v>14</v>
      </c>
      <c r="I480" s="133">
        <v>0</v>
      </c>
      <c r="J480" s="133">
        <v>0</v>
      </c>
      <c r="K480" s="133"/>
      <c r="L480" s="144"/>
      <c r="M480" s="196">
        <f t="shared" si="64"/>
        <v>104</v>
      </c>
      <c r="N480" s="133">
        <f t="shared" si="65"/>
        <v>127</v>
      </c>
      <c r="O480" s="166">
        <f t="shared" si="66"/>
        <v>3.3548387096774195</v>
      </c>
      <c r="P480" s="137">
        <f t="shared" si="67"/>
        <v>4.096774193548387</v>
      </c>
      <c r="Q480" s="343"/>
      <c r="R480" s="343"/>
      <c r="S480" s="343"/>
      <c r="T480" s="343"/>
      <c r="U480" s="343"/>
      <c r="V480" s="343"/>
      <c r="W480" s="343"/>
      <c r="X480" s="343"/>
      <c r="Y480" s="343"/>
      <c r="Z480" s="343"/>
      <c r="AA480" s="343"/>
      <c r="AB480" s="343"/>
      <c r="AC480" s="343"/>
      <c r="AD480" s="343"/>
      <c r="AE480" s="343"/>
      <c r="AF480" s="343"/>
      <c r="AG480" s="343"/>
      <c r="AH480" s="343"/>
      <c r="AI480" s="343"/>
      <c r="AJ480" s="343"/>
      <c r="AK480" s="343"/>
      <c r="AL480" s="343"/>
      <c r="AM480" s="343"/>
      <c r="AN480" s="343"/>
      <c r="AO480" s="343"/>
      <c r="AP480" s="343"/>
      <c r="AQ480" s="343"/>
      <c r="AR480" s="343"/>
      <c r="AS480" s="343"/>
      <c r="AT480" s="343"/>
      <c r="AU480" s="343"/>
      <c r="AV480" s="343"/>
      <c r="AW480" s="343"/>
      <c r="AX480" s="343"/>
      <c r="AY480" s="343"/>
      <c r="AZ480" s="343"/>
      <c r="BA480" s="343"/>
      <c r="BB480" s="343"/>
      <c r="BC480" s="343"/>
      <c r="BD480" s="343"/>
      <c r="BE480" s="343"/>
      <c r="BF480" s="343"/>
      <c r="BG480" s="343"/>
      <c r="BH480" s="343"/>
    </row>
    <row r="481" spans="1:60" s="3" customFormat="1" ht="9.75" customHeight="1">
      <c r="A481" s="488"/>
      <c r="B481" s="127">
        <v>9</v>
      </c>
      <c r="C481" s="128">
        <v>108</v>
      </c>
      <c r="D481" s="128">
        <v>89</v>
      </c>
      <c r="E481" s="128">
        <v>0</v>
      </c>
      <c r="F481" s="128">
        <v>0</v>
      </c>
      <c r="G481" s="128">
        <v>16</v>
      </c>
      <c r="H481" s="128">
        <v>20</v>
      </c>
      <c r="I481" s="128">
        <v>2</v>
      </c>
      <c r="J481" s="128">
        <v>5</v>
      </c>
      <c r="K481" s="128"/>
      <c r="L481" s="129"/>
      <c r="M481" s="196">
        <f t="shared" si="64"/>
        <v>126</v>
      </c>
      <c r="N481" s="133">
        <f t="shared" si="65"/>
        <v>114</v>
      </c>
      <c r="O481" s="166">
        <v>4.064516129032258</v>
      </c>
      <c r="P481" s="137">
        <v>3.6774193548387095</v>
      </c>
      <c r="Q481" s="343"/>
      <c r="R481" s="343"/>
      <c r="S481" s="343"/>
      <c r="T481" s="343"/>
      <c r="U481" s="343"/>
      <c r="V481" s="343"/>
      <c r="W481" s="343"/>
      <c r="X481" s="343"/>
      <c r="Y481" s="343"/>
      <c r="Z481" s="343"/>
      <c r="AA481" s="343"/>
      <c r="AB481" s="343"/>
      <c r="AC481" s="343"/>
      <c r="AD481" s="343"/>
      <c r="AE481" s="343"/>
      <c r="AF481" s="343"/>
      <c r="AG481" s="343"/>
      <c r="AH481" s="343"/>
      <c r="AI481" s="343"/>
      <c r="AJ481" s="343"/>
      <c r="AK481" s="343"/>
      <c r="AL481" s="343"/>
      <c r="AM481" s="343"/>
      <c r="AN481" s="343"/>
      <c r="AO481" s="343"/>
      <c r="AP481" s="343"/>
      <c r="AQ481" s="343"/>
      <c r="AR481" s="343"/>
      <c r="AS481" s="343"/>
      <c r="AT481" s="343"/>
      <c r="AU481" s="343"/>
      <c r="AV481" s="343"/>
      <c r="AW481" s="343"/>
      <c r="AX481" s="343"/>
      <c r="AY481" s="343"/>
      <c r="AZ481" s="343"/>
      <c r="BA481" s="343"/>
      <c r="BB481" s="343"/>
      <c r="BC481" s="343"/>
      <c r="BD481" s="343"/>
      <c r="BE481" s="343"/>
      <c r="BF481" s="343"/>
      <c r="BG481" s="343"/>
      <c r="BH481" s="343"/>
    </row>
    <row r="482" spans="1:60" s="3" customFormat="1" ht="9.75" customHeight="1">
      <c r="A482" s="488"/>
      <c r="B482" s="127">
        <v>10</v>
      </c>
      <c r="C482" s="128">
        <v>130</v>
      </c>
      <c r="D482" s="128">
        <v>180</v>
      </c>
      <c r="E482" s="128">
        <v>1</v>
      </c>
      <c r="F482" s="358">
        <v>2</v>
      </c>
      <c r="G482" s="128">
        <v>20</v>
      </c>
      <c r="H482" s="128">
        <v>29</v>
      </c>
      <c r="I482" s="128">
        <v>0</v>
      </c>
      <c r="J482" s="128">
        <v>0</v>
      </c>
      <c r="K482" s="128"/>
      <c r="L482" s="129"/>
      <c r="M482" s="135">
        <f t="shared" si="64"/>
        <v>151</v>
      </c>
      <c r="N482" s="145">
        <f t="shared" si="65"/>
        <v>211</v>
      </c>
      <c r="O482" s="166">
        <f t="shared" ref="O482:P485" si="68">M482/31</f>
        <v>4.870967741935484</v>
      </c>
      <c r="P482" s="137">
        <f t="shared" si="68"/>
        <v>6.806451612903226</v>
      </c>
      <c r="Q482" s="343"/>
      <c r="R482" s="343"/>
      <c r="S482" s="343"/>
      <c r="T482" s="343"/>
      <c r="U482" s="343"/>
      <c r="V482" s="343"/>
      <c r="W482" s="343"/>
      <c r="X482" s="343"/>
      <c r="Y482" s="343"/>
      <c r="Z482" s="343"/>
      <c r="AA482" s="343"/>
      <c r="AB482" s="343"/>
      <c r="AC482" s="343"/>
      <c r="AD482" s="343"/>
      <c r="AE482" s="343"/>
      <c r="AF482" s="343"/>
      <c r="AG482" s="343"/>
      <c r="AH482" s="343"/>
      <c r="AI482" s="343"/>
      <c r="AJ482" s="343"/>
      <c r="AK482" s="343"/>
      <c r="AL482" s="343"/>
      <c r="AM482" s="343"/>
      <c r="AN482" s="343"/>
      <c r="AO482" s="343"/>
      <c r="AP482" s="343"/>
      <c r="AQ482" s="343"/>
      <c r="AR482" s="343"/>
      <c r="AS482" s="343"/>
      <c r="AT482" s="343"/>
      <c r="AU482" s="343"/>
      <c r="AV482" s="343"/>
      <c r="AW482" s="343"/>
      <c r="AX482" s="343"/>
      <c r="AY482" s="343"/>
      <c r="AZ482" s="343"/>
      <c r="BA482" s="343"/>
      <c r="BB482" s="343"/>
      <c r="BC482" s="343"/>
      <c r="BD482" s="343"/>
      <c r="BE482" s="343"/>
      <c r="BF482" s="343"/>
      <c r="BG482" s="343"/>
      <c r="BH482" s="343"/>
    </row>
    <row r="483" spans="1:60" s="3" customFormat="1" ht="9.75" customHeight="1">
      <c r="A483" s="488"/>
      <c r="B483" s="127">
        <v>11</v>
      </c>
      <c r="C483" s="365">
        <v>47</v>
      </c>
      <c r="D483" s="365">
        <v>46</v>
      </c>
      <c r="E483" s="365">
        <v>0</v>
      </c>
      <c r="F483" s="365">
        <v>0</v>
      </c>
      <c r="G483" s="365">
        <v>4</v>
      </c>
      <c r="H483" s="365">
        <v>7</v>
      </c>
      <c r="I483" s="365">
        <v>0</v>
      </c>
      <c r="J483" s="365">
        <v>0</v>
      </c>
      <c r="K483" s="365"/>
      <c r="L483" s="366"/>
      <c r="M483" s="135">
        <f t="shared" si="64"/>
        <v>51</v>
      </c>
      <c r="N483" s="145">
        <f t="shared" si="65"/>
        <v>53</v>
      </c>
      <c r="O483" s="166">
        <f t="shared" si="68"/>
        <v>1.6451612903225807</v>
      </c>
      <c r="P483" s="137">
        <f t="shared" si="68"/>
        <v>1.7096774193548387</v>
      </c>
      <c r="Q483" s="343"/>
      <c r="R483" s="343"/>
      <c r="S483" s="343"/>
      <c r="T483" s="343"/>
      <c r="U483" s="343"/>
      <c r="V483" s="343"/>
      <c r="W483" s="343"/>
      <c r="X483" s="343"/>
      <c r="Y483" s="343"/>
      <c r="Z483" s="343"/>
      <c r="AA483" s="343"/>
      <c r="AB483" s="343"/>
      <c r="AC483" s="343"/>
      <c r="AD483" s="343"/>
      <c r="AE483" s="343"/>
      <c r="AF483" s="343"/>
      <c r="AG483" s="343"/>
      <c r="AH483" s="343"/>
      <c r="AI483" s="343"/>
      <c r="AJ483" s="343"/>
      <c r="AK483" s="343"/>
      <c r="AL483" s="343"/>
      <c r="AM483" s="343"/>
      <c r="AN483" s="343"/>
      <c r="AO483" s="343"/>
      <c r="AP483" s="343"/>
      <c r="AQ483" s="343"/>
      <c r="AR483" s="343"/>
      <c r="AS483" s="343"/>
      <c r="AT483" s="343"/>
      <c r="AU483" s="343"/>
      <c r="AV483" s="343"/>
      <c r="AW483" s="343"/>
      <c r="AX483" s="343"/>
      <c r="AY483" s="343"/>
      <c r="AZ483" s="343"/>
      <c r="BA483" s="343"/>
      <c r="BB483" s="343"/>
      <c r="BC483" s="343"/>
      <c r="BD483" s="343"/>
      <c r="BE483" s="343"/>
      <c r="BF483" s="343"/>
      <c r="BG483" s="343"/>
      <c r="BH483" s="343"/>
    </row>
    <row r="484" spans="1:60" s="3" customFormat="1" ht="9.75" customHeight="1" thickBot="1">
      <c r="A484" s="489"/>
      <c r="B484" s="127">
        <v>12</v>
      </c>
      <c r="C484" s="182">
        <v>108</v>
      </c>
      <c r="D484" s="182">
        <v>142</v>
      </c>
      <c r="E484" s="182">
        <v>0</v>
      </c>
      <c r="F484" s="195">
        <v>0</v>
      </c>
      <c r="G484" s="182">
        <v>8</v>
      </c>
      <c r="H484" s="182">
        <v>2</v>
      </c>
      <c r="I484" s="182">
        <v>2</v>
      </c>
      <c r="J484" s="182">
        <v>4</v>
      </c>
      <c r="K484" s="182"/>
      <c r="L484" s="183"/>
      <c r="M484" s="135">
        <f t="shared" si="64"/>
        <v>118</v>
      </c>
      <c r="N484" s="145">
        <f t="shared" si="65"/>
        <v>148</v>
      </c>
      <c r="O484" s="166">
        <f t="shared" si="68"/>
        <v>3.806451612903226</v>
      </c>
      <c r="P484" s="137">
        <f t="shared" si="68"/>
        <v>4.774193548387097</v>
      </c>
      <c r="Q484" s="343"/>
      <c r="R484" s="343"/>
      <c r="S484" s="343"/>
      <c r="T484" s="343"/>
      <c r="U484" s="343"/>
      <c r="V484" s="343"/>
      <c r="W484" s="343"/>
      <c r="X484" s="343"/>
      <c r="Y484" s="343"/>
      <c r="Z484" s="343"/>
      <c r="AA484" s="343"/>
      <c r="AB484" s="343"/>
      <c r="AC484" s="343"/>
      <c r="AD484" s="343"/>
      <c r="AE484" s="343"/>
      <c r="AF484" s="343"/>
      <c r="AG484" s="343"/>
      <c r="AH484" s="343"/>
      <c r="AI484" s="343"/>
      <c r="AJ484" s="343"/>
      <c r="AK484" s="343"/>
      <c r="AL484" s="343"/>
      <c r="AM484" s="343"/>
      <c r="AN484" s="343"/>
      <c r="AO484" s="343"/>
      <c r="AP484" s="343"/>
      <c r="AQ484" s="343"/>
      <c r="AR484" s="343"/>
      <c r="AS484" s="343"/>
      <c r="AT484" s="343"/>
      <c r="AU484" s="343"/>
      <c r="AV484" s="343"/>
      <c r="AW484" s="343"/>
      <c r="AX484" s="343"/>
      <c r="AY484" s="343"/>
      <c r="AZ484" s="343"/>
      <c r="BA484" s="343"/>
      <c r="BB484" s="343"/>
      <c r="BC484" s="343"/>
      <c r="BD484" s="343"/>
      <c r="BE484" s="343"/>
      <c r="BF484" s="343"/>
      <c r="BG484" s="343"/>
      <c r="BH484" s="343"/>
    </row>
    <row r="485" spans="1:60" s="3" customFormat="1" ht="9.75" customHeight="1">
      <c r="A485" s="487">
        <v>2016</v>
      </c>
      <c r="B485" s="410">
        <v>1</v>
      </c>
      <c r="C485" s="416">
        <v>61</v>
      </c>
      <c r="D485" s="416">
        <v>73</v>
      </c>
      <c r="E485" s="416">
        <v>0</v>
      </c>
      <c r="F485" s="416">
        <v>0</v>
      </c>
      <c r="G485" s="416">
        <v>9</v>
      </c>
      <c r="H485" s="416">
        <v>6</v>
      </c>
      <c r="I485" s="416">
        <v>1</v>
      </c>
      <c r="J485" s="416">
        <v>1</v>
      </c>
      <c r="K485" s="416"/>
      <c r="L485" s="431"/>
      <c r="M485" s="418">
        <f t="shared" si="64"/>
        <v>71</v>
      </c>
      <c r="N485" s="419">
        <f t="shared" si="65"/>
        <v>80</v>
      </c>
      <c r="O485" s="429">
        <f t="shared" si="68"/>
        <v>2.2903225806451615</v>
      </c>
      <c r="P485" s="421">
        <f t="shared" si="68"/>
        <v>2.5806451612903225</v>
      </c>
      <c r="Q485" s="343"/>
      <c r="R485" s="343"/>
      <c r="S485" s="343"/>
      <c r="T485" s="343"/>
      <c r="U485" s="343"/>
      <c r="V485" s="343"/>
      <c r="W485" s="343"/>
      <c r="X485" s="343"/>
      <c r="Y485" s="343"/>
      <c r="Z485" s="343"/>
      <c r="AA485" s="343"/>
      <c r="AB485" s="343"/>
      <c r="AC485" s="343"/>
      <c r="AD485" s="343"/>
      <c r="AE485" s="343"/>
      <c r="AF485" s="343"/>
      <c r="AG485" s="343"/>
      <c r="AH485" s="343"/>
      <c r="AI485" s="343"/>
      <c r="AJ485" s="343"/>
      <c r="AK485" s="343"/>
      <c r="AL485" s="343"/>
      <c r="AM485" s="343"/>
      <c r="AN485" s="343"/>
      <c r="AO485" s="343"/>
      <c r="AP485" s="343"/>
      <c r="AQ485" s="343"/>
      <c r="AR485" s="343"/>
      <c r="AS485" s="343"/>
      <c r="AT485" s="343"/>
      <c r="AU485" s="343"/>
      <c r="AV485" s="343"/>
      <c r="AW485" s="343"/>
      <c r="AX485" s="343"/>
      <c r="AY485" s="343"/>
      <c r="AZ485" s="343"/>
      <c r="BA485" s="343"/>
      <c r="BB485" s="343"/>
      <c r="BC485" s="343"/>
      <c r="BD485" s="343"/>
      <c r="BE485" s="343"/>
      <c r="BF485" s="343"/>
      <c r="BG485" s="343"/>
      <c r="BH485" s="343"/>
    </row>
    <row r="486" spans="1:60" s="3" customFormat="1" ht="9.75" customHeight="1">
      <c r="A486" s="488"/>
      <c r="B486" s="127">
        <v>2</v>
      </c>
      <c r="C486" s="128">
        <v>72</v>
      </c>
      <c r="D486" s="128">
        <v>68</v>
      </c>
      <c r="E486" s="128">
        <v>0</v>
      </c>
      <c r="F486" s="128">
        <v>0</v>
      </c>
      <c r="G486" s="128">
        <v>6</v>
      </c>
      <c r="H486" s="128">
        <v>6</v>
      </c>
      <c r="I486" s="128">
        <v>2</v>
      </c>
      <c r="J486" s="128">
        <v>2</v>
      </c>
      <c r="K486" s="128"/>
      <c r="L486" s="164"/>
      <c r="M486" s="130">
        <f t="shared" si="64"/>
        <v>80</v>
      </c>
      <c r="N486" s="146">
        <f t="shared" si="65"/>
        <v>76</v>
      </c>
      <c r="O486" s="131">
        <f>M486/29</f>
        <v>2.7586206896551726</v>
      </c>
      <c r="P486" s="132">
        <f>N486/29</f>
        <v>2.6206896551724137</v>
      </c>
      <c r="Q486" s="343"/>
      <c r="R486" s="343"/>
      <c r="S486" s="343"/>
      <c r="T486" s="343"/>
      <c r="U486" s="343"/>
      <c r="V486" s="343"/>
      <c r="W486" s="343"/>
      <c r="X486" s="343"/>
      <c r="Y486" s="343"/>
      <c r="Z486" s="343"/>
      <c r="AA486" s="343"/>
      <c r="AB486" s="343"/>
      <c r="AC486" s="343"/>
      <c r="AD486" s="343"/>
      <c r="AE486" s="343"/>
      <c r="AF486" s="343"/>
      <c r="AG486" s="343"/>
      <c r="AH486" s="343"/>
      <c r="AI486" s="343"/>
      <c r="AJ486" s="343"/>
      <c r="AK486" s="343"/>
      <c r="AL486" s="343"/>
      <c r="AM486" s="343"/>
      <c r="AN486" s="343"/>
      <c r="AO486" s="343"/>
      <c r="AP486" s="343"/>
      <c r="AQ486" s="343"/>
      <c r="AR486" s="343"/>
      <c r="AS486" s="343"/>
      <c r="AT486" s="343"/>
      <c r="AU486" s="343"/>
      <c r="AV486" s="343"/>
      <c r="AW486" s="343"/>
      <c r="AX486" s="343"/>
      <c r="AY486" s="343"/>
      <c r="AZ486" s="343"/>
      <c r="BA486" s="343"/>
      <c r="BB486" s="343"/>
      <c r="BC486" s="343"/>
      <c r="BD486" s="343"/>
      <c r="BE486" s="343"/>
      <c r="BF486" s="343"/>
      <c r="BG486" s="343"/>
      <c r="BH486" s="343"/>
    </row>
    <row r="487" spans="1:60" s="3" customFormat="1" ht="9.75" customHeight="1">
      <c r="A487" s="488"/>
      <c r="B487" s="127">
        <v>3</v>
      </c>
      <c r="C487" s="128">
        <v>97</v>
      </c>
      <c r="D487" s="128">
        <v>67</v>
      </c>
      <c r="E487" s="128">
        <v>0</v>
      </c>
      <c r="F487" s="128">
        <v>0</v>
      </c>
      <c r="G487" s="128">
        <v>11</v>
      </c>
      <c r="H487" s="128">
        <v>2</v>
      </c>
      <c r="I487" s="128">
        <v>0</v>
      </c>
      <c r="J487" s="128">
        <v>0</v>
      </c>
      <c r="K487" s="128"/>
      <c r="L487" s="164"/>
      <c r="M487" s="130">
        <f t="shared" si="64"/>
        <v>108</v>
      </c>
      <c r="N487" s="146">
        <f t="shared" si="65"/>
        <v>69</v>
      </c>
      <c r="O487" s="131">
        <f>M487/31</f>
        <v>3.4838709677419355</v>
      </c>
      <c r="P487" s="132">
        <f>N487/31</f>
        <v>2.225806451612903</v>
      </c>
      <c r="Q487" s="343"/>
      <c r="R487" s="343"/>
      <c r="S487" s="343"/>
      <c r="T487" s="343"/>
      <c r="U487" s="343"/>
      <c r="V487" s="343"/>
      <c r="W487" s="343"/>
      <c r="X487" s="343"/>
      <c r="Y487" s="343"/>
      <c r="Z487" s="343"/>
      <c r="AA487" s="343"/>
      <c r="AB487" s="343"/>
      <c r="AC487" s="343"/>
      <c r="AD487" s="343"/>
      <c r="AE487" s="343"/>
      <c r="AF487" s="343"/>
      <c r="AG487" s="343"/>
      <c r="AH487" s="343"/>
      <c r="AI487" s="343"/>
      <c r="AJ487" s="343"/>
      <c r="AK487" s="343"/>
      <c r="AL487" s="343"/>
      <c r="AM487" s="343"/>
      <c r="AN487" s="343"/>
      <c r="AO487" s="343"/>
      <c r="AP487" s="343"/>
      <c r="AQ487" s="343"/>
      <c r="AR487" s="343"/>
      <c r="AS487" s="343"/>
      <c r="AT487" s="343"/>
      <c r="AU487" s="343"/>
      <c r="AV487" s="343"/>
      <c r="AW487" s="343"/>
      <c r="AX487" s="343"/>
      <c r="AY487" s="343"/>
      <c r="AZ487" s="343"/>
      <c r="BA487" s="343"/>
      <c r="BB487" s="343"/>
      <c r="BC487" s="343"/>
      <c r="BD487" s="343"/>
      <c r="BE487" s="343"/>
      <c r="BF487" s="343"/>
      <c r="BG487" s="343"/>
      <c r="BH487" s="343"/>
    </row>
    <row r="488" spans="1:60" s="3" customFormat="1" ht="9.75" customHeight="1">
      <c r="A488" s="488"/>
      <c r="B488" s="127">
        <v>4</v>
      </c>
      <c r="C488" s="128">
        <v>120</v>
      </c>
      <c r="D488" s="128">
        <v>133</v>
      </c>
      <c r="E488" s="128">
        <v>0</v>
      </c>
      <c r="F488" s="128">
        <v>0</v>
      </c>
      <c r="G488" s="128">
        <v>5</v>
      </c>
      <c r="H488" s="128">
        <v>8</v>
      </c>
      <c r="I488" s="128">
        <v>0</v>
      </c>
      <c r="J488" s="128">
        <v>0</v>
      </c>
      <c r="K488" s="128"/>
      <c r="L488" s="164"/>
      <c r="M488" s="130">
        <f t="shared" si="64"/>
        <v>125</v>
      </c>
      <c r="N488" s="146">
        <f t="shared" si="65"/>
        <v>141</v>
      </c>
      <c r="O488" s="131">
        <f>M488/30</f>
        <v>4.166666666666667</v>
      </c>
      <c r="P488" s="132">
        <f>N488/30</f>
        <v>4.7</v>
      </c>
      <c r="Q488" s="343"/>
      <c r="R488" s="343"/>
      <c r="S488" s="343"/>
      <c r="T488" s="343"/>
      <c r="U488" s="343"/>
      <c r="V488" s="343"/>
      <c r="W488" s="343"/>
      <c r="X488" s="343"/>
      <c r="Y488" s="343"/>
      <c r="Z488" s="343"/>
      <c r="AA488" s="343"/>
      <c r="AB488" s="343"/>
      <c r="AC488" s="343"/>
      <c r="AD488" s="343"/>
      <c r="AE488" s="343"/>
      <c r="AF488" s="343"/>
      <c r="AG488" s="343"/>
      <c r="AH488" s="343"/>
      <c r="AI488" s="343"/>
      <c r="AJ488" s="343"/>
      <c r="AK488" s="343"/>
      <c r="AL488" s="343"/>
      <c r="AM488" s="343"/>
      <c r="AN488" s="343"/>
      <c r="AO488" s="343"/>
      <c r="AP488" s="343"/>
      <c r="AQ488" s="343"/>
      <c r="AR488" s="343"/>
      <c r="AS488" s="343"/>
      <c r="AT488" s="343"/>
      <c r="AU488" s="343"/>
      <c r="AV488" s="343"/>
      <c r="AW488" s="343"/>
      <c r="AX488" s="343"/>
      <c r="AY488" s="343"/>
      <c r="AZ488" s="343"/>
      <c r="BA488" s="343"/>
      <c r="BB488" s="343"/>
      <c r="BC488" s="343"/>
      <c r="BD488" s="343"/>
      <c r="BE488" s="343"/>
      <c r="BF488" s="343"/>
      <c r="BG488" s="343"/>
      <c r="BH488" s="343"/>
    </row>
    <row r="489" spans="1:60" s="3" customFormat="1" ht="9.75" customHeight="1">
      <c r="A489" s="488"/>
      <c r="B489" s="127">
        <v>5</v>
      </c>
      <c r="C489" s="128">
        <v>86</v>
      </c>
      <c r="D489" s="128">
        <v>119</v>
      </c>
      <c r="E489" s="128">
        <v>4</v>
      </c>
      <c r="F489" s="128">
        <v>0</v>
      </c>
      <c r="G489" s="128">
        <v>24</v>
      </c>
      <c r="H489" s="128">
        <v>20</v>
      </c>
      <c r="I489" s="128">
        <v>0</v>
      </c>
      <c r="J489" s="128">
        <v>0</v>
      </c>
      <c r="K489" s="128"/>
      <c r="L489" s="164"/>
      <c r="M489" s="130">
        <f t="shared" si="64"/>
        <v>114</v>
      </c>
      <c r="N489" s="146">
        <f t="shared" si="65"/>
        <v>139</v>
      </c>
      <c r="O489" s="136">
        <f>M489/31</f>
        <v>3.6774193548387095</v>
      </c>
      <c r="P489" s="137">
        <f>N489/31</f>
        <v>4.4838709677419351</v>
      </c>
      <c r="Q489" s="343"/>
      <c r="R489" s="343"/>
      <c r="S489" s="343"/>
      <c r="T489" s="343"/>
      <c r="U489" s="343"/>
      <c r="V489" s="343"/>
      <c r="W489" s="343"/>
      <c r="X489" s="343"/>
      <c r="Y489" s="343"/>
      <c r="Z489" s="343"/>
      <c r="AA489" s="343"/>
      <c r="AB489" s="343"/>
      <c r="AC489" s="343"/>
      <c r="AD489" s="343"/>
      <c r="AE489" s="343"/>
      <c r="AF489" s="343"/>
      <c r="AG489" s="343"/>
      <c r="AH489" s="343"/>
      <c r="AI489" s="343"/>
      <c r="AJ489" s="343"/>
      <c r="AK489" s="343"/>
      <c r="AL489" s="343"/>
      <c r="AM489" s="343"/>
      <c r="AN489" s="343"/>
      <c r="AO489" s="343"/>
      <c r="AP489" s="343"/>
      <c r="AQ489" s="343"/>
      <c r="AR489" s="343"/>
      <c r="AS489" s="343"/>
      <c r="AT489" s="343"/>
      <c r="AU489" s="343"/>
      <c r="AV489" s="343"/>
      <c r="AW489" s="343"/>
      <c r="AX489" s="343"/>
      <c r="AY489" s="343"/>
      <c r="AZ489" s="343"/>
      <c r="BA489" s="343"/>
      <c r="BB489" s="343"/>
      <c r="BC489" s="343"/>
      <c r="BD489" s="343"/>
      <c r="BE489" s="343"/>
      <c r="BF489" s="343"/>
      <c r="BG489" s="343"/>
      <c r="BH489" s="343"/>
    </row>
    <row r="490" spans="1:60" s="3" customFormat="1" ht="9.75" customHeight="1">
      <c r="A490" s="488"/>
      <c r="B490" s="127">
        <v>6</v>
      </c>
      <c r="C490" s="138">
        <v>59</v>
      </c>
      <c r="D490" s="138">
        <v>58</v>
      </c>
      <c r="E490" s="138">
        <v>2</v>
      </c>
      <c r="F490" s="138">
        <v>0</v>
      </c>
      <c r="G490" s="138">
        <v>0</v>
      </c>
      <c r="H490" s="138">
        <v>0</v>
      </c>
      <c r="I490" s="138">
        <v>0</v>
      </c>
      <c r="J490" s="138">
        <v>0</v>
      </c>
      <c r="K490" s="138"/>
      <c r="L490" s="143"/>
      <c r="M490" s="135">
        <f t="shared" si="64"/>
        <v>61</v>
      </c>
      <c r="N490" s="145">
        <f t="shared" si="65"/>
        <v>58</v>
      </c>
      <c r="O490" s="136">
        <f>M490/30</f>
        <v>2.0333333333333332</v>
      </c>
      <c r="P490" s="137">
        <f>N490/30</f>
        <v>1.9333333333333333</v>
      </c>
      <c r="Q490" s="343"/>
      <c r="R490" s="343"/>
      <c r="S490" s="343"/>
      <c r="T490" s="343"/>
      <c r="U490" s="343"/>
      <c r="V490" s="343"/>
      <c r="W490" s="343"/>
      <c r="X490" s="343"/>
      <c r="Y490" s="343"/>
      <c r="Z490" s="343"/>
      <c r="AA490" s="343"/>
      <c r="AB490" s="343"/>
      <c r="AC490" s="343"/>
      <c r="AD490" s="343"/>
      <c r="AE490" s="343"/>
      <c r="AF490" s="343"/>
      <c r="AG490" s="343"/>
      <c r="AH490" s="343"/>
      <c r="AI490" s="343"/>
      <c r="AJ490" s="343"/>
      <c r="AK490" s="343"/>
      <c r="AL490" s="343"/>
      <c r="AM490" s="343"/>
      <c r="AN490" s="343"/>
      <c r="AO490" s="343"/>
      <c r="AP490" s="343"/>
      <c r="AQ490" s="343"/>
      <c r="AR490" s="343"/>
      <c r="AS490" s="343"/>
      <c r="AT490" s="343"/>
      <c r="AU490" s="343"/>
      <c r="AV490" s="343"/>
      <c r="AW490" s="343"/>
      <c r="AX490" s="343"/>
      <c r="AY490" s="343"/>
      <c r="AZ490" s="343"/>
      <c r="BA490" s="343"/>
      <c r="BB490" s="343"/>
      <c r="BC490" s="343"/>
      <c r="BD490" s="343"/>
      <c r="BE490" s="343"/>
      <c r="BF490" s="343"/>
      <c r="BG490" s="343"/>
      <c r="BH490" s="343"/>
    </row>
    <row r="491" spans="1:60" s="3" customFormat="1" ht="9.75" customHeight="1">
      <c r="A491" s="488"/>
      <c r="B491" s="127">
        <v>7</v>
      </c>
      <c r="C491" s="133">
        <v>117</v>
      </c>
      <c r="D491" s="133">
        <v>113</v>
      </c>
      <c r="E491" s="133">
        <v>3</v>
      </c>
      <c r="F491" s="133">
        <v>3</v>
      </c>
      <c r="G491" s="133">
        <v>2</v>
      </c>
      <c r="H491" s="133">
        <v>1</v>
      </c>
      <c r="I491" s="133">
        <v>2</v>
      </c>
      <c r="J491" s="133">
        <v>0</v>
      </c>
      <c r="K491" s="133"/>
      <c r="L491" s="144"/>
      <c r="M491" s="135">
        <f t="shared" si="64"/>
        <v>124</v>
      </c>
      <c r="N491" s="145">
        <f t="shared" si="65"/>
        <v>117</v>
      </c>
      <c r="O491" s="136">
        <f>M491/31</f>
        <v>4</v>
      </c>
      <c r="P491" s="137">
        <f>N491/31</f>
        <v>3.774193548387097</v>
      </c>
      <c r="Q491" s="343"/>
      <c r="R491" s="343"/>
      <c r="S491" s="343"/>
      <c r="T491" s="343"/>
      <c r="U491" s="343"/>
      <c r="V491" s="343"/>
      <c r="W491" s="343"/>
      <c r="X491" s="343"/>
      <c r="Y491" s="343"/>
      <c r="Z491" s="343"/>
      <c r="AA491" s="343"/>
      <c r="AB491" s="343"/>
      <c r="AC491" s="343"/>
      <c r="AD491" s="343"/>
      <c r="AE491" s="343"/>
      <c r="AF491" s="343"/>
      <c r="AG491" s="343"/>
      <c r="AH491" s="343"/>
      <c r="AI491" s="343"/>
      <c r="AJ491" s="343"/>
      <c r="AK491" s="343"/>
      <c r="AL491" s="343"/>
      <c r="AM491" s="343"/>
      <c r="AN491" s="343"/>
      <c r="AO491" s="343"/>
      <c r="AP491" s="343"/>
      <c r="AQ491" s="343"/>
      <c r="AR491" s="343"/>
      <c r="AS491" s="343"/>
      <c r="AT491" s="343"/>
      <c r="AU491" s="343"/>
      <c r="AV491" s="343"/>
      <c r="AW491" s="343"/>
      <c r="AX491" s="343"/>
      <c r="AY491" s="343"/>
      <c r="AZ491" s="343"/>
      <c r="BA491" s="343"/>
      <c r="BB491" s="343"/>
      <c r="BC491" s="343"/>
      <c r="BD491" s="343"/>
      <c r="BE491" s="343"/>
      <c r="BF491" s="343"/>
      <c r="BG491" s="343"/>
      <c r="BH491" s="343"/>
    </row>
    <row r="492" spans="1:60" s="3" customFormat="1" ht="9.75" customHeight="1">
      <c r="A492" s="488"/>
      <c r="B492" s="127">
        <v>8</v>
      </c>
      <c r="C492" s="133">
        <v>78</v>
      </c>
      <c r="D492" s="133">
        <v>105</v>
      </c>
      <c r="E492" s="133">
        <v>0</v>
      </c>
      <c r="F492" s="133">
        <v>0</v>
      </c>
      <c r="G492" s="133">
        <v>4</v>
      </c>
      <c r="H492" s="133">
        <v>3</v>
      </c>
      <c r="I492" s="133">
        <v>0</v>
      </c>
      <c r="J492" s="133">
        <v>0</v>
      </c>
      <c r="K492" s="133"/>
      <c r="L492" s="144"/>
      <c r="M492" s="135">
        <f t="shared" si="64"/>
        <v>82</v>
      </c>
      <c r="N492" s="145">
        <f t="shared" si="65"/>
        <v>108</v>
      </c>
      <c r="O492" s="136">
        <f>M492/31</f>
        <v>2.6451612903225805</v>
      </c>
      <c r="P492" s="137">
        <f>N492/31</f>
        <v>3.4838709677419355</v>
      </c>
      <c r="Q492" s="343"/>
      <c r="R492" s="343"/>
      <c r="S492" s="343"/>
      <c r="T492" s="343"/>
      <c r="U492" s="343"/>
      <c r="V492" s="343"/>
      <c r="W492" s="343"/>
      <c r="X492" s="343"/>
      <c r="Y492" s="343"/>
      <c r="Z492" s="343"/>
      <c r="AA492" s="343"/>
      <c r="AB492" s="343"/>
      <c r="AC492" s="343"/>
      <c r="AD492" s="343"/>
      <c r="AE492" s="343"/>
      <c r="AF492" s="343"/>
      <c r="AG492" s="343"/>
      <c r="AH492" s="343"/>
      <c r="AI492" s="343"/>
      <c r="AJ492" s="343"/>
      <c r="AK492" s="343"/>
      <c r="AL492" s="343"/>
      <c r="AM492" s="343"/>
      <c r="AN492" s="343"/>
      <c r="AO492" s="343"/>
      <c r="AP492" s="343"/>
      <c r="AQ492" s="343"/>
      <c r="AR492" s="343"/>
      <c r="AS492" s="343"/>
      <c r="AT492" s="343"/>
      <c r="AU492" s="343"/>
      <c r="AV492" s="343"/>
      <c r="AW492" s="343"/>
      <c r="AX492" s="343"/>
      <c r="AY492" s="343"/>
      <c r="AZ492" s="343"/>
      <c r="BA492" s="343"/>
      <c r="BB492" s="343"/>
      <c r="BC492" s="343"/>
      <c r="BD492" s="343"/>
      <c r="BE492" s="343"/>
      <c r="BF492" s="343"/>
      <c r="BG492" s="343"/>
      <c r="BH492" s="343"/>
    </row>
    <row r="493" spans="1:60" s="3" customFormat="1" ht="9.75" customHeight="1">
      <c r="A493" s="488"/>
      <c r="B493" s="127">
        <v>9</v>
      </c>
      <c r="C493" s="128">
        <v>108</v>
      </c>
      <c r="D493" s="128">
        <v>101</v>
      </c>
      <c r="E493" s="128">
        <v>0</v>
      </c>
      <c r="F493" s="128">
        <v>0</v>
      </c>
      <c r="G493" s="128">
        <v>9</v>
      </c>
      <c r="H493" s="128">
        <v>2</v>
      </c>
      <c r="I493" s="128">
        <v>1</v>
      </c>
      <c r="J493" s="128">
        <v>0</v>
      </c>
      <c r="K493" s="128"/>
      <c r="L493" s="129"/>
      <c r="M493" s="135">
        <f t="shared" ref="M493:M528" si="69">+C493+E493+G493+I493+K493</f>
        <v>118</v>
      </c>
      <c r="N493" s="145">
        <f t="shared" ref="N493:N528" si="70">+D493+F493+H493+J493+L493</f>
        <v>103</v>
      </c>
      <c r="O493" s="136">
        <f>M493/30</f>
        <v>3.9333333333333331</v>
      </c>
      <c r="P493" s="137">
        <f>N493/30</f>
        <v>3.4333333333333331</v>
      </c>
      <c r="Q493" s="343"/>
      <c r="R493" s="343"/>
      <c r="S493" s="343"/>
      <c r="T493" s="343"/>
      <c r="U493" s="343"/>
      <c r="V493" s="343"/>
      <c r="W493" s="343"/>
      <c r="X493" s="343"/>
      <c r="Y493" s="343"/>
      <c r="Z493" s="343"/>
      <c r="AA493" s="343"/>
      <c r="AB493" s="343"/>
      <c r="AC493" s="343"/>
      <c r="AD493" s="343"/>
      <c r="AE493" s="343"/>
      <c r="AF493" s="343"/>
      <c r="AG493" s="343"/>
      <c r="AH493" s="343"/>
      <c r="AI493" s="343"/>
      <c r="AJ493" s="343"/>
      <c r="AK493" s="343"/>
      <c r="AL493" s="343"/>
      <c r="AM493" s="343"/>
      <c r="AN493" s="343"/>
      <c r="AO493" s="343"/>
      <c r="AP493" s="343"/>
      <c r="AQ493" s="343"/>
      <c r="AR493" s="343"/>
      <c r="AS493" s="343"/>
      <c r="AT493" s="343"/>
      <c r="AU493" s="343"/>
      <c r="AV493" s="343"/>
      <c r="AW493" s="343"/>
      <c r="AX493" s="343"/>
      <c r="AY493" s="343"/>
      <c r="AZ493" s="343"/>
      <c r="BA493" s="343"/>
      <c r="BB493" s="343"/>
      <c r="BC493" s="343"/>
      <c r="BD493" s="343"/>
      <c r="BE493" s="343"/>
      <c r="BF493" s="343"/>
      <c r="BG493" s="343"/>
      <c r="BH493" s="343"/>
    </row>
    <row r="494" spans="1:60" s="3" customFormat="1" ht="9.75" customHeight="1">
      <c r="A494" s="488"/>
      <c r="B494" s="127">
        <v>10</v>
      </c>
      <c r="C494" s="128">
        <v>114</v>
      </c>
      <c r="D494" s="128">
        <v>122</v>
      </c>
      <c r="E494" s="128">
        <v>4</v>
      </c>
      <c r="F494" s="358">
        <v>4</v>
      </c>
      <c r="G494" s="128">
        <v>17</v>
      </c>
      <c r="H494" s="128">
        <v>20</v>
      </c>
      <c r="I494" s="128">
        <v>1</v>
      </c>
      <c r="J494" s="128">
        <v>0</v>
      </c>
      <c r="K494" s="128"/>
      <c r="L494" s="129"/>
      <c r="M494" s="135">
        <f t="shared" si="69"/>
        <v>136</v>
      </c>
      <c r="N494" s="145">
        <f t="shared" si="70"/>
        <v>146</v>
      </c>
      <c r="O494" s="136">
        <f>M494/31</f>
        <v>4.387096774193548</v>
      </c>
      <c r="P494" s="137">
        <f>N494/31</f>
        <v>4.709677419354839</v>
      </c>
      <c r="Q494" s="343"/>
      <c r="R494" s="343"/>
      <c r="S494" s="343"/>
      <c r="T494" s="343"/>
      <c r="U494" s="343"/>
      <c r="V494" s="343"/>
      <c r="W494" s="343"/>
      <c r="X494" s="343"/>
      <c r="Y494" s="343"/>
      <c r="Z494" s="343"/>
      <c r="AA494" s="343"/>
      <c r="AB494" s="343"/>
      <c r="AC494" s="343"/>
      <c r="AD494" s="343"/>
      <c r="AE494" s="343"/>
      <c r="AF494" s="343"/>
      <c r="AG494" s="343"/>
      <c r="AH494" s="343"/>
      <c r="AI494" s="343"/>
      <c r="AJ494" s="343"/>
      <c r="AK494" s="343"/>
      <c r="AL494" s="343"/>
      <c r="AM494" s="343"/>
      <c r="AN494" s="343"/>
      <c r="AO494" s="343"/>
      <c r="AP494" s="343"/>
      <c r="AQ494" s="343"/>
      <c r="AR494" s="343"/>
      <c r="AS494" s="343"/>
      <c r="AT494" s="343"/>
      <c r="AU494" s="343"/>
      <c r="AV494" s="343"/>
      <c r="AW494" s="343"/>
      <c r="AX494" s="343"/>
      <c r="AY494" s="343"/>
      <c r="AZ494" s="343"/>
      <c r="BA494" s="343"/>
      <c r="BB494" s="343"/>
      <c r="BC494" s="343"/>
      <c r="BD494" s="343"/>
      <c r="BE494" s="343"/>
      <c r="BF494" s="343"/>
      <c r="BG494" s="343"/>
      <c r="BH494" s="343"/>
    </row>
    <row r="495" spans="1:60" s="3" customFormat="1" ht="9.75" customHeight="1">
      <c r="A495" s="488"/>
      <c r="B495" s="127">
        <v>11</v>
      </c>
      <c r="C495" s="365">
        <v>87</v>
      </c>
      <c r="D495" s="365">
        <v>109</v>
      </c>
      <c r="E495" s="365">
        <v>2</v>
      </c>
      <c r="F495" s="365">
        <v>2</v>
      </c>
      <c r="G495" s="365">
        <v>10</v>
      </c>
      <c r="H495" s="365">
        <v>6</v>
      </c>
      <c r="I495" s="365">
        <v>3</v>
      </c>
      <c r="J495" s="365">
        <v>3</v>
      </c>
      <c r="K495" s="365"/>
      <c r="L495" s="366"/>
      <c r="M495" s="135">
        <f t="shared" si="69"/>
        <v>102</v>
      </c>
      <c r="N495" s="145">
        <f t="shared" si="70"/>
        <v>120</v>
      </c>
      <c r="O495" s="136">
        <f>M495/30</f>
        <v>3.4</v>
      </c>
      <c r="P495" s="137">
        <f>N495/30</f>
        <v>4</v>
      </c>
      <c r="Q495" s="343"/>
      <c r="R495" s="343"/>
      <c r="S495" s="343"/>
      <c r="T495" s="343"/>
      <c r="U495" s="343"/>
      <c r="V495" s="343"/>
      <c r="W495" s="343"/>
      <c r="X495" s="343"/>
      <c r="Y495" s="343"/>
      <c r="Z495" s="343"/>
      <c r="AA495" s="343"/>
      <c r="AB495" s="343"/>
      <c r="AC495" s="343"/>
      <c r="AD495" s="343"/>
      <c r="AE495" s="343"/>
      <c r="AF495" s="343"/>
      <c r="AG495" s="343"/>
      <c r="AH495" s="343"/>
      <c r="AI495" s="343"/>
      <c r="AJ495" s="343"/>
      <c r="AK495" s="343"/>
      <c r="AL495" s="343"/>
      <c r="AM495" s="343"/>
      <c r="AN495" s="343"/>
      <c r="AO495" s="343"/>
      <c r="AP495" s="343"/>
      <c r="AQ495" s="343"/>
      <c r="AR495" s="343"/>
      <c r="AS495" s="343"/>
      <c r="AT495" s="343"/>
      <c r="AU495" s="343"/>
      <c r="AV495" s="343"/>
      <c r="AW495" s="343"/>
      <c r="AX495" s="343"/>
      <c r="AY495" s="343"/>
      <c r="AZ495" s="343"/>
      <c r="BA495" s="343"/>
      <c r="BB495" s="343"/>
      <c r="BC495" s="343"/>
      <c r="BD495" s="343"/>
      <c r="BE495" s="343"/>
      <c r="BF495" s="343"/>
      <c r="BG495" s="343"/>
      <c r="BH495" s="343"/>
    </row>
    <row r="496" spans="1:60" s="3" customFormat="1" ht="9.75" customHeight="1" thickBot="1">
      <c r="A496" s="489"/>
      <c r="B496" s="127">
        <v>12</v>
      </c>
      <c r="C496" s="182">
        <v>96</v>
      </c>
      <c r="D496" s="182">
        <v>95</v>
      </c>
      <c r="E496" s="182">
        <v>2</v>
      </c>
      <c r="F496" s="195">
        <v>2</v>
      </c>
      <c r="G496" s="182">
        <v>4</v>
      </c>
      <c r="H496" s="182">
        <v>6</v>
      </c>
      <c r="I496" s="182">
        <v>0</v>
      </c>
      <c r="J496" s="182">
        <v>0</v>
      </c>
      <c r="K496" s="182"/>
      <c r="L496" s="183"/>
      <c r="M496" s="135">
        <f t="shared" si="69"/>
        <v>102</v>
      </c>
      <c r="N496" s="145">
        <f t="shared" si="70"/>
        <v>103</v>
      </c>
      <c r="O496" s="136">
        <f>M496/31</f>
        <v>3.2903225806451615</v>
      </c>
      <c r="P496" s="137">
        <f>N496/31</f>
        <v>3.3225806451612905</v>
      </c>
      <c r="Q496" s="343"/>
      <c r="R496" s="343"/>
      <c r="S496" s="343"/>
      <c r="T496" s="343"/>
      <c r="U496" s="343"/>
      <c r="V496" s="343"/>
      <c r="W496" s="343"/>
      <c r="X496" s="343"/>
      <c r="Y496" s="343"/>
      <c r="Z496" s="343"/>
      <c r="AA496" s="343"/>
      <c r="AB496" s="343"/>
      <c r="AC496" s="343"/>
      <c r="AD496" s="343"/>
      <c r="AE496" s="343"/>
      <c r="AF496" s="343"/>
      <c r="AG496" s="343"/>
      <c r="AH496" s="343"/>
      <c r="AI496" s="343"/>
      <c r="AJ496" s="343"/>
      <c r="AK496" s="343"/>
      <c r="AL496" s="343"/>
      <c r="AM496" s="343"/>
      <c r="AN496" s="343"/>
      <c r="AO496" s="343"/>
      <c r="AP496" s="343"/>
      <c r="AQ496" s="343"/>
      <c r="AR496" s="343"/>
      <c r="AS496" s="343"/>
      <c r="AT496" s="343"/>
      <c r="AU496" s="343"/>
      <c r="AV496" s="343"/>
      <c r="AW496" s="343"/>
      <c r="AX496" s="343"/>
      <c r="AY496" s="343"/>
      <c r="AZ496" s="343"/>
      <c r="BA496" s="343"/>
      <c r="BB496" s="343"/>
      <c r="BC496" s="343"/>
      <c r="BD496" s="343"/>
      <c r="BE496" s="343"/>
      <c r="BF496" s="343"/>
      <c r="BG496" s="343"/>
      <c r="BH496" s="343"/>
    </row>
    <row r="497" spans="1:16" ht="12" customHeight="1">
      <c r="A497" s="473">
        <v>2017</v>
      </c>
      <c r="B497" s="410">
        <v>1</v>
      </c>
      <c r="C497" s="422">
        <v>95</v>
      </c>
      <c r="D497" s="422">
        <v>87</v>
      </c>
      <c r="E497" s="422">
        <v>1</v>
      </c>
      <c r="F497" s="422">
        <v>1</v>
      </c>
      <c r="G497" s="422">
        <v>5</v>
      </c>
      <c r="H497" s="422">
        <v>7</v>
      </c>
      <c r="I497" s="422">
        <v>0</v>
      </c>
      <c r="J497" s="422">
        <v>0</v>
      </c>
      <c r="K497" s="422"/>
      <c r="L497" s="432"/>
      <c r="M497" s="424">
        <f t="shared" si="69"/>
        <v>101</v>
      </c>
      <c r="N497" s="425">
        <f t="shared" si="70"/>
        <v>95</v>
      </c>
      <c r="O497" s="430">
        <f>M497/31</f>
        <v>3.2580645161290325</v>
      </c>
      <c r="P497" s="427">
        <f>N497/31</f>
        <v>3.064516129032258</v>
      </c>
    </row>
    <row r="498" spans="1:16" ht="12" customHeight="1">
      <c r="A498" s="474"/>
      <c r="B498" s="127">
        <v>2</v>
      </c>
      <c r="C498" s="147">
        <v>54</v>
      </c>
      <c r="D498" s="147">
        <v>57</v>
      </c>
      <c r="E498" s="147">
        <v>0</v>
      </c>
      <c r="F498" s="147">
        <v>0</v>
      </c>
      <c r="G498" s="147">
        <v>10</v>
      </c>
      <c r="H498" s="147">
        <v>13</v>
      </c>
      <c r="I498" s="147">
        <v>0</v>
      </c>
      <c r="J498" s="147">
        <v>0</v>
      </c>
      <c r="K498" s="147"/>
      <c r="L498" s="174"/>
      <c r="M498" s="149">
        <f t="shared" si="69"/>
        <v>64</v>
      </c>
      <c r="N498" s="150">
        <f t="shared" si="70"/>
        <v>70</v>
      </c>
      <c r="O498" s="151">
        <f>M498/28</f>
        <v>2.2857142857142856</v>
      </c>
      <c r="P498" s="152">
        <f>N498/28</f>
        <v>2.5</v>
      </c>
    </row>
    <row r="499" spans="1:16" ht="12" customHeight="1">
      <c r="A499" s="474"/>
      <c r="B499" s="127">
        <v>3</v>
      </c>
      <c r="C499" s="147">
        <v>107</v>
      </c>
      <c r="D499" s="147">
        <v>79</v>
      </c>
      <c r="E499" s="147">
        <v>0</v>
      </c>
      <c r="F499" s="147">
        <v>0</v>
      </c>
      <c r="G499" s="147">
        <v>20</v>
      </c>
      <c r="H499" s="147">
        <v>5</v>
      </c>
      <c r="I499" s="147">
        <v>3</v>
      </c>
      <c r="J499" s="147">
        <v>3</v>
      </c>
      <c r="K499" s="147"/>
      <c r="L499" s="174"/>
      <c r="M499" s="149">
        <f t="shared" si="69"/>
        <v>130</v>
      </c>
      <c r="N499" s="150">
        <f t="shared" si="70"/>
        <v>87</v>
      </c>
      <c r="O499" s="151">
        <f>M499/31</f>
        <v>4.193548387096774</v>
      </c>
      <c r="P499" s="152">
        <f>N499/31</f>
        <v>2.806451612903226</v>
      </c>
    </row>
    <row r="500" spans="1:16" ht="12" customHeight="1">
      <c r="A500" s="474"/>
      <c r="B500" s="127">
        <v>4</v>
      </c>
      <c r="C500" s="147">
        <v>175</v>
      </c>
      <c r="D500" s="147">
        <v>234</v>
      </c>
      <c r="E500" s="147">
        <v>1</v>
      </c>
      <c r="F500" s="147">
        <v>1</v>
      </c>
      <c r="G500" s="147">
        <v>30</v>
      </c>
      <c r="H500" s="147">
        <v>38</v>
      </c>
      <c r="I500" s="147">
        <v>1</v>
      </c>
      <c r="J500" s="147">
        <v>2</v>
      </c>
      <c r="K500" s="147"/>
      <c r="L500" s="174"/>
      <c r="M500" s="149">
        <f t="shared" si="69"/>
        <v>207</v>
      </c>
      <c r="N500" s="150">
        <f t="shared" si="70"/>
        <v>275</v>
      </c>
      <c r="O500" s="151">
        <f>M500/30</f>
        <v>6.9</v>
      </c>
      <c r="P500" s="152">
        <f>N500/30</f>
        <v>9.1666666666666661</v>
      </c>
    </row>
    <row r="501" spans="1:16" ht="12" customHeight="1">
      <c r="A501" s="474"/>
      <c r="B501" s="127">
        <v>5</v>
      </c>
      <c r="C501" s="147">
        <v>121</v>
      </c>
      <c r="D501" s="147">
        <v>196</v>
      </c>
      <c r="E501" s="147">
        <v>6</v>
      </c>
      <c r="F501" s="147">
        <v>4</v>
      </c>
      <c r="G501" s="147">
        <v>10</v>
      </c>
      <c r="H501" s="147">
        <v>9</v>
      </c>
      <c r="I501" s="147">
        <v>3</v>
      </c>
      <c r="J501" s="147">
        <v>1</v>
      </c>
      <c r="K501" s="147">
        <v>0</v>
      </c>
      <c r="L501" s="174">
        <v>0</v>
      </c>
      <c r="M501" s="149">
        <f t="shared" si="69"/>
        <v>140</v>
      </c>
      <c r="N501" s="150">
        <f t="shared" si="70"/>
        <v>210</v>
      </c>
      <c r="O501" s="156">
        <f>M501/31</f>
        <v>4.5161290322580649</v>
      </c>
      <c r="P501" s="157">
        <f>N501/31</f>
        <v>6.774193548387097</v>
      </c>
    </row>
    <row r="502" spans="1:16" ht="12" customHeight="1">
      <c r="A502" s="474"/>
      <c r="B502" s="127">
        <v>6</v>
      </c>
      <c r="C502" s="153">
        <v>49</v>
      </c>
      <c r="D502" s="153">
        <v>70</v>
      </c>
      <c r="E502" s="153">
        <v>1</v>
      </c>
      <c r="F502" s="153">
        <v>0</v>
      </c>
      <c r="G502" s="153">
        <v>6</v>
      </c>
      <c r="H502" s="153">
        <v>3</v>
      </c>
      <c r="I502" s="153">
        <v>0</v>
      </c>
      <c r="J502" s="153">
        <v>2</v>
      </c>
      <c r="K502" s="153">
        <v>2</v>
      </c>
      <c r="L502" s="303">
        <v>1</v>
      </c>
      <c r="M502" s="154">
        <f t="shared" si="69"/>
        <v>58</v>
      </c>
      <c r="N502" s="155">
        <f t="shared" si="70"/>
        <v>76</v>
      </c>
      <c r="O502" s="156">
        <f>M502/30</f>
        <v>1.9333333333333333</v>
      </c>
      <c r="P502" s="157">
        <f>N502/30</f>
        <v>2.5333333333333332</v>
      </c>
    </row>
    <row r="503" spans="1:16" ht="12" customHeight="1">
      <c r="A503" s="474"/>
      <c r="B503" s="127">
        <v>7</v>
      </c>
      <c r="C503" s="158">
        <v>89</v>
      </c>
      <c r="D503" s="158">
        <v>118</v>
      </c>
      <c r="E503" s="158">
        <v>3</v>
      </c>
      <c r="F503" s="158">
        <v>5</v>
      </c>
      <c r="G503" s="158">
        <v>9</v>
      </c>
      <c r="H503" s="158">
        <v>18</v>
      </c>
      <c r="I503" s="158">
        <v>3</v>
      </c>
      <c r="J503" s="158">
        <v>0</v>
      </c>
      <c r="K503" s="158">
        <v>4</v>
      </c>
      <c r="L503" s="158">
        <v>8</v>
      </c>
      <c r="M503" s="154">
        <f t="shared" si="69"/>
        <v>108</v>
      </c>
      <c r="N503" s="155">
        <f t="shared" si="70"/>
        <v>149</v>
      </c>
      <c r="O503" s="156">
        <f>M503/31</f>
        <v>3.4838709677419355</v>
      </c>
      <c r="P503" s="157">
        <f>N503/31</f>
        <v>4.806451612903226</v>
      </c>
    </row>
    <row r="504" spans="1:16" ht="12" customHeight="1">
      <c r="A504" s="474"/>
      <c r="B504" s="127">
        <v>8</v>
      </c>
      <c r="C504" s="158">
        <v>40</v>
      </c>
      <c r="D504" s="158">
        <v>94</v>
      </c>
      <c r="E504" s="158">
        <v>2</v>
      </c>
      <c r="F504" s="158">
        <v>1</v>
      </c>
      <c r="G504" s="158">
        <v>5</v>
      </c>
      <c r="H504" s="158">
        <v>26</v>
      </c>
      <c r="I504" s="158">
        <v>0</v>
      </c>
      <c r="J504" s="158">
        <v>5</v>
      </c>
      <c r="K504" s="158">
        <v>0</v>
      </c>
      <c r="L504" s="159">
        <v>2</v>
      </c>
      <c r="M504" s="154">
        <f t="shared" si="69"/>
        <v>47</v>
      </c>
      <c r="N504" s="155">
        <f t="shared" si="70"/>
        <v>128</v>
      </c>
      <c r="O504" s="156">
        <f>M504/31</f>
        <v>1.5161290322580645</v>
      </c>
      <c r="P504" s="157">
        <f>N504/31</f>
        <v>4.129032258064516</v>
      </c>
    </row>
    <row r="505" spans="1:16" ht="12" customHeight="1">
      <c r="A505" s="474"/>
      <c r="B505" s="127">
        <v>9</v>
      </c>
      <c r="C505" s="147">
        <v>92</v>
      </c>
      <c r="D505" s="147">
        <v>134</v>
      </c>
      <c r="E505" s="147">
        <v>2</v>
      </c>
      <c r="F505" s="147">
        <v>2</v>
      </c>
      <c r="G505" s="147">
        <v>20</v>
      </c>
      <c r="H505" s="147">
        <v>26</v>
      </c>
      <c r="I505" s="147">
        <v>2</v>
      </c>
      <c r="J505" s="147">
        <v>7</v>
      </c>
      <c r="K505" s="147">
        <v>1</v>
      </c>
      <c r="L505" s="148">
        <v>0</v>
      </c>
      <c r="M505" s="154">
        <f t="shared" si="69"/>
        <v>117</v>
      </c>
      <c r="N505" s="155">
        <f t="shared" si="70"/>
        <v>169</v>
      </c>
      <c r="O505" s="156">
        <f>M505/30</f>
        <v>3.9</v>
      </c>
      <c r="P505" s="157">
        <f>N505/30</f>
        <v>5.6333333333333337</v>
      </c>
    </row>
    <row r="506" spans="1:16" ht="12" customHeight="1">
      <c r="A506" s="474"/>
      <c r="B506" s="127">
        <v>10</v>
      </c>
      <c r="C506" s="147">
        <v>76</v>
      </c>
      <c r="D506" s="147">
        <v>151</v>
      </c>
      <c r="E506" s="147">
        <v>0</v>
      </c>
      <c r="F506" s="181">
        <v>0</v>
      </c>
      <c r="G506" s="147">
        <v>20</v>
      </c>
      <c r="H506" s="147">
        <v>57</v>
      </c>
      <c r="I506" s="147">
        <v>1</v>
      </c>
      <c r="J506" s="147">
        <v>1</v>
      </c>
      <c r="K506" s="147">
        <v>4</v>
      </c>
      <c r="L506" s="148">
        <v>7</v>
      </c>
      <c r="M506" s="154">
        <f t="shared" si="69"/>
        <v>101</v>
      </c>
      <c r="N506" s="155">
        <f t="shared" si="70"/>
        <v>216</v>
      </c>
      <c r="O506" s="156">
        <f>M506/31</f>
        <v>3.2580645161290325</v>
      </c>
      <c r="P506" s="157">
        <f>N506/31</f>
        <v>6.967741935483871</v>
      </c>
    </row>
    <row r="507" spans="1:16" ht="12" customHeight="1">
      <c r="A507" s="474"/>
      <c r="B507" s="127">
        <v>11</v>
      </c>
      <c r="C507" s="367">
        <v>55</v>
      </c>
      <c r="D507" s="367">
        <v>99</v>
      </c>
      <c r="E507" s="367">
        <v>1</v>
      </c>
      <c r="F507" s="367">
        <v>1</v>
      </c>
      <c r="G507" s="367">
        <v>3</v>
      </c>
      <c r="H507" s="367">
        <v>12</v>
      </c>
      <c r="I507" s="367">
        <v>0</v>
      </c>
      <c r="J507" s="367">
        <v>0</v>
      </c>
      <c r="K507" s="367">
        <v>3</v>
      </c>
      <c r="L507" s="368">
        <v>8</v>
      </c>
      <c r="M507" s="154">
        <f t="shared" si="69"/>
        <v>62</v>
      </c>
      <c r="N507" s="155">
        <f t="shared" si="70"/>
        <v>120</v>
      </c>
      <c r="O507" s="156">
        <f>M507/30</f>
        <v>2.0666666666666669</v>
      </c>
      <c r="P507" s="157">
        <f>N507/30</f>
        <v>4</v>
      </c>
    </row>
    <row r="508" spans="1:16" ht="12" customHeight="1" thickBot="1">
      <c r="A508" s="475"/>
      <c r="B508" s="127">
        <v>12</v>
      </c>
      <c r="C508" s="187">
        <v>71</v>
      </c>
      <c r="D508" s="187">
        <v>99</v>
      </c>
      <c r="E508" s="187">
        <v>0</v>
      </c>
      <c r="F508" s="188">
        <v>0</v>
      </c>
      <c r="G508" s="187">
        <v>13</v>
      </c>
      <c r="H508" s="187">
        <v>15</v>
      </c>
      <c r="I508" s="187">
        <v>1</v>
      </c>
      <c r="J508" s="187">
        <v>3</v>
      </c>
      <c r="K508" s="187">
        <v>3</v>
      </c>
      <c r="L508" s="189">
        <v>5</v>
      </c>
      <c r="M508" s="154">
        <f t="shared" si="69"/>
        <v>88</v>
      </c>
      <c r="N508" s="155">
        <f t="shared" si="70"/>
        <v>122</v>
      </c>
      <c r="O508" s="156">
        <f>M508/31</f>
        <v>2.838709677419355</v>
      </c>
      <c r="P508" s="157">
        <f>N508/31</f>
        <v>3.935483870967742</v>
      </c>
    </row>
    <row r="509" spans="1:16" ht="12" customHeight="1">
      <c r="A509" s="473">
        <v>2018</v>
      </c>
      <c r="B509" s="410">
        <v>1</v>
      </c>
      <c r="C509" s="422">
        <v>54</v>
      </c>
      <c r="D509" s="422">
        <v>88</v>
      </c>
      <c r="E509" s="422">
        <v>0</v>
      </c>
      <c r="F509" s="422">
        <v>0</v>
      </c>
      <c r="G509" s="422">
        <v>5</v>
      </c>
      <c r="H509" s="422">
        <v>14</v>
      </c>
      <c r="I509" s="422">
        <v>1</v>
      </c>
      <c r="J509" s="422">
        <v>0</v>
      </c>
      <c r="K509" s="422">
        <v>2</v>
      </c>
      <c r="L509" s="432">
        <v>4</v>
      </c>
      <c r="M509" s="424">
        <f t="shared" si="69"/>
        <v>62</v>
      </c>
      <c r="N509" s="425">
        <f t="shared" si="70"/>
        <v>106</v>
      </c>
      <c r="O509" s="430">
        <f>M509/31</f>
        <v>2</v>
      </c>
      <c r="P509" s="427">
        <f>N509/31</f>
        <v>3.4193548387096775</v>
      </c>
    </row>
    <row r="510" spans="1:16" ht="12" customHeight="1">
      <c r="A510" s="474"/>
      <c r="B510" s="127">
        <v>2</v>
      </c>
      <c r="C510" s="147">
        <v>41</v>
      </c>
      <c r="D510" s="147">
        <v>89</v>
      </c>
      <c r="E510" s="147">
        <v>2</v>
      </c>
      <c r="F510" s="147">
        <v>2</v>
      </c>
      <c r="G510" s="147">
        <v>7</v>
      </c>
      <c r="H510" s="147">
        <v>14</v>
      </c>
      <c r="I510" s="147">
        <v>0</v>
      </c>
      <c r="J510" s="147">
        <v>0</v>
      </c>
      <c r="K510" s="147">
        <v>1</v>
      </c>
      <c r="L510" s="174">
        <v>7</v>
      </c>
      <c r="M510" s="149">
        <f t="shared" si="69"/>
        <v>51</v>
      </c>
      <c r="N510" s="150">
        <f t="shared" si="70"/>
        <v>112</v>
      </c>
      <c r="O510" s="151">
        <f>M510/28</f>
        <v>1.8214285714285714</v>
      </c>
      <c r="P510" s="152">
        <f>N510/28</f>
        <v>4</v>
      </c>
    </row>
    <row r="511" spans="1:16" ht="12" customHeight="1">
      <c r="A511" s="474"/>
      <c r="B511" s="127">
        <v>3</v>
      </c>
      <c r="C511" s="147">
        <v>71</v>
      </c>
      <c r="D511" s="147">
        <v>56</v>
      </c>
      <c r="E511" s="147">
        <v>0</v>
      </c>
      <c r="F511" s="147">
        <v>0</v>
      </c>
      <c r="G511" s="147">
        <v>23</v>
      </c>
      <c r="H511" s="147">
        <v>7</v>
      </c>
      <c r="I511" s="147">
        <v>2</v>
      </c>
      <c r="J511" s="147">
        <v>2</v>
      </c>
      <c r="K511" s="147">
        <v>3</v>
      </c>
      <c r="L511" s="174">
        <v>2</v>
      </c>
      <c r="M511" s="149">
        <f t="shared" si="69"/>
        <v>99</v>
      </c>
      <c r="N511" s="150">
        <f t="shared" si="70"/>
        <v>67</v>
      </c>
      <c r="O511" s="151">
        <f>M511/31</f>
        <v>3.193548387096774</v>
      </c>
      <c r="P511" s="152">
        <f>N511/31</f>
        <v>2.161290322580645</v>
      </c>
    </row>
    <row r="512" spans="1:16" ht="12" customHeight="1">
      <c r="A512" s="474"/>
      <c r="B512" s="127">
        <v>4</v>
      </c>
      <c r="C512" s="147">
        <v>157</v>
      </c>
      <c r="D512" s="147">
        <v>226</v>
      </c>
      <c r="E512" s="147">
        <v>3</v>
      </c>
      <c r="F512" s="147">
        <v>3</v>
      </c>
      <c r="G512" s="147">
        <v>23</v>
      </c>
      <c r="H512" s="147">
        <v>39</v>
      </c>
      <c r="I512" s="147">
        <v>1</v>
      </c>
      <c r="J512" s="147">
        <v>3</v>
      </c>
      <c r="K512" s="147">
        <v>15</v>
      </c>
      <c r="L512" s="174">
        <v>10</v>
      </c>
      <c r="M512" s="149">
        <f t="shared" si="69"/>
        <v>199</v>
      </c>
      <c r="N512" s="150">
        <f t="shared" si="70"/>
        <v>281</v>
      </c>
      <c r="O512" s="151">
        <f>M512/30</f>
        <v>6.6333333333333337</v>
      </c>
      <c r="P512" s="152">
        <f>N512/30</f>
        <v>9.3666666666666671</v>
      </c>
    </row>
    <row r="513" spans="1:16" ht="12" customHeight="1">
      <c r="A513" s="474"/>
      <c r="B513" s="127">
        <v>5</v>
      </c>
      <c r="C513" s="147">
        <v>121</v>
      </c>
      <c r="D513" s="147">
        <v>259</v>
      </c>
      <c r="E513" s="147">
        <v>3</v>
      </c>
      <c r="F513" s="147">
        <v>6</v>
      </c>
      <c r="G513" s="147">
        <v>21</v>
      </c>
      <c r="H513" s="147">
        <v>72</v>
      </c>
      <c r="I513" s="147">
        <v>0</v>
      </c>
      <c r="J513" s="147">
        <v>0</v>
      </c>
      <c r="K513" s="147">
        <v>13</v>
      </c>
      <c r="L513" s="174">
        <v>64</v>
      </c>
      <c r="M513" s="149">
        <f t="shared" si="69"/>
        <v>158</v>
      </c>
      <c r="N513" s="150">
        <f t="shared" si="70"/>
        <v>401</v>
      </c>
      <c r="O513" s="156">
        <f>M513/31</f>
        <v>5.096774193548387</v>
      </c>
      <c r="P513" s="157">
        <f>N513/31</f>
        <v>12.935483870967742</v>
      </c>
    </row>
    <row r="514" spans="1:16" ht="12" customHeight="1">
      <c r="A514" s="474"/>
      <c r="B514" s="127">
        <v>6</v>
      </c>
      <c r="C514" s="153">
        <v>74</v>
      </c>
      <c r="D514" s="153">
        <v>134</v>
      </c>
      <c r="E514" s="153">
        <v>1</v>
      </c>
      <c r="F514" s="153">
        <v>0</v>
      </c>
      <c r="G514" s="153">
        <v>27</v>
      </c>
      <c r="H514" s="153">
        <v>48</v>
      </c>
      <c r="I514" s="153">
        <v>1</v>
      </c>
      <c r="J514" s="153">
        <v>0</v>
      </c>
      <c r="K514" s="153">
        <v>6</v>
      </c>
      <c r="L514" s="303">
        <v>13</v>
      </c>
      <c r="M514" s="154">
        <f t="shared" si="69"/>
        <v>109</v>
      </c>
      <c r="N514" s="155">
        <f t="shared" si="70"/>
        <v>195</v>
      </c>
      <c r="O514" s="156">
        <f>M514/30</f>
        <v>3.6333333333333333</v>
      </c>
      <c r="P514" s="157">
        <f>N514/30</f>
        <v>6.5</v>
      </c>
    </row>
    <row r="515" spans="1:16" ht="12" customHeight="1">
      <c r="A515" s="474"/>
      <c r="B515" s="127">
        <v>7</v>
      </c>
      <c r="C515" s="158">
        <v>109</v>
      </c>
      <c r="D515" s="158">
        <v>149</v>
      </c>
      <c r="E515" s="158">
        <v>2</v>
      </c>
      <c r="F515" s="158">
        <v>2</v>
      </c>
      <c r="G515" s="158">
        <v>25</v>
      </c>
      <c r="H515" s="158">
        <v>39</v>
      </c>
      <c r="I515" s="158">
        <v>0</v>
      </c>
      <c r="J515" s="158">
        <v>3</v>
      </c>
      <c r="K515" s="158">
        <v>8</v>
      </c>
      <c r="L515" s="158">
        <v>22</v>
      </c>
      <c r="M515" s="154">
        <f t="shared" si="69"/>
        <v>144</v>
      </c>
      <c r="N515" s="155">
        <f t="shared" si="70"/>
        <v>215</v>
      </c>
      <c r="O515" s="156">
        <f>M515/31</f>
        <v>4.645161290322581</v>
      </c>
      <c r="P515" s="157">
        <f>N515/31</f>
        <v>6.935483870967742</v>
      </c>
    </row>
    <row r="516" spans="1:16" ht="12" customHeight="1">
      <c r="A516" s="474"/>
      <c r="B516" s="127">
        <v>8</v>
      </c>
      <c r="C516" s="158">
        <v>93</v>
      </c>
      <c r="D516" s="158">
        <v>211</v>
      </c>
      <c r="E516" s="158">
        <v>0</v>
      </c>
      <c r="F516" s="158">
        <v>1</v>
      </c>
      <c r="G516" s="158">
        <v>30</v>
      </c>
      <c r="H516" s="158">
        <v>57</v>
      </c>
      <c r="I516" s="158">
        <v>1</v>
      </c>
      <c r="J516" s="158">
        <v>4</v>
      </c>
      <c r="K516" s="158">
        <v>7</v>
      </c>
      <c r="L516" s="159">
        <v>13</v>
      </c>
      <c r="M516" s="154">
        <f t="shared" si="69"/>
        <v>131</v>
      </c>
      <c r="N516" s="155">
        <f t="shared" si="70"/>
        <v>286</v>
      </c>
      <c r="O516" s="156">
        <f>M516/31</f>
        <v>4.225806451612903</v>
      </c>
      <c r="P516" s="157">
        <f>N516/31</f>
        <v>9.2258064516129039</v>
      </c>
    </row>
    <row r="517" spans="1:16" ht="12" customHeight="1">
      <c r="A517" s="474"/>
      <c r="B517" s="127">
        <v>9</v>
      </c>
      <c r="C517" s="147">
        <v>95</v>
      </c>
      <c r="D517" s="147">
        <v>134</v>
      </c>
      <c r="E517" s="147">
        <v>6</v>
      </c>
      <c r="F517" s="147">
        <v>2</v>
      </c>
      <c r="G517" s="147">
        <v>55</v>
      </c>
      <c r="H517" s="147">
        <v>57</v>
      </c>
      <c r="I517" s="147">
        <v>5</v>
      </c>
      <c r="J517" s="147">
        <v>2</v>
      </c>
      <c r="K517" s="147">
        <v>8</v>
      </c>
      <c r="L517" s="148">
        <v>5</v>
      </c>
      <c r="M517" s="154">
        <f t="shared" si="69"/>
        <v>169</v>
      </c>
      <c r="N517" s="155">
        <f t="shared" si="70"/>
        <v>200</v>
      </c>
      <c r="O517" s="156">
        <f>M517/30</f>
        <v>5.6333333333333337</v>
      </c>
      <c r="P517" s="157">
        <f>N517/30</f>
        <v>6.666666666666667</v>
      </c>
    </row>
    <row r="518" spans="1:16" ht="12" customHeight="1">
      <c r="A518" s="474"/>
      <c r="B518" s="127">
        <v>10</v>
      </c>
      <c r="C518" s="147">
        <v>188</v>
      </c>
      <c r="D518" s="147">
        <v>312</v>
      </c>
      <c r="E518" s="147">
        <v>3</v>
      </c>
      <c r="F518" s="181">
        <v>7</v>
      </c>
      <c r="G518" s="147">
        <v>47</v>
      </c>
      <c r="H518" s="147">
        <v>126</v>
      </c>
      <c r="I518" s="147">
        <v>3</v>
      </c>
      <c r="J518" s="147">
        <v>16</v>
      </c>
      <c r="K518" s="147">
        <v>20</v>
      </c>
      <c r="L518" s="148">
        <v>51</v>
      </c>
      <c r="M518" s="154">
        <f t="shared" si="69"/>
        <v>261</v>
      </c>
      <c r="N518" s="155">
        <f t="shared" si="70"/>
        <v>512</v>
      </c>
      <c r="O518" s="156">
        <f>M518/31</f>
        <v>8.4193548387096779</v>
      </c>
      <c r="P518" s="157">
        <f>N518/31</f>
        <v>16.516129032258064</v>
      </c>
    </row>
    <row r="519" spans="1:16" ht="12" customHeight="1">
      <c r="A519" s="474"/>
      <c r="B519" s="127">
        <v>11</v>
      </c>
      <c r="C519" s="367">
        <v>63</v>
      </c>
      <c r="D519" s="367">
        <v>222</v>
      </c>
      <c r="E519" s="367">
        <v>0</v>
      </c>
      <c r="F519" s="367">
        <v>0</v>
      </c>
      <c r="G519" s="367">
        <v>9</v>
      </c>
      <c r="H519" s="367">
        <v>38</v>
      </c>
      <c r="I519" s="367">
        <v>2</v>
      </c>
      <c r="J519" s="367">
        <v>6</v>
      </c>
      <c r="K519" s="367">
        <v>6</v>
      </c>
      <c r="L519" s="368">
        <v>32</v>
      </c>
      <c r="M519" s="154">
        <f t="shared" si="69"/>
        <v>80</v>
      </c>
      <c r="N519" s="155">
        <f t="shared" si="70"/>
        <v>298</v>
      </c>
      <c r="O519" s="156">
        <f>M519/30</f>
        <v>2.6666666666666665</v>
      </c>
      <c r="P519" s="157">
        <f>N519/30</f>
        <v>9.9333333333333336</v>
      </c>
    </row>
    <row r="520" spans="1:16" ht="12" customHeight="1" thickBot="1">
      <c r="A520" s="475"/>
      <c r="B520" s="127">
        <v>12</v>
      </c>
      <c r="C520" s="187">
        <v>116</v>
      </c>
      <c r="D520" s="187">
        <v>121</v>
      </c>
      <c r="E520" s="187">
        <v>2</v>
      </c>
      <c r="F520" s="188">
        <v>4</v>
      </c>
      <c r="G520" s="187">
        <v>4</v>
      </c>
      <c r="H520" s="187">
        <v>7</v>
      </c>
      <c r="I520" s="187">
        <v>1</v>
      </c>
      <c r="J520" s="187">
        <v>0</v>
      </c>
      <c r="K520" s="187">
        <v>3</v>
      </c>
      <c r="L520" s="189">
        <v>6</v>
      </c>
      <c r="M520" s="154">
        <f t="shared" si="69"/>
        <v>126</v>
      </c>
      <c r="N520" s="155">
        <f t="shared" si="70"/>
        <v>138</v>
      </c>
      <c r="O520" s="156">
        <f>M520/31</f>
        <v>4.064516129032258</v>
      </c>
      <c r="P520" s="157">
        <f>N520/31</f>
        <v>4.4516129032258061</v>
      </c>
    </row>
    <row r="521" spans="1:16" ht="12" customHeight="1">
      <c r="A521" s="473">
        <v>2019</v>
      </c>
      <c r="B521" s="410">
        <v>1</v>
      </c>
      <c r="C521" s="422">
        <v>68</v>
      </c>
      <c r="D521" s="422">
        <v>177</v>
      </c>
      <c r="E521" s="422">
        <v>2</v>
      </c>
      <c r="F521" s="422">
        <v>2</v>
      </c>
      <c r="G521" s="422">
        <v>9</v>
      </c>
      <c r="H521" s="422">
        <v>10</v>
      </c>
      <c r="I521" s="422">
        <v>1</v>
      </c>
      <c r="J521" s="422">
        <v>3</v>
      </c>
      <c r="K521" s="422">
        <v>2</v>
      </c>
      <c r="L521" s="432">
        <v>9</v>
      </c>
      <c r="M521" s="424">
        <f t="shared" si="69"/>
        <v>82</v>
      </c>
      <c r="N521" s="425">
        <f t="shared" si="70"/>
        <v>201</v>
      </c>
      <c r="O521" s="430">
        <f>M521/31</f>
        <v>2.6451612903225805</v>
      </c>
      <c r="P521" s="427">
        <f>N521/31</f>
        <v>6.4838709677419351</v>
      </c>
    </row>
    <row r="522" spans="1:16" ht="12" customHeight="1">
      <c r="A522" s="474"/>
      <c r="B522" s="127">
        <v>2</v>
      </c>
      <c r="C522" s="147">
        <v>74</v>
      </c>
      <c r="D522" s="147">
        <v>160</v>
      </c>
      <c r="E522" s="147">
        <v>0</v>
      </c>
      <c r="F522" s="147">
        <v>0</v>
      </c>
      <c r="G522" s="147">
        <v>6</v>
      </c>
      <c r="H522" s="147">
        <v>28</v>
      </c>
      <c r="I522" s="147">
        <v>2</v>
      </c>
      <c r="J522" s="147">
        <v>0</v>
      </c>
      <c r="K522" s="147">
        <v>5</v>
      </c>
      <c r="L522" s="174">
        <v>4</v>
      </c>
      <c r="M522" s="149">
        <f t="shared" si="69"/>
        <v>87</v>
      </c>
      <c r="N522" s="150">
        <f t="shared" si="70"/>
        <v>192</v>
      </c>
      <c r="O522" s="151">
        <f>M522/28</f>
        <v>3.1071428571428572</v>
      </c>
      <c r="P522" s="152">
        <f>N522/28</f>
        <v>6.8571428571428568</v>
      </c>
    </row>
    <row r="523" spans="1:16" ht="12" customHeight="1">
      <c r="A523" s="474"/>
      <c r="B523" s="127">
        <v>3</v>
      </c>
      <c r="C523" s="147">
        <v>98</v>
      </c>
      <c r="D523" s="147">
        <v>131</v>
      </c>
      <c r="E523" s="147">
        <v>2</v>
      </c>
      <c r="F523" s="147">
        <v>2</v>
      </c>
      <c r="G523" s="147">
        <v>15</v>
      </c>
      <c r="H523" s="147">
        <v>8</v>
      </c>
      <c r="I523" s="147">
        <v>12</v>
      </c>
      <c r="J523" s="147">
        <v>8</v>
      </c>
      <c r="K523" s="147">
        <v>3</v>
      </c>
      <c r="L523" s="174">
        <v>10</v>
      </c>
      <c r="M523" s="149">
        <f t="shared" si="69"/>
        <v>130</v>
      </c>
      <c r="N523" s="150">
        <f t="shared" si="70"/>
        <v>159</v>
      </c>
      <c r="O523" s="151">
        <f>M523/31</f>
        <v>4.193548387096774</v>
      </c>
      <c r="P523" s="152">
        <f>N523/31</f>
        <v>5.129032258064516</v>
      </c>
    </row>
    <row r="524" spans="1:16" ht="12" customHeight="1">
      <c r="A524" s="474"/>
      <c r="B524" s="127">
        <v>4</v>
      </c>
      <c r="C524" s="147">
        <v>147</v>
      </c>
      <c r="D524" s="147">
        <v>230</v>
      </c>
      <c r="E524" s="147">
        <v>2</v>
      </c>
      <c r="F524" s="147">
        <v>5</v>
      </c>
      <c r="G524" s="147">
        <v>18</v>
      </c>
      <c r="H524" s="147">
        <v>28</v>
      </c>
      <c r="I524" s="147">
        <v>4</v>
      </c>
      <c r="J524" s="147">
        <v>24</v>
      </c>
      <c r="K524" s="147">
        <v>18</v>
      </c>
      <c r="L524" s="174">
        <v>11</v>
      </c>
      <c r="M524" s="149">
        <f t="shared" si="69"/>
        <v>189</v>
      </c>
      <c r="N524" s="150">
        <f t="shared" si="70"/>
        <v>298</v>
      </c>
      <c r="O524" s="151">
        <f>M524/30</f>
        <v>6.3</v>
      </c>
      <c r="P524" s="152">
        <f>N524/30</f>
        <v>9.9333333333333336</v>
      </c>
    </row>
    <row r="525" spans="1:16" ht="12" customHeight="1">
      <c r="A525" s="474"/>
      <c r="B525" s="127">
        <v>5</v>
      </c>
      <c r="C525" s="147">
        <v>116</v>
      </c>
      <c r="D525" s="147">
        <v>271</v>
      </c>
      <c r="E525" s="147">
        <v>3</v>
      </c>
      <c r="F525" s="147">
        <v>3</v>
      </c>
      <c r="G525" s="147">
        <v>32</v>
      </c>
      <c r="H525" s="147">
        <v>59</v>
      </c>
      <c r="I525" s="147">
        <v>2</v>
      </c>
      <c r="J525" s="147">
        <v>0</v>
      </c>
      <c r="K525" s="147">
        <v>22</v>
      </c>
      <c r="L525" s="174">
        <v>103</v>
      </c>
      <c r="M525" s="149">
        <f t="shared" si="69"/>
        <v>175</v>
      </c>
      <c r="N525" s="150">
        <f t="shared" si="70"/>
        <v>436</v>
      </c>
      <c r="O525" s="156">
        <f>M525/31</f>
        <v>5.645161290322581</v>
      </c>
      <c r="P525" s="157">
        <f>N525/31</f>
        <v>14.064516129032258</v>
      </c>
    </row>
    <row r="526" spans="1:16" ht="12" customHeight="1">
      <c r="A526" s="474"/>
      <c r="B526" s="127">
        <v>6</v>
      </c>
      <c r="C526" s="153">
        <v>91</v>
      </c>
      <c r="D526" s="153">
        <v>154</v>
      </c>
      <c r="E526" s="153">
        <v>3</v>
      </c>
      <c r="F526" s="153">
        <v>3</v>
      </c>
      <c r="G526" s="153">
        <v>30</v>
      </c>
      <c r="H526" s="153">
        <v>90</v>
      </c>
      <c r="I526" s="153">
        <v>0</v>
      </c>
      <c r="J526" s="153">
        <v>2</v>
      </c>
      <c r="K526" s="153">
        <v>21</v>
      </c>
      <c r="L526" s="303">
        <v>44</v>
      </c>
      <c r="M526" s="154">
        <f t="shared" si="69"/>
        <v>145</v>
      </c>
      <c r="N526" s="155">
        <f t="shared" si="70"/>
        <v>293</v>
      </c>
      <c r="O526" s="156">
        <f>M526/30</f>
        <v>4.833333333333333</v>
      </c>
      <c r="P526" s="157">
        <f>N526/30</f>
        <v>9.7666666666666675</v>
      </c>
    </row>
    <row r="527" spans="1:16" ht="12" customHeight="1">
      <c r="A527" s="474"/>
      <c r="B527" s="127">
        <v>7</v>
      </c>
      <c r="C527" s="158">
        <v>118</v>
      </c>
      <c r="D527" s="158">
        <v>169</v>
      </c>
      <c r="E527" s="158">
        <v>0</v>
      </c>
      <c r="F527" s="158">
        <v>0</v>
      </c>
      <c r="G527" s="158">
        <v>16</v>
      </c>
      <c r="H527" s="158">
        <v>38</v>
      </c>
      <c r="I527" s="158">
        <v>3</v>
      </c>
      <c r="J527" s="158">
        <v>2</v>
      </c>
      <c r="K527" s="158">
        <v>4</v>
      </c>
      <c r="L527" s="158">
        <v>15</v>
      </c>
      <c r="M527" s="154">
        <f t="shared" si="69"/>
        <v>141</v>
      </c>
      <c r="N527" s="155">
        <f t="shared" si="70"/>
        <v>224</v>
      </c>
      <c r="O527" s="156">
        <f>M527/31</f>
        <v>4.5483870967741939</v>
      </c>
      <c r="P527" s="157">
        <f>N527/31</f>
        <v>7.225806451612903</v>
      </c>
    </row>
    <row r="528" spans="1:16" ht="12" customHeight="1">
      <c r="A528" s="474"/>
      <c r="B528" s="127">
        <v>8</v>
      </c>
      <c r="C528" s="158">
        <v>80</v>
      </c>
      <c r="D528" s="158">
        <v>185</v>
      </c>
      <c r="E528" s="158">
        <v>2</v>
      </c>
      <c r="F528" s="158">
        <v>2</v>
      </c>
      <c r="G528" s="158">
        <v>30</v>
      </c>
      <c r="H528" s="158">
        <v>54</v>
      </c>
      <c r="I528" s="158">
        <v>1</v>
      </c>
      <c r="J528" s="158">
        <v>0</v>
      </c>
      <c r="K528" s="158">
        <v>24</v>
      </c>
      <c r="L528" s="159">
        <v>9</v>
      </c>
      <c r="M528" s="154">
        <f t="shared" si="69"/>
        <v>137</v>
      </c>
      <c r="N528" s="155">
        <f t="shared" si="70"/>
        <v>250</v>
      </c>
      <c r="O528" s="156">
        <f>M528/31</f>
        <v>4.419354838709677</v>
      </c>
      <c r="P528" s="157">
        <f>N528/31</f>
        <v>8.064516129032258</v>
      </c>
    </row>
    <row r="529" spans="1:16" ht="12" customHeight="1">
      <c r="A529" s="474"/>
      <c r="B529" s="127">
        <v>9</v>
      </c>
      <c r="C529" s="147">
        <v>158</v>
      </c>
      <c r="D529" s="147">
        <v>188</v>
      </c>
      <c r="E529" s="147">
        <v>4</v>
      </c>
      <c r="F529" s="147">
        <v>3</v>
      </c>
      <c r="G529" s="147">
        <v>45</v>
      </c>
      <c r="H529" s="147">
        <v>36</v>
      </c>
      <c r="I529" s="147">
        <v>4</v>
      </c>
      <c r="J529" s="147">
        <v>5</v>
      </c>
      <c r="K529" s="147">
        <v>37</v>
      </c>
      <c r="L529" s="148">
        <v>24</v>
      </c>
      <c r="M529" s="154">
        <v>248</v>
      </c>
      <c r="N529" s="155">
        <v>256</v>
      </c>
      <c r="O529" s="156">
        <v>8.2666666666666675</v>
      </c>
      <c r="P529" s="157">
        <v>8.5333333333333332</v>
      </c>
    </row>
    <row r="530" spans="1:16" ht="12" customHeight="1">
      <c r="A530" s="474"/>
      <c r="B530" s="127">
        <v>10</v>
      </c>
      <c r="C530" s="147">
        <v>158</v>
      </c>
      <c r="D530" s="147">
        <v>276</v>
      </c>
      <c r="E530" s="147">
        <v>3</v>
      </c>
      <c r="F530" s="181">
        <v>24</v>
      </c>
      <c r="G530" s="147">
        <v>37</v>
      </c>
      <c r="H530" s="147">
        <v>120</v>
      </c>
      <c r="I530" s="147">
        <v>6</v>
      </c>
      <c r="J530" s="147">
        <v>7</v>
      </c>
      <c r="K530" s="147">
        <v>44</v>
      </c>
      <c r="L530" s="148">
        <v>141</v>
      </c>
      <c r="M530" s="154">
        <f t="shared" ref="M530:M532" si="71">+C530+E530+G530+I530+K530</f>
        <v>248</v>
      </c>
      <c r="N530" s="155">
        <f t="shared" ref="N530:N532" si="72">+D530+F530+H530+J530+L530</f>
        <v>568</v>
      </c>
      <c r="O530" s="156">
        <f>M530/30</f>
        <v>8.2666666666666675</v>
      </c>
      <c r="P530" s="157">
        <f>N530/30</f>
        <v>18.933333333333334</v>
      </c>
    </row>
    <row r="531" spans="1:16" ht="12" customHeight="1">
      <c r="A531" s="474"/>
      <c r="B531" s="127">
        <v>11</v>
      </c>
      <c r="C531" s="367">
        <v>95</v>
      </c>
      <c r="D531" s="367">
        <v>265</v>
      </c>
      <c r="E531" s="367">
        <v>1</v>
      </c>
      <c r="F531" s="367">
        <v>2</v>
      </c>
      <c r="G531" s="367">
        <v>7</v>
      </c>
      <c r="H531" s="367">
        <v>49</v>
      </c>
      <c r="I531" s="367">
        <v>5</v>
      </c>
      <c r="J531" s="367">
        <v>4</v>
      </c>
      <c r="K531" s="367">
        <v>11</v>
      </c>
      <c r="L531" s="368">
        <v>115</v>
      </c>
      <c r="M531" s="154">
        <f t="shared" si="71"/>
        <v>119</v>
      </c>
      <c r="N531" s="155">
        <f t="shared" si="72"/>
        <v>435</v>
      </c>
      <c r="O531" s="156">
        <f>M531/30</f>
        <v>3.9666666666666668</v>
      </c>
      <c r="P531" s="157">
        <f>N531/30</f>
        <v>14.5</v>
      </c>
    </row>
    <row r="532" spans="1:16" ht="12" customHeight="1" thickBot="1">
      <c r="A532" s="475"/>
      <c r="B532" s="127">
        <v>12</v>
      </c>
      <c r="C532" s="367">
        <v>91</v>
      </c>
      <c r="D532" s="367">
        <v>161</v>
      </c>
      <c r="E532" s="367">
        <v>0</v>
      </c>
      <c r="F532" s="367">
        <v>0</v>
      </c>
      <c r="G532" s="367">
        <v>8</v>
      </c>
      <c r="H532" s="367">
        <v>12</v>
      </c>
      <c r="I532" s="367">
        <v>4</v>
      </c>
      <c r="J532" s="367">
        <v>6</v>
      </c>
      <c r="K532" s="367">
        <v>6</v>
      </c>
      <c r="L532" s="368">
        <v>13</v>
      </c>
      <c r="M532" s="154">
        <f t="shared" si="71"/>
        <v>109</v>
      </c>
      <c r="N532" s="155">
        <f t="shared" si="72"/>
        <v>192</v>
      </c>
      <c r="O532" s="156">
        <f>M532/31</f>
        <v>3.5161290322580645</v>
      </c>
      <c r="P532" s="157">
        <f>N532/31</f>
        <v>6.193548387096774</v>
      </c>
    </row>
    <row r="533" spans="1:16" ht="12" customHeight="1">
      <c r="A533" s="473">
        <v>2020</v>
      </c>
      <c r="B533" s="410">
        <v>1</v>
      </c>
      <c r="C533" s="434">
        <v>63</v>
      </c>
      <c r="D533" s="434">
        <v>126</v>
      </c>
      <c r="E533" s="434">
        <v>1</v>
      </c>
      <c r="F533" s="434">
        <v>1</v>
      </c>
      <c r="G533" s="434">
        <v>9</v>
      </c>
      <c r="H533" s="434">
        <v>18</v>
      </c>
      <c r="I533" s="434">
        <v>1</v>
      </c>
      <c r="J533" s="434">
        <v>6</v>
      </c>
      <c r="K533" s="434">
        <v>3</v>
      </c>
      <c r="L533" s="436">
        <v>9</v>
      </c>
      <c r="M533" s="424">
        <f t="shared" ref="M533:M544" si="73">+C533+E533+G533+I533+K533</f>
        <v>77</v>
      </c>
      <c r="N533" s="425">
        <f t="shared" ref="N533:N544" si="74">+D533+F533+H533+J533+L533</f>
        <v>160</v>
      </c>
      <c r="O533" s="430">
        <f>M533/31</f>
        <v>2.4838709677419355</v>
      </c>
      <c r="P533" s="427">
        <f>N533/31</f>
        <v>5.161290322580645</v>
      </c>
    </row>
    <row r="534" spans="1:16" ht="12" customHeight="1">
      <c r="A534" s="474"/>
      <c r="B534" s="127">
        <v>2</v>
      </c>
      <c r="C534" s="147">
        <v>57</v>
      </c>
      <c r="D534" s="147">
        <v>104</v>
      </c>
      <c r="E534" s="147">
        <v>3</v>
      </c>
      <c r="F534" s="147">
        <v>2</v>
      </c>
      <c r="G534" s="147">
        <v>6</v>
      </c>
      <c r="H534" s="147">
        <v>14</v>
      </c>
      <c r="I534" s="147">
        <v>0</v>
      </c>
      <c r="J534" s="147">
        <v>0</v>
      </c>
      <c r="K534" s="147">
        <v>1</v>
      </c>
      <c r="L534" s="148">
        <v>2</v>
      </c>
      <c r="M534" s="149">
        <f t="shared" si="73"/>
        <v>67</v>
      </c>
      <c r="N534" s="150">
        <f t="shared" si="74"/>
        <v>122</v>
      </c>
      <c r="O534" s="151">
        <f>M534/28</f>
        <v>2.3928571428571428</v>
      </c>
      <c r="P534" s="152">
        <f>N534/28</f>
        <v>4.3571428571428568</v>
      </c>
    </row>
    <row r="535" spans="1:16" ht="12" customHeight="1">
      <c r="A535" s="474"/>
      <c r="B535" s="127">
        <v>3</v>
      </c>
      <c r="C535" s="147">
        <v>17</v>
      </c>
      <c r="D535" s="147">
        <v>32</v>
      </c>
      <c r="E535" s="147">
        <v>2</v>
      </c>
      <c r="F535" s="147">
        <v>2</v>
      </c>
      <c r="G535" s="147">
        <v>0</v>
      </c>
      <c r="H535" s="147">
        <v>0</v>
      </c>
      <c r="I535" s="147">
        <v>1</v>
      </c>
      <c r="J535" s="147">
        <v>1</v>
      </c>
      <c r="K535" s="147">
        <v>0</v>
      </c>
      <c r="L535" s="148">
        <v>0</v>
      </c>
      <c r="M535" s="149">
        <f t="shared" si="73"/>
        <v>20</v>
      </c>
      <c r="N535" s="150">
        <f t="shared" si="74"/>
        <v>35</v>
      </c>
      <c r="O535" s="151">
        <f>M535/31</f>
        <v>0.64516129032258063</v>
      </c>
      <c r="P535" s="152">
        <f>N535/31</f>
        <v>1.1290322580645162</v>
      </c>
    </row>
    <row r="536" spans="1:16" ht="12" customHeight="1">
      <c r="A536" s="474"/>
      <c r="B536" s="127">
        <v>4</v>
      </c>
      <c r="C536" s="147">
        <v>1</v>
      </c>
      <c r="D536" s="147">
        <v>1</v>
      </c>
      <c r="E536" s="147">
        <v>0</v>
      </c>
      <c r="F536" s="147">
        <v>0</v>
      </c>
      <c r="G536" s="147">
        <v>0</v>
      </c>
      <c r="H536" s="147">
        <v>2</v>
      </c>
      <c r="I536" s="147">
        <v>0</v>
      </c>
      <c r="J536" s="147">
        <v>0</v>
      </c>
      <c r="K536" s="147">
        <v>0</v>
      </c>
      <c r="L536" s="148">
        <v>0</v>
      </c>
      <c r="M536" s="149">
        <f t="shared" si="73"/>
        <v>1</v>
      </c>
      <c r="N536" s="150">
        <f t="shared" si="74"/>
        <v>3</v>
      </c>
      <c r="O536" s="151">
        <f>M536/30</f>
        <v>3.3333333333333333E-2</v>
      </c>
      <c r="P536" s="152">
        <f>N536/30</f>
        <v>0.1</v>
      </c>
    </row>
    <row r="537" spans="1:16" ht="12" customHeight="1">
      <c r="A537" s="474"/>
      <c r="B537" s="127">
        <v>5</v>
      </c>
      <c r="C537" s="147">
        <v>0</v>
      </c>
      <c r="D537" s="147">
        <v>0</v>
      </c>
      <c r="E537" s="147">
        <v>0</v>
      </c>
      <c r="F537" s="147">
        <v>0</v>
      </c>
      <c r="G537" s="147">
        <v>0</v>
      </c>
      <c r="H537" s="147">
        <v>0</v>
      </c>
      <c r="I537" s="147">
        <v>0</v>
      </c>
      <c r="J537" s="147">
        <v>0</v>
      </c>
      <c r="K537" s="147">
        <v>0</v>
      </c>
      <c r="L537" s="148">
        <v>0</v>
      </c>
      <c r="M537" s="149">
        <f t="shared" si="73"/>
        <v>0</v>
      </c>
      <c r="N537" s="150">
        <f t="shared" si="74"/>
        <v>0</v>
      </c>
      <c r="O537" s="156">
        <f>M537/31</f>
        <v>0</v>
      </c>
      <c r="P537" s="157">
        <f>N537/31</f>
        <v>0</v>
      </c>
    </row>
    <row r="538" spans="1:16" ht="12" customHeight="1">
      <c r="A538" s="474"/>
      <c r="B538" s="127">
        <v>6</v>
      </c>
      <c r="C538" s="147">
        <f>集計用!C24+集計用!C47</f>
        <v>8</v>
      </c>
      <c r="D538" s="147">
        <f>集計用!S24+集計用!S47</f>
        <v>10</v>
      </c>
      <c r="E538" s="147">
        <f>集計用!E24+集計用!E47</f>
        <v>0</v>
      </c>
      <c r="F538" s="147">
        <f>集計用!U24+集計用!U47</f>
        <v>0</v>
      </c>
      <c r="G538" s="147">
        <f>集計用!G24+集計用!G47</f>
        <v>0</v>
      </c>
      <c r="H538" s="147">
        <f>集計用!W24+集計用!W47</f>
        <v>0</v>
      </c>
      <c r="I538" s="147">
        <f>集計用!I24+集計用!I47</f>
        <v>2</v>
      </c>
      <c r="J538" s="147">
        <f>集計用!Y24+集計用!Y47</f>
        <v>2</v>
      </c>
      <c r="K538" s="147">
        <f>集計用!K47</f>
        <v>0</v>
      </c>
      <c r="L538" s="148">
        <f>集計用!AA47</f>
        <v>0</v>
      </c>
      <c r="M538" s="154">
        <f t="shared" si="73"/>
        <v>10</v>
      </c>
      <c r="N538" s="155">
        <f t="shared" si="74"/>
        <v>12</v>
      </c>
      <c r="O538" s="156">
        <f>M538/30</f>
        <v>0.33333333333333331</v>
      </c>
      <c r="P538" s="157">
        <f>N538/30</f>
        <v>0.4</v>
      </c>
    </row>
    <row r="539" spans="1:16" ht="12" customHeight="1">
      <c r="A539" s="474"/>
      <c r="B539" s="127">
        <v>7</v>
      </c>
      <c r="C539" s="158"/>
      <c r="D539" s="158"/>
      <c r="E539" s="158"/>
      <c r="F539" s="158"/>
      <c r="G539" s="158"/>
      <c r="H539" s="158"/>
      <c r="I539" s="158"/>
      <c r="J539" s="158"/>
      <c r="K539" s="158"/>
      <c r="L539" s="158"/>
      <c r="M539" s="154">
        <f t="shared" si="73"/>
        <v>0</v>
      </c>
      <c r="N539" s="155">
        <f t="shared" si="74"/>
        <v>0</v>
      </c>
      <c r="O539" s="156">
        <f>M539/31</f>
        <v>0</v>
      </c>
      <c r="P539" s="157">
        <f>N539/31</f>
        <v>0</v>
      </c>
    </row>
    <row r="540" spans="1:16" ht="12" customHeight="1">
      <c r="A540" s="474"/>
      <c r="B540" s="127">
        <v>8</v>
      </c>
      <c r="C540" s="158"/>
      <c r="D540" s="158"/>
      <c r="E540" s="158"/>
      <c r="F540" s="158"/>
      <c r="G540" s="158"/>
      <c r="H540" s="158"/>
      <c r="I540" s="158"/>
      <c r="J540" s="158"/>
      <c r="K540" s="158"/>
      <c r="L540" s="159"/>
      <c r="M540" s="154">
        <f t="shared" si="73"/>
        <v>0</v>
      </c>
      <c r="N540" s="155">
        <f t="shared" si="74"/>
        <v>0</v>
      </c>
      <c r="O540" s="156">
        <f>M540/31</f>
        <v>0</v>
      </c>
      <c r="P540" s="157">
        <f>N540/31</f>
        <v>0</v>
      </c>
    </row>
    <row r="541" spans="1:16" ht="12" customHeight="1">
      <c r="A541" s="474"/>
      <c r="B541" s="127">
        <v>9</v>
      </c>
      <c r="C541" s="147"/>
      <c r="D541" s="147"/>
      <c r="E541" s="147"/>
      <c r="F541" s="147"/>
      <c r="G541" s="147"/>
      <c r="H541" s="147"/>
      <c r="I541" s="147"/>
      <c r="J541" s="147"/>
      <c r="K541" s="147"/>
      <c r="L541" s="148"/>
      <c r="M541" s="154">
        <v>0</v>
      </c>
      <c r="N541" s="155">
        <v>0</v>
      </c>
      <c r="O541" s="156">
        <f t="shared" ref="O541:P543" si="75">M541/30</f>
        <v>0</v>
      </c>
      <c r="P541" s="157">
        <f t="shared" si="75"/>
        <v>0</v>
      </c>
    </row>
    <row r="542" spans="1:16" ht="12" customHeight="1">
      <c r="A542" s="474"/>
      <c r="B542" s="127">
        <v>10</v>
      </c>
      <c r="C542" s="147"/>
      <c r="D542" s="147"/>
      <c r="E542" s="147"/>
      <c r="F542" s="181"/>
      <c r="G542" s="147"/>
      <c r="H542" s="147"/>
      <c r="I542" s="147"/>
      <c r="J542" s="147"/>
      <c r="K542" s="147"/>
      <c r="L542" s="148"/>
      <c r="M542" s="154">
        <f t="shared" ref="M542" si="76">+C542+E542+G542+I542+K542</f>
        <v>0</v>
      </c>
      <c r="N542" s="155">
        <f t="shared" ref="N542" si="77">+D542+F542+H542+J542+L542</f>
        <v>0</v>
      </c>
      <c r="O542" s="156">
        <f t="shared" si="75"/>
        <v>0</v>
      </c>
      <c r="P542" s="157">
        <f t="shared" si="75"/>
        <v>0</v>
      </c>
    </row>
    <row r="543" spans="1:16" ht="12" customHeight="1">
      <c r="A543" s="474"/>
      <c r="B543" s="127">
        <v>11</v>
      </c>
      <c r="C543" s="367"/>
      <c r="D543" s="367"/>
      <c r="E543" s="367"/>
      <c r="F543" s="367"/>
      <c r="G543" s="367"/>
      <c r="H543" s="367"/>
      <c r="I543" s="367"/>
      <c r="J543" s="367"/>
      <c r="K543" s="367"/>
      <c r="L543" s="368"/>
      <c r="M543" s="154">
        <f t="shared" si="73"/>
        <v>0</v>
      </c>
      <c r="N543" s="155">
        <f t="shared" si="74"/>
        <v>0</v>
      </c>
      <c r="O543" s="156">
        <f t="shared" si="75"/>
        <v>0</v>
      </c>
      <c r="P543" s="157">
        <f t="shared" si="75"/>
        <v>0</v>
      </c>
    </row>
    <row r="544" spans="1:16" ht="12" customHeight="1" thickBot="1">
      <c r="A544" s="475"/>
      <c r="B544" s="127">
        <v>12</v>
      </c>
      <c r="C544" s="187"/>
      <c r="D544" s="187"/>
      <c r="E544" s="187"/>
      <c r="F544" s="188"/>
      <c r="G544" s="187"/>
      <c r="H544" s="187"/>
      <c r="I544" s="187"/>
      <c r="J544" s="187"/>
      <c r="K544" s="187"/>
      <c r="L544" s="189"/>
      <c r="M544" s="154">
        <f t="shared" si="73"/>
        <v>0</v>
      </c>
      <c r="N544" s="155">
        <f t="shared" si="74"/>
        <v>0</v>
      </c>
      <c r="O544" s="156">
        <f>M544/31</f>
        <v>0</v>
      </c>
      <c r="P544" s="157">
        <f>N544/31</f>
        <v>0</v>
      </c>
    </row>
    <row r="545" spans="1:16" s="2" customFormat="1" ht="12" customHeight="1" thickBot="1">
      <c r="A545" s="178"/>
      <c r="B545" s="160" t="s">
        <v>5</v>
      </c>
      <c r="C545" s="161">
        <f>SUM(C461:C544)</f>
        <v>6326</v>
      </c>
      <c r="D545" s="161">
        <f t="shared" ref="D545:K545" si="78">SUM(D461:D544)</f>
        <v>9110</v>
      </c>
      <c r="E545" s="161">
        <f t="shared" si="78"/>
        <v>93</v>
      </c>
      <c r="F545" s="161">
        <f t="shared" si="78"/>
        <v>110</v>
      </c>
      <c r="G545" s="161">
        <f t="shared" si="78"/>
        <v>949</v>
      </c>
      <c r="H545" s="161">
        <f t="shared" si="78"/>
        <v>1541</v>
      </c>
      <c r="I545" s="161">
        <f t="shared" si="78"/>
        <v>98</v>
      </c>
      <c r="J545" s="161">
        <f t="shared" si="78"/>
        <v>167</v>
      </c>
      <c r="K545" s="161">
        <f t="shared" si="78"/>
        <v>310</v>
      </c>
      <c r="L545" s="161">
        <f>SUM(L461:L544)</f>
        <v>769</v>
      </c>
      <c r="M545" s="170">
        <f>SUM(M461:M544)</f>
        <v>7776</v>
      </c>
      <c r="N545" s="161">
        <f>SUM(N461:N544)</f>
        <v>11697</v>
      </c>
      <c r="O545" s="161">
        <f>SUM(O461:O544)</f>
        <v>254.49156999841099</v>
      </c>
      <c r="P545" s="161">
        <f>SUM(P461:P544)</f>
        <v>383.40056676730757</v>
      </c>
    </row>
    <row r="546" spans="1:16" ht="12" customHeight="1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75"/>
    </row>
    <row r="547" spans="1:16" ht="12" customHeight="1">
      <c r="B547" s="467" t="s">
        <v>157</v>
      </c>
      <c r="C547" s="469" t="s">
        <v>29</v>
      </c>
      <c r="D547" s="470"/>
      <c r="E547" s="469" t="s">
        <v>30</v>
      </c>
      <c r="F547" s="470"/>
      <c r="G547" s="469" t="s">
        <v>31</v>
      </c>
      <c r="H547" s="470"/>
      <c r="I547" s="469" t="s">
        <v>58</v>
      </c>
      <c r="J547" s="470"/>
      <c r="K547" s="469" t="s">
        <v>57</v>
      </c>
      <c r="L547" s="471"/>
      <c r="M547" s="470" t="s">
        <v>5</v>
      </c>
      <c r="N547" s="472"/>
      <c r="O547" s="472" t="s">
        <v>33</v>
      </c>
      <c r="P547" s="472"/>
    </row>
    <row r="548" spans="1:16" ht="12" customHeight="1" thickBot="1">
      <c r="B548" s="468"/>
      <c r="C548" s="13" t="s">
        <v>34</v>
      </c>
      <c r="D548" s="13" t="s">
        <v>35</v>
      </c>
      <c r="E548" s="13" t="s">
        <v>34</v>
      </c>
      <c r="F548" s="13" t="s">
        <v>35</v>
      </c>
      <c r="G548" s="13" t="s">
        <v>34</v>
      </c>
      <c r="H548" s="13" t="s">
        <v>35</v>
      </c>
      <c r="I548" s="13" t="s">
        <v>59</v>
      </c>
      <c r="J548" s="13" t="s">
        <v>60</v>
      </c>
      <c r="K548" s="13" t="s">
        <v>34</v>
      </c>
      <c r="L548" s="14" t="s">
        <v>35</v>
      </c>
      <c r="M548" s="15" t="s">
        <v>34</v>
      </c>
      <c r="N548" s="13" t="s">
        <v>35</v>
      </c>
      <c r="O548" s="163" t="s">
        <v>34</v>
      </c>
      <c r="P548" s="163" t="s">
        <v>35</v>
      </c>
    </row>
    <row r="549" spans="1:16" s="3" customFormat="1" ht="9.75" customHeight="1">
      <c r="A549" s="487">
        <v>2014</v>
      </c>
      <c r="B549" s="410">
        <v>1</v>
      </c>
      <c r="C549" s="411"/>
      <c r="D549" s="411"/>
      <c r="E549" s="411"/>
      <c r="F549" s="411"/>
      <c r="G549" s="411"/>
      <c r="H549" s="411"/>
      <c r="I549" s="411"/>
      <c r="J549" s="411"/>
      <c r="K549" s="411"/>
      <c r="L549" s="412"/>
      <c r="M549" s="413">
        <f t="shared" ref="M549:M580" si="79">+C549+E549+G549+I549+K549</f>
        <v>0</v>
      </c>
      <c r="N549" s="411">
        <f t="shared" ref="N549:N580" si="80">+D549+F549+H549+J549+L549</f>
        <v>0</v>
      </c>
      <c r="O549" s="414">
        <f t="shared" ref="O549:O568" si="81">M549/31</f>
        <v>0</v>
      </c>
      <c r="P549" s="415">
        <f t="shared" ref="P549:P568" si="82">N549/31</f>
        <v>0</v>
      </c>
    </row>
    <row r="550" spans="1:16" s="3" customFormat="1" ht="9.75" customHeight="1">
      <c r="A550" s="488"/>
      <c r="B550" s="127">
        <v>2</v>
      </c>
      <c r="C550" s="128"/>
      <c r="D550" s="128"/>
      <c r="E550" s="128"/>
      <c r="F550" s="128"/>
      <c r="G550" s="128"/>
      <c r="H550" s="128"/>
      <c r="I550" s="128"/>
      <c r="J550" s="128"/>
      <c r="K550" s="128"/>
      <c r="L550" s="129"/>
      <c r="M550" s="130">
        <f t="shared" si="79"/>
        <v>0</v>
      </c>
      <c r="N550" s="128">
        <f t="shared" si="80"/>
        <v>0</v>
      </c>
      <c r="O550" s="131">
        <f t="shared" si="81"/>
        <v>0</v>
      </c>
      <c r="P550" s="132">
        <f t="shared" si="82"/>
        <v>0</v>
      </c>
    </row>
    <row r="551" spans="1:16" s="3" customFormat="1" ht="9.75" customHeight="1">
      <c r="A551" s="488"/>
      <c r="B551" s="127">
        <v>3</v>
      </c>
      <c r="C551" s="128">
        <v>15</v>
      </c>
      <c r="D551" s="128">
        <v>22</v>
      </c>
      <c r="E551" s="128">
        <v>0</v>
      </c>
      <c r="F551" s="128">
        <v>0</v>
      </c>
      <c r="G551" s="128">
        <v>0</v>
      </c>
      <c r="H551" s="128">
        <v>0</v>
      </c>
      <c r="I551" s="128">
        <v>0</v>
      </c>
      <c r="J551" s="128">
        <v>0</v>
      </c>
      <c r="K551" s="128"/>
      <c r="L551" s="164"/>
      <c r="M551" s="130">
        <f t="shared" si="79"/>
        <v>15</v>
      </c>
      <c r="N551" s="128">
        <f t="shared" si="80"/>
        <v>22</v>
      </c>
      <c r="O551" s="131">
        <f t="shared" si="81"/>
        <v>0.4838709677419355</v>
      </c>
      <c r="P551" s="132">
        <f t="shared" si="82"/>
        <v>0.70967741935483875</v>
      </c>
    </row>
    <row r="552" spans="1:16" s="3" customFormat="1" ht="9.75" customHeight="1">
      <c r="A552" s="488"/>
      <c r="B552" s="127">
        <v>4</v>
      </c>
      <c r="C552" s="138">
        <v>12</v>
      </c>
      <c r="D552" s="138">
        <v>32</v>
      </c>
      <c r="E552" s="138">
        <v>0</v>
      </c>
      <c r="F552" s="138">
        <v>0</v>
      </c>
      <c r="G552" s="138">
        <v>2</v>
      </c>
      <c r="H552" s="138">
        <v>1</v>
      </c>
      <c r="I552" s="138">
        <v>0</v>
      </c>
      <c r="J552" s="138">
        <v>0</v>
      </c>
      <c r="K552" s="138"/>
      <c r="L552" s="143"/>
      <c r="M552" s="140">
        <f t="shared" si="79"/>
        <v>14</v>
      </c>
      <c r="N552" s="138">
        <f t="shared" si="80"/>
        <v>33</v>
      </c>
      <c r="O552" s="141">
        <f t="shared" si="81"/>
        <v>0.45161290322580644</v>
      </c>
      <c r="P552" s="142">
        <f t="shared" si="82"/>
        <v>1.064516129032258</v>
      </c>
    </row>
    <row r="553" spans="1:16" s="3" customFormat="1" ht="9.75" customHeight="1">
      <c r="A553" s="488"/>
      <c r="B553" s="127">
        <v>5</v>
      </c>
      <c r="C553" s="128">
        <v>4</v>
      </c>
      <c r="D553" s="128">
        <v>10</v>
      </c>
      <c r="E553" s="128">
        <v>0</v>
      </c>
      <c r="F553" s="128">
        <v>0</v>
      </c>
      <c r="G553" s="128">
        <v>0</v>
      </c>
      <c r="H553" s="128">
        <v>0</v>
      </c>
      <c r="I553" s="128">
        <v>0</v>
      </c>
      <c r="J553" s="128">
        <v>0</v>
      </c>
      <c r="K553" s="128"/>
      <c r="L553" s="164"/>
      <c r="M553" s="130">
        <f t="shared" si="79"/>
        <v>4</v>
      </c>
      <c r="N553" s="146">
        <f t="shared" si="80"/>
        <v>10</v>
      </c>
      <c r="O553" s="165">
        <f t="shared" si="81"/>
        <v>0.12903225806451613</v>
      </c>
      <c r="P553" s="132">
        <f t="shared" si="82"/>
        <v>0.32258064516129031</v>
      </c>
    </row>
    <row r="554" spans="1:16" s="3" customFormat="1" ht="9.75" customHeight="1">
      <c r="A554" s="488"/>
      <c r="B554" s="127">
        <v>6</v>
      </c>
      <c r="C554" s="133">
        <v>4</v>
      </c>
      <c r="D554" s="133">
        <v>4</v>
      </c>
      <c r="E554" s="133">
        <v>0</v>
      </c>
      <c r="F554" s="133">
        <v>0</v>
      </c>
      <c r="G554" s="133">
        <v>0</v>
      </c>
      <c r="H554" s="133">
        <v>0</v>
      </c>
      <c r="I554" s="133">
        <v>0</v>
      </c>
      <c r="J554" s="133">
        <v>0</v>
      </c>
      <c r="K554" s="133"/>
      <c r="L554" s="134"/>
      <c r="M554" s="145">
        <f t="shared" si="79"/>
        <v>4</v>
      </c>
      <c r="N554" s="145">
        <f t="shared" si="80"/>
        <v>4</v>
      </c>
      <c r="O554" s="166">
        <f t="shared" si="81"/>
        <v>0.12903225806451613</v>
      </c>
      <c r="P554" s="137">
        <f t="shared" si="82"/>
        <v>0.12903225806451613</v>
      </c>
    </row>
    <row r="555" spans="1:16" s="3" customFormat="1" ht="9.75" customHeight="1">
      <c r="A555" s="488"/>
      <c r="B555" s="127">
        <v>7</v>
      </c>
      <c r="C555" s="133">
        <v>17</v>
      </c>
      <c r="D555" s="133">
        <v>18</v>
      </c>
      <c r="E555" s="133">
        <v>0</v>
      </c>
      <c r="F555" s="133">
        <v>0</v>
      </c>
      <c r="G555" s="133">
        <v>2</v>
      </c>
      <c r="H555" s="133">
        <v>0</v>
      </c>
      <c r="I555" s="133">
        <v>0</v>
      </c>
      <c r="J555" s="133">
        <v>0</v>
      </c>
      <c r="K555" s="133"/>
      <c r="L555" s="129"/>
      <c r="M555" s="145">
        <f t="shared" si="79"/>
        <v>19</v>
      </c>
      <c r="N555" s="145">
        <f t="shared" si="80"/>
        <v>18</v>
      </c>
      <c r="O555" s="166">
        <f t="shared" si="81"/>
        <v>0.61290322580645162</v>
      </c>
      <c r="P555" s="137">
        <f t="shared" si="82"/>
        <v>0.58064516129032262</v>
      </c>
    </row>
    <row r="556" spans="1:16" s="3" customFormat="1" ht="9.75" customHeight="1">
      <c r="A556" s="488"/>
      <c r="B556" s="127">
        <v>8</v>
      </c>
      <c r="C556" s="133">
        <v>12</v>
      </c>
      <c r="D556" s="133">
        <v>15</v>
      </c>
      <c r="E556" s="133">
        <v>0</v>
      </c>
      <c r="F556" s="133">
        <v>0</v>
      </c>
      <c r="G556" s="133">
        <v>2</v>
      </c>
      <c r="H556" s="133">
        <v>0</v>
      </c>
      <c r="I556" s="133">
        <v>1</v>
      </c>
      <c r="J556" s="133">
        <v>2</v>
      </c>
      <c r="K556" s="133"/>
      <c r="L556" s="134"/>
      <c r="M556" s="135">
        <f t="shared" si="79"/>
        <v>15</v>
      </c>
      <c r="N556" s="145">
        <f t="shared" si="80"/>
        <v>17</v>
      </c>
      <c r="O556" s="166">
        <f t="shared" si="81"/>
        <v>0.4838709677419355</v>
      </c>
      <c r="P556" s="137">
        <f t="shared" si="82"/>
        <v>0.54838709677419351</v>
      </c>
    </row>
    <row r="557" spans="1:16" s="3" customFormat="1" ht="9.75" customHeight="1">
      <c r="A557" s="488"/>
      <c r="B557" s="127">
        <v>9</v>
      </c>
      <c r="C557" s="133">
        <v>15</v>
      </c>
      <c r="D557" s="133">
        <v>16</v>
      </c>
      <c r="E557" s="133">
        <v>0</v>
      </c>
      <c r="F557" s="133">
        <v>0</v>
      </c>
      <c r="G557" s="133">
        <v>0</v>
      </c>
      <c r="H557" s="133">
        <v>0</v>
      </c>
      <c r="I557" s="133">
        <v>0</v>
      </c>
      <c r="J557" s="133">
        <v>0</v>
      </c>
      <c r="K557" s="133"/>
      <c r="L557" s="144"/>
      <c r="M557" s="135">
        <f t="shared" si="79"/>
        <v>15</v>
      </c>
      <c r="N557" s="145">
        <f t="shared" si="80"/>
        <v>16</v>
      </c>
      <c r="O557" s="166">
        <f t="shared" si="81"/>
        <v>0.4838709677419355</v>
      </c>
      <c r="P557" s="137">
        <f t="shared" si="82"/>
        <v>0.5161290322580645</v>
      </c>
    </row>
    <row r="558" spans="1:16" s="3" customFormat="1" ht="9.75" customHeight="1">
      <c r="A558" s="488"/>
      <c r="B558" s="127">
        <v>10</v>
      </c>
      <c r="C558" s="133">
        <v>17</v>
      </c>
      <c r="D558" s="133">
        <v>14</v>
      </c>
      <c r="E558" s="133">
        <v>0</v>
      </c>
      <c r="F558" s="133">
        <v>0</v>
      </c>
      <c r="G558" s="133">
        <v>0</v>
      </c>
      <c r="H558" s="133">
        <v>0</v>
      </c>
      <c r="I558" s="133">
        <v>0</v>
      </c>
      <c r="J558" s="133">
        <v>0</v>
      </c>
      <c r="K558" s="133"/>
      <c r="L558" s="144"/>
      <c r="M558" s="135">
        <f t="shared" si="79"/>
        <v>17</v>
      </c>
      <c r="N558" s="145">
        <f t="shared" si="80"/>
        <v>14</v>
      </c>
      <c r="O558" s="166">
        <f t="shared" si="81"/>
        <v>0.54838709677419351</v>
      </c>
      <c r="P558" s="137">
        <f t="shared" si="82"/>
        <v>0.45161290322580644</v>
      </c>
    </row>
    <row r="559" spans="1:16" s="3" customFormat="1" ht="9.75" customHeight="1">
      <c r="A559" s="488"/>
      <c r="B559" s="127">
        <v>11</v>
      </c>
      <c r="C559" s="133">
        <v>30</v>
      </c>
      <c r="D559" s="133">
        <v>27</v>
      </c>
      <c r="E559" s="133">
        <v>0</v>
      </c>
      <c r="F559" s="133">
        <v>0</v>
      </c>
      <c r="G559" s="133">
        <v>1</v>
      </c>
      <c r="H559" s="133">
        <v>2</v>
      </c>
      <c r="I559" s="133">
        <v>0</v>
      </c>
      <c r="J559" s="133">
        <v>0</v>
      </c>
      <c r="K559" s="133"/>
      <c r="L559" s="144"/>
      <c r="M559" s="135">
        <f t="shared" si="79"/>
        <v>31</v>
      </c>
      <c r="N559" s="145">
        <f t="shared" si="80"/>
        <v>29</v>
      </c>
      <c r="O559" s="166">
        <f t="shared" si="81"/>
        <v>1</v>
      </c>
      <c r="P559" s="137">
        <f t="shared" si="82"/>
        <v>0.93548387096774188</v>
      </c>
    </row>
    <row r="560" spans="1:16" s="3" customFormat="1" ht="9.75" customHeight="1" thickBot="1">
      <c r="A560" s="488"/>
      <c r="B560" s="127">
        <v>12</v>
      </c>
      <c r="C560" s="133">
        <v>120</v>
      </c>
      <c r="D560" s="133">
        <v>154</v>
      </c>
      <c r="E560" s="133">
        <v>0</v>
      </c>
      <c r="F560" s="133">
        <v>0</v>
      </c>
      <c r="G560" s="133">
        <v>0</v>
      </c>
      <c r="H560" s="133">
        <v>0</v>
      </c>
      <c r="I560" s="133">
        <v>0</v>
      </c>
      <c r="J560" s="133">
        <v>0</v>
      </c>
      <c r="K560" s="133"/>
      <c r="L560" s="144"/>
      <c r="M560" s="135">
        <f t="shared" si="79"/>
        <v>120</v>
      </c>
      <c r="N560" s="145">
        <f t="shared" si="80"/>
        <v>154</v>
      </c>
      <c r="O560" s="166">
        <f t="shared" si="81"/>
        <v>3.870967741935484</v>
      </c>
      <c r="P560" s="137">
        <f t="shared" si="82"/>
        <v>4.967741935483871</v>
      </c>
    </row>
    <row r="561" spans="1:60" s="3" customFormat="1" ht="9.75" customHeight="1">
      <c r="A561" s="487">
        <v>2015</v>
      </c>
      <c r="B561" s="410">
        <v>1</v>
      </c>
      <c r="C561" s="416">
        <v>70</v>
      </c>
      <c r="D561" s="416">
        <v>104</v>
      </c>
      <c r="E561" s="416">
        <v>0</v>
      </c>
      <c r="F561" s="416">
        <v>0</v>
      </c>
      <c r="G561" s="416">
        <v>5</v>
      </c>
      <c r="H561" s="416">
        <v>8</v>
      </c>
      <c r="I561" s="416">
        <v>0</v>
      </c>
      <c r="J561" s="416">
        <v>0</v>
      </c>
      <c r="K561" s="416"/>
      <c r="L561" s="431"/>
      <c r="M561" s="418">
        <f t="shared" si="79"/>
        <v>75</v>
      </c>
      <c r="N561" s="419">
        <f t="shared" si="80"/>
        <v>112</v>
      </c>
      <c r="O561" s="429">
        <f t="shared" si="81"/>
        <v>2.4193548387096775</v>
      </c>
      <c r="P561" s="421">
        <f t="shared" si="82"/>
        <v>3.6129032258064515</v>
      </c>
      <c r="Q561" s="343"/>
      <c r="R561" s="343"/>
      <c r="S561" s="343"/>
      <c r="T561" s="343"/>
      <c r="U561" s="343"/>
      <c r="V561" s="343"/>
      <c r="W561" s="343"/>
      <c r="X561" s="343"/>
      <c r="Y561" s="343"/>
      <c r="Z561" s="343"/>
      <c r="AA561" s="343"/>
      <c r="AB561" s="343"/>
      <c r="AC561" s="343"/>
      <c r="AD561" s="343"/>
      <c r="AE561" s="343"/>
      <c r="AF561" s="343"/>
      <c r="AG561" s="343"/>
      <c r="AH561" s="343"/>
      <c r="AI561" s="343"/>
      <c r="AJ561" s="343"/>
      <c r="AK561" s="343"/>
      <c r="AL561" s="343"/>
      <c r="AM561" s="343"/>
      <c r="AN561" s="343"/>
      <c r="AO561" s="343"/>
      <c r="AP561" s="343"/>
      <c r="AQ561" s="343"/>
      <c r="AR561" s="343"/>
      <c r="AS561" s="343"/>
      <c r="AT561" s="343"/>
      <c r="AU561" s="343"/>
      <c r="AV561" s="343"/>
      <c r="AW561" s="343"/>
      <c r="AX561" s="343"/>
      <c r="AY561" s="343"/>
      <c r="AZ561" s="343"/>
      <c r="BA561" s="343"/>
      <c r="BB561" s="343"/>
      <c r="BC561" s="343"/>
      <c r="BD561" s="343"/>
      <c r="BE561" s="343"/>
      <c r="BF561" s="343"/>
      <c r="BG561" s="343"/>
      <c r="BH561" s="343"/>
    </row>
    <row r="562" spans="1:60" s="3" customFormat="1" ht="9.75" customHeight="1">
      <c r="A562" s="488"/>
      <c r="B562" s="127">
        <v>2</v>
      </c>
      <c r="C562" s="128">
        <v>69</v>
      </c>
      <c r="D562" s="128">
        <v>93</v>
      </c>
      <c r="E562" s="128">
        <v>0</v>
      </c>
      <c r="F562" s="128">
        <v>0</v>
      </c>
      <c r="G562" s="128">
        <v>0</v>
      </c>
      <c r="H562" s="128">
        <v>0</v>
      </c>
      <c r="I562" s="128">
        <v>2</v>
      </c>
      <c r="J562" s="128">
        <v>4</v>
      </c>
      <c r="K562" s="128"/>
      <c r="L562" s="164"/>
      <c r="M562" s="130">
        <f t="shared" si="79"/>
        <v>71</v>
      </c>
      <c r="N562" s="146">
        <f t="shared" si="80"/>
        <v>97</v>
      </c>
      <c r="O562" s="165">
        <f t="shared" si="81"/>
        <v>2.2903225806451615</v>
      </c>
      <c r="P562" s="132">
        <f t="shared" si="82"/>
        <v>3.129032258064516</v>
      </c>
      <c r="Q562" s="343"/>
      <c r="R562" s="343"/>
      <c r="S562" s="343"/>
      <c r="T562" s="343"/>
      <c r="U562" s="343"/>
      <c r="V562" s="343"/>
      <c r="W562" s="343"/>
      <c r="X562" s="343"/>
      <c r="Y562" s="343"/>
      <c r="Z562" s="343"/>
      <c r="AA562" s="343"/>
      <c r="AB562" s="343"/>
      <c r="AC562" s="343"/>
      <c r="AD562" s="343"/>
      <c r="AE562" s="343"/>
      <c r="AF562" s="343"/>
      <c r="AG562" s="343"/>
      <c r="AH562" s="343"/>
      <c r="AI562" s="343"/>
      <c r="AJ562" s="343"/>
      <c r="AK562" s="343"/>
      <c r="AL562" s="343"/>
      <c r="AM562" s="343"/>
      <c r="AN562" s="343"/>
      <c r="AO562" s="343"/>
      <c r="AP562" s="343"/>
      <c r="AQ562" s="343"/>
      <c r="AR562" s="343"/>
      <c r="AS562" s="343"/>
      <c r="AT562" s="343"/>
      <c r="AU562" s="343"/>
      <c r="AV562" s="343"/>
      <c r="AW562" s="343"/>
      <c r="AX562" s="343"/>
      <c r="AY562" s="343"/>
      <c r="AZ562" s="343"/>
      <c r="BA562" s="343"/>
      <c r="BB562" s="343"/>
      <c r="BC562" s="343"/>
      <c r="BD562" s="343"/>
      <c r="BE562" s="343"/>
      <c r="BF562" s="343"/>
      <c r="BG562" s="343"/>
      <c r="BH562" s="343"/>
    </row>
    <row r="563" spans="1:60" s="3" customFormat="1" ht="9.75" customHeight="1">
      <c r="A563" s="488"/>
      <c r="B563" s="127">
        <v>3</v>
      </c>
      <c r="C563" s="128">
        <v>48</v>
      </c>
      <c r="D563" s="128">
        <v>74</v>
      </c>
      <c r="E563" s="128">
        <v>0</v>
      </c>
      <c r="F563" s="128">
        <v>0</v>
      </c>
      <c r="G563" s="128">
        <v>2</v>
      </c>
      <c r="H563" s="128">
        <v>0</v>
      </c>
      <c r="I563" s="128">
        <v>0</v>
      </c>
      <c r="J563" s="128">
        <v>0</v>
      </c>
      <c r="K563" s="128"/>
      <c r="L563" s="164"/>
      <c r="M563" s="130">
        <f t="shared" si="79"/>
        <v>50</v>
      </c>
      <c r="N563" s="146">
        <f t="shared" si="80"/>
        <v>74</v>
      </c>
      <c r="O563" s="165">
        <f t="shared" si="81"/>
        <v>1.6129032258064515</v>
      </c>
      <c r="P563" s="132">
        <f t="shared" si="82"/>
        <v>2.3870967741935485</v>
      </c>
      <c r="Q563" s="343"/>
      <c r="R563" s="343"/>
      <c r="S563" s="343"/>
      <c r="T563" s="343"/>
      <c r="U563" s="343"/>
      <c r="V563" s="343"/>
      <c r="W563" s="343"/>
      <c r="X563" s="343"/>
      <c r="Y563" s="343"/>
      <c r="Z563" s="343"/>
      <c r="AA563" s="343"/>
      <c r="AB563" s="343"/>
      <c r="AC563" s="343"/>
      <c r="AD563" s="343"/>
      <c r="AE563" s="343"/>
      <c r="AF563" s="343"/>
      <c r="AG563" s="343"/>
      <c r="AH563" s="343"/>
      <c r="AI563" s="343"/>
      <c r="AJ563" s="343"/>
      <c r="AK563" s="343"/>
      <c r="AL563" s="343"/>
      <c r="AM563" s="343"/>
      <c r="AN563" s="343"/>
      <c r="AO563" s="343"/>
      <c r="AP563" s="343"/>
      <c r="AQ563" s="343"/>
      <c r="AR563" s="343"/>
      <c r="AS563" s="343"/>
      <c r="AT563" s="343"/>
      <c r="AU563" s="343"/>
      <c r="AV563" s="343"/>
      <c r="AW563" s="343"/>
      <c r="AX563" s="343"/>
      <c r="AY563" s="343"/>
      <c r="AZ563" s="343"/>
      <c r="BA563" s="343"/>
      <c r="BB563" s="343"/>
      <c r="BC563" s="343"/>
      <c r="BD563" s="343"/>
      <c r="BE563" s="343"/>
      <c r="BF563" s="343"/>
      <c r="BG563" s="343"/>
      <c r="BH563" s="343"/>
    </row>
    <row r="564" spans="1:60" s="3" customFormat="1" ht="9.75" customHeight="1">
      <c r="A564" s="488"/>
      <c r="B564" s="127">
        <v>4</v>
      </c>
      <c r="C564" s="133">
        <v>24</v>
      </c>
      <c r="D564" s="133">
        <v>21</v>
      </c>
      <c r="E564" s="133">
        <v>0</v>
      </c>
      <c r="F564" s="133">
        <v>0</v>
      </c>
      <c r="G564" s="133">
        <v>1</v>
      </c>
      <c r="H564" s="133">
        <v>1</v>
      </c>
      <c r="I564" s="133">
        <v>0</v>
      </c>
      <c r="J564" s="133">
        <v>0</v>
      </c>
      <c r="K564" s="133"/>
      <c r="L564" s="144"/>
      <c r="M564" s="135">
        <f t="shared" si="79"/>
        <v>25</v>
      </c>
      <c r="N564" s="145">
        <f t="shared" si="80"/>
        <v>22</v>
      </c>
      <c r="O564" s="166">
        <f t="shared" si="81"/>
        <v>0.80645161290322576</v>
      </c>
      <c r="P564" s="137">
        <f t="shared" si="82"/>
        <v>0.70967741935483875</v>
      </c>
      <c r="Q564" s="343"/>
      <c r="R564" s="343"/>
      <c r="S564" s="343"/>
      <c r="T564" s="343"/>
      <c r="U564" s="343"/>
      <c r="V564" s="343"/>
      <c r="W564" s="343"/>
      <c r="X564" s="343"/>
      <c r="Y564" s="343"/>
      <c r="Z564" s="343"/>
      <c r="AA564" s="343"/>
      <c r="AB564" s="343"/>
      <c r="AC564" s="343"/>
      <c r="AD564" s="343"/>
      <c r="AE564" s="343"/>
      <c r="AF564" s="343"/>
      <c r="AG564" s="343"/>
      <c r="AH564" s="343"/>
      <c r="AI564" s="343"/>
      <c r="AJ564" s="343"/>
      <c r="AK564" s="343"/>
      <c r="AL564" s="343"/>
      <c r="AM564" s="343"/>
      <c r="AN564" s="343"/>
      <c r="AO564" s="343"/>
      <c r="AP564" s="343"/>
      <c r="AQ564" s="343"/>
      <c r="AR564" s="343"/>
      <c r="AS564" s="343"/>
      <c r="AT564" s="343"/>
      <c r="AU564" s="343"/>
      <c r="AV564" s="343"/>
      <c r="AW564" s="343"/>
      <c r="AX564" s="343"/>
      <c r="AY564" s="343"/>
      <c r="AZ564" s="343"/>
      <c r="BA564" s="343"/>
      <c r="BB564" s="343"/>
      <c r="BC564" s="343"/>
      <c r="BD564" s="343"/>
      <c r="BE564" s="343"/>
      <c r="BF564" s="343"/>
      <c r="BG564" s="343"/>
      <c r="BH564" s="343"/>
    </row>
    <row r="565" spans="1:60" s="3" customFormat="1" ht="9.75" customHeight="1">
      <c r="A565" s="488"/>
      <c r="B565" s="127">
        <v>5</v>
      </c>
      <c r="C565" s="133">
        <v>19</v>
      </c>
      <c r="D565" s="133">
        <v>24</v>
      </c>
      <c r="E565" s="133">
        <v>0</v>
      </c>
      <c r="F565" s="133">
        <v>0</v>
      </c>
      <c r="G565" s="133">
        <v>1</v>
      </c>
      <c r="H565" s="133">
        <v>2</v>
      </c>
      <c r="I565" s="133">
        <v>0</v>
      </c>
      <c r="J565" s="133">
        <v>0</v>
      </c>
      <c r="K565" s="133"/>
      <c r="L565" s="144"/>
      <c r="M565" s="135">
        <f t="shared" si="79"/>
        <v>20</v>
      </c>
      <c r="N565" s="145">
        <f t="shared" si="80"/>
        <v>26</v>
      </c>
      <c r="O565" s="166">
        <f t="shared" si="81"/>
        <v>0.64516129032258063</v>
      </c>
      <c r="P565" s="137">
        <f t="shared" si="82"/>
        <v>0.83870967741935487</v>
      </c>
      <c r="Q565" s="343"/>
      <c r="R565" s="343"/>
      <c r="S565" s="343"/>
      <c r="T565" s="343"/>
      <c r="U565" s="343"/>
      <c r="V565" s="343"/>
      <c r="W565" s="343"/>
      <c r="X565" s="343"/>
      <c r="Y565" s="343"/>
      <c r="Z565" s="343"/>
      <c r="AA565" s="343"/>
      <c r="AB565" s="343"/>
      <c r="AC565" s="343"/>
      <c r="AD565" s="343"/>
      <c r="AE565" s="343"/>
      <c r="AF565" s="343"/>
      <c r="AG565" s="343"/>
      <c r="AH565" s="343"/>
      <c r="AI565" s="343"/>
      <c r="AJ565" s="343"/>
      <c r="AK565" s="343"/>
      <c r="AL565" s="343"/>
      <c r="AM565" s="343"/>
      <c r="AN565" s="343"/>
      <c r="AO565" s="343"/>
      <c r="AP565" s="343"/>
      <c r="AQ565" s="343"/>
      <c r="AR565" s="343"/>
      <c r="AS565" s="343"/>
      <c r="AT565" s="343"/>
      <c r="AU565" s="343"/>
      <c r="AV565" s="343"/>
      <c r="AW565" s="343"/>
      <c r="AX565" s="343"/>
      <c r="AY565" s="343"/>
      <c r="AZ565" s="343"/>
      <c r="BA565" s="343"/>
      <c r="BB565" s="343"/>
      <c r="BC565" s="343"/>
      <c r="BD565" s="343"/>
      <c r="BE565" s="343"/>
      <c r="BF565" s="343"/>
      <c r="BG565" s="343"/>
      <c r="BH565" s="343"/>
    </row>
    <row r="566" spans="1:60" s="3" customFormat="1" ht="9.75" customHeight="1">
      <c r="A566" s="488"/>
      <c r="B566" s="127">
        <v>6</v>
      </c>
      <c r="C566" s="133">
        <v>16</v>
      </c>
      <c r="D566" s="133">
        <v>21</v>
      </c>
      <c r="E566" s="133">
        <v>0</v>
      </c>
      <c r="F566" s="133">
        <v>0</v>
      </c>
      <c r="G566" s="133">
        <v>0</v>
      </c>
      <c r="H566" s="133">
        <v>0</v>
      </c>
      <c r="I566" s="133">
        <v>1</v>
      </c>
      <c r="J566" s="133">
        <v>1</v>
      </c>
      <c r="K566" s="133"/>
      <c r="L566" s="144"/>
      <c r="M566" s="135">
        <f t="shared" si="79"/>
        <v>17</v>
      </c>
      <c r="N566" s="145">
        <f t="shared" si="80"/>
        <v>22</v>
      </c>
      <c r="O566" s="166">
        <f t="shared" si="81"/>
        <v>0.54838709677419351</v>
      </c>
      <c r="P566" s="137">
        <f t="shared" si="82"/>
        <v>0.70967741935483875</v>
      </c>
      <c r="Q566" s="343"/>
      <c r="R566" s="343"/>
      <c r="S566" s="343"/>
      <c r="T566" s="343"/>
      <c r="U566" s="343"/>
      <c r="V566" s="343"/>
      <c r="W566" s="343"/>
      <c r="X566" s="343"/>
      <c r="Y566" s="343"/>
      <c r="Z566" s="343"/>
      <c r="AA566" s="343"/>
      <c r="AB566" s="343"/>
      <c r="AC566" s="343"/>
      <c r="AD566" s="343"/>
      <c r="AE566" s="343"/>
      <c r="AF566" s="343"/>
      <c r="AG566" s="343"/>
      <c r="AH566" s="343"/>
      <c r="AI566" s="343"/>
      <c r="AJ566" s="343"/>
      <c r="AK566" s="343"/>
      <c r="AL566" s="343"/>
      <c r="AM566" s="343"/>
      <c r="AN566" s="343"/>
      <c r="AO566" s="343"/>
      <c r="AP566" s="343"/>
      <c r="AQ566" s="343"/>
      <c r="AR566" s="343"/>
      <c r="AS566" s="343"/>
      <c r="AT566" s="343"/>
      <c r="AU566" s="343"/>
      <c r="AV566" s="343"/>
      <c r="AW566" s="343"/>
      <c r="AX566" s="343"/>
      <c r="AY566" s="343"/>
      <c r="AZ566" s="343"/>
      <c r="BA566" s="343"/>
      <c r="BB566" s="343"/>
      <c r="BC566" s="343"/>
      <c r="BD566" s="343"/>
      <c r="BE566" s="343"/>
      <c r="BF566" s="343"/>
      <c r="BG566" s="343"/>
      <c r="BH566" s="343"/>
    </row>
    <row r="567" spans="1:60" s="3" customFormat="1" ht="9.75" customHeight="1">
      <c r="A567" s="488"/>
      <c r="B567" s="127">
        <v>7</v>
      </c>
      <c r="C567" s="133">
        <v>18</v>
      </c>
      <c r="D567" s="133">
        <v>25</v>
      </c>
      <c r="E567" s="133">
        <v>1</v>
      </c>
      <c r="F567" s="133">
        <v>3</v>
      </c>
      <c r="G567" s="133">
        <v>1</v>
      </c>
      <c r="H567" s="133">
        <v>1</v>
      </c>
      <c r="I567" s="133">
        <v>0</v>
      </c>
      <c r="J567" s="133">
        <v>0</v>
      </c>
      <c r="K567" s="133"/>
      <c r="L567" s="144"/>
      <c r="M567" s="135">
        <f t="shared" si="79"/>
        <v>20</v>
      </c>
      <c r="N567" s="145">
        <f t="shared" si="80"/>
        <v>29</v>
      </c>
      <c r="O567" s="166">
        <f t="shared" si="81"/>
        <v>0.64516129032258063</v>
      </c>
      <c r="P567" s="137">
        <f t="shared" si="82"/>
        <v>0.93548387096774188</v>
      </c>
      <c r="Q567" s="343"/>
      <c r="R567" s="343"/>
      <c r="S567" s="343"/>
      <c r="T567" s="343"/>
      <c r="U567" s="343"/>
      <c r="V567" s="343"/>
      <c r="W567" s="343"/>
      <c r="X567" s="343"/>
      <c r="Y567" s="343"/>
      <c r="Z567" s="343"/>
      <c r="AA567" s="343"/>
      <c r="AB567" s="343"/>
      <c r="AC567" s="343"/>
      <c r="AD567" s="343"/>
      <c r="AE567" s="343"/>
      <c r="AF567" s="343"/>
      <c r="AG567" s="343"/>
      <c r="AH567" s="343"/>
      <c r="AI567" s="343"/>
      <c r="AJ567" s="343"/>
      <c r="AK567" s="343"/>
      <c r="AL567" s="343"/>
      <c r="AM567" s="343"/>
      <c r="AN567" s="343"/>
      <c r="AO567" s="343"/>
      <c r="AP567" s="343"/>
      <c r="AQ567" s="343"/>
      <c r="AR567" s="343"/>
      <c r="AS567" s="343"/>
      <c r="AT567" s="343"/>
      <c r="AU567" s="343"/>
      <c r="AV567" s="343"/>
      <c r="AW567" s="343"/>
      <c r="AX567" s="343"/>
      <c r="AY567" s="343"/>
      <c r="AZ567" s="343"/>
      <c r="BA567" s="343"/>
      <c r="BB567" s="343"/>
      <c r="BC567" s="343"/>
      <c r="BD567" s="343"/>
      <c r="BE567" s="343"/>
      <c r="BF567" s="343"/>
      <c r="BG567" s="343"/>
      <c r="BH567" s="343"/>
    </row>
    <row r="568" spans="1:60" s="3" customFormat="1" ht="9.75" customHeight="1">
      <c r="A568" s="488"/>
      <c r="B568" s="127">
        <v>8</v>
      </c>
      <c r="C568" s="133">
        <v>30</v>
      </c>
      <c r="D568" s="133">
        <v>35</v>
      </c>
      <c r="E568" s="133">
        <v>0</v>
      </c>
      <c r="F568" s="133">
        <v>0</v>
      </c>
      <c r="G568" s="133">
        <v>0</v>
      </c>
      <c r="H568" s="133">
        <v>0</v>
      </c>
      <c r="I568" s="133">
        <v>0</v>
      </c>
      <c r="J568" s="133">
        <v>0</v>
      </c>
      <c r="K568" s="133"/>
      <c r="L568" s="144"/>
      <c r="M568" s="135">
        <f t="shared" si="79"/>
        <v>30</v>
      </c>
      <c r="N568" s="145">
        <f t="shared" si="80"/>
        <v>35</v>
      </c>
      <c r="O568" s="166">
        <f t="shared" si="81"/>
        <v>0.967741935483871</v>
      </c>
      <c r="P568" s="137">
        <f t="shared" si="82"/>
        <v>1.1290322580645162</v>
      </c>
      <c r="Q568" s="343"/>
      <c r="R568" s="343"/>
      <c r="S568" s="343"/>
      <c r="T568" s="343"/>
      <c r="U568" s="343"/>
      <c r="V568" s="343"/>
      <c r="W568" s="343"/>
      <c r="X568" s="343"/>
      <c r="Y568" s="343"/>
      <c r="Z568" s="343"/>
      <c r="AA568" s="343"/>
      <c r="AB568" s="343"/>
      <c r="AC568" s="343"/>
      <c r="AD568" s="343"/>
      <c r="AE568" s="343"/>
      <c r="AF568" s="343"/>
      <c r="AG568" s="343"/>
      <c r="AH568" s="343"/>
      <c r="AI568" s="343"/>
      <c r="AJ568" s="343"/>
      <c r="AK568" s="343"/>
      <c r="AL568" s="343"/>
      <c r="AM568" s="343"/>
      <c r="AN568" s="343"/>
      <c r="AO568" s="343"/>
      <c r="AP568" s="343"/>
      <c r="AQ568" s="343"/>
      <c r="AR568" s="343"/>
      <c r="AS568" s="343"/>
      <c r="AT568" s="343"/>
      <c r="AU568" s="343"/>
      <c r="AV568" s="343"/>
      <c r="AW568" s="343"/>
      <c r="AX568" s="343"/>
      <c r="AY568" s="343"/>
      <c r="AZ568" s="343"/>
      <c r="BA568" s="343"/>
      <c r="BB568" s="343"/>
      <c r="BC568" s="343"/>
      <c r="BD568" s="343"/>
      <c r="BE568" s="343"/>
      <c r="BF568" s="343"/>
      <c r="BG568" s="343"/>
      <c r="BH568" s="343"/>
    </row>
    <row r="569" spans="1:60" s="3" customFormat="1" ht="9.75" customHeight="1">
      <c r="A569" s="488"/>
      <c r="B569" s="127">
        <v>9</v>
      </c>
      <c r="C569" s="133">
        <v>32</v>
      </c>
      <c r="D569" s="133">
        <v>41</v>
      </c>
      <c r="E569" s="133">
        <v>0</v>
      </c>
      <c r="F569" s="133">
        <v>0</v>
      </c>
      <c r="G569" s="133">
        <v>2</v>
      </c>
      <c r="H569" s="133">
        <v>2</v>
      </c>
      <c r="I569" s="133">
        <v>0</v>
      </c>
      <c r="J569" s="133">
        <v>0</v>
      </c>
      <c r="K569" s="133"/>
      <c r="L569" s="144"/>
      <c r="M569" s="135">
        <f t="shared" si="79"/>
        <v>34</v>
      </c>
      <c r="N569" s="145">
        <f t="shared" si="80"/>
        <v>43</v>
      </c>
      <c r="O569" s="166">
        <v>1.096774193548387</v>
      </c>
      <c r="P569" s="137">
        <v>1.3870967741935485</v>
      </c>
      <c r="Q569" s="343"/>
      <c r="R569" s="343"/>
      <c r="S569" s="343"/>
      <c r="T569" s="343"/>
      <c r="U569" s="343"/>
      <c r="V569" s="343"/>
      <c r="W569" s="343"/>
      <c r="X569" s="343"/>
      <c r="Y569" s="343"/>
      <c r="Z569" s="343"/>
      <c r="AA569" s="343"/>
      <c r="AB569" s="343"/>
      <c r="AC569" s="343"/>
      <c r="AD569" s="343"/>
      <c r="AE569" s="343"/>
      <c r="AF569" s="343"/>
      <c r="AG569" s="343"/>
      <c r="AH569" s="343"/>
      <c r="AI569" s="343"/>
      <c r="AJ569" s="343"/>
      <c r="AK569" s="343"/>
      <c r="AL569" s="343"/>
      <c r="AM569" s="343"/>
      <c r="AN569" s="343"/>
      <c r="AO569" s="343"/>
      <c r="AP569" s="343"/>
      <c r="AQ569" s="343"/>
      <c r="AR569" s="343"/>
      <c r="AS569" s="343"/>
      <c r="AT569" s="343"/>
      <c r="AU569" s="343"/>
      <c r="AV569" s="343"/>
      <c r="AW569" s="343"/>
      <c r="AX569" s="343"/>
      <c r="AY569" s="343"/>
      <c r="AZ569" s="343"/>
      <c r="BA569" s="343"/>
      <c r="BB569" s="343"/>
      <c r="BC569" s="343"/>
      <c r="BD569" s="343"/>
      <c r="BE569" s="343"/>
      <c r="BF569" s="343"/>
      <c r="BG569" s="343"/>
      <c r="BH569" s="343"/>
    </row>
    <row r="570" spans="1:60" s="3" customFormat="1" ht="9.75" customHeight="1">
      <c r="A570" s="488"/>
      <c r="B570" s="127">
        <v>10</v>
      </c>
      <c r="C570" s="128">
        <v>25</v>
      </c>
      <c r="D570" s="128">
        <v>30</v>
      </c>
      <c r="E570" s="128">
        <v>0</v>
      </c>
      <c r="F570" s="358">
        <v>0</v>
      </c>
      <c r="G570" s="128">
        <v>0</v>
      </c>
      <c r="H570" s="128">
        <v>0</v>
      </c>
      <c r="I570" s="128">
        <v>0</v>
      </c>
      <c r="J570" s="128">
        <v>0</v>
      </c>
      <c r="K570" s="128"/>
      <c r="L570" s="129"/>
      <c r="M570" s="135">
        <f t="shared" si="79"/>
        <v>25</v>
      </c>
      <c r="N570" s="145">
        <f t="shared" si="80"/>
        <v>30</v>
      </c>
      <c r="O570" s="166">
        <f t="shared" ref="O570:P573" si="83">M570/31</f>
        <v>0.80645161290322576</v>
      </c>
      <c r="P570" s="137">
        <f t="shared" si="83"/>
        <v>0.967741935483871</v>
      </c>
      <c r="Q570" s="343"/>
      <c r="R570" s="343"/>
      <c r="S570" s="343"/>
      <c r="T570" s="343"/>
      <c r="U570" s="343"/>
      <c r="V570" s="343"/>
      <c r="W570" s="343"/>
      <c r="X570" s="343"/>
      <c r="Y570" s="343"/>
      <c r="Z570" s="343"/>
      <c r="AA570" s="343"/>
      <c r="AB570" s="343"/>
      <c r="AC570" s="343"/>
      <c r="AD570" s="343"/>
      <c r="AE570" s="343"/>
      <c r="AF570" s="343"/>
      <c r="AG570" s="343"/>
      <c r="AH570" s="343"/>
      <c r="AI570" s="343"/>
      <c r="AJ570" s="343"/>
      <c r="AK570" s="343"/>
      <c r="AL570" s="343"/>
      <c r="AM570" s="343"/>
      <c r="AN570" s="343"/>
      <c r="AO570" s="343"/>
      <c r="AP570" s="343"/>
      <c r="AQ570" s="343"/>
      <c r="AR570" s="343"/>
      <c r="AS570" s="343"/>
      <c r="AT570" s="343"/>
      <c r="AU570" s="343"/>
      <c r="AV570" s="343"/>
      <c r="AW570" s="343"/>
      <c r="AX570" s="343"/>
      <c r="AY570" s="343"/>
      <c r="AZ570" s="343"/>
      <c r="BA570" s="343"/>
      <c r="BB570" s="343"/>
      <c r="BC570" s="343"/>
      <c r="BD570" s="343"/>
      <c r="BE570" s="343"/>
      <c r="BF570" s="343"/>
      <c r="BG570" s="343"/>
      <c r="BH570" s="343"/>
    </row>
    <row r="571" spans="1:60" s="3" customFormat="1" ht="9.75" customHeight="1">
      <c r="A571" s="488"/>
      <c r="B571" s="127">
        <v>11</v>
      </c>
      <c r="C571" s="365">
        <v>52</v>
      </c>
      <c r="D571" s="365">
        <v>27</v>
      </c>
      <c r="E571" s="365">
        <v>0</v>
      </c>
      <c r="F571" s="365">
        <v>0</v>
      </c>
      <c r="G571" s="365">
        <v>5</v>
      </c>
      <c r="H571" s="365">
        <v>2</v>
      </c>
      <c r="I571" s="365">
        <v>0</v>
      </c>
      <c r="J571" s="365">
        <v>0</v>
      </c>
      <c r="K571" s="365"/>
      <c r="L571" s="366"/>
      <c r="M571" s="135">
        <f t="shared" si="79"/>
        <v>57</v>
      </c>
      <c r="N571" s="145">
        <f t="shared" si="80"/>
        <v>29</v>
      </c>
      <c r="O571" s="166">
        <f t="shared" si="83"/>
        <v>1.8387096774193548</v>
      </c>
      <c r="P571" s="137">
        <f t="shared" si="83"/>
        <v>0.93548387096774188</v>
      </c>
      <c r="Q571" s="343"/>
      <c r="R571" s="343"/>
      <c r="S571" s="343"/>
      <c r="T571" s="343"/>
      <c r="U571" s="343"/>
      <c r="V571" s="343"/>
      <c r="W571" s="343"/>
      <c r="X571" s="343"/>
      <c r="Y571" s="343"/>
      <c r="Z571" s="343"/>
      <c r="AA571" s="343"/>
      <c r="AB571" s="343"/>
      <c r="AC571" s="343"/>
      <c r="AD571" s="343"/>
      <c r="AE571" s="343"/>
      <c r="AF571" s="343"/>
      <c r="AG571" s="343"/>
      <c r="AH571" s="343"/>
      <c r="AI571" s="343"/>
      <c r="AJ571" s="343"/>
      <c r="AK571" s="343"/>
      <c r="AL571" s="343"/>
      <c r="AM571" s="343"/>
      <c r="AN571" s="343"/>
      <c r="AO571" s="343"/>
      <c r="AP571" s="343"/>
      <c r="AQ571" s="343"/>
      <c r="AR571" s="343"/>
      <c r="AS571" s="343"/>
      <c r="AT571" s="343"/>
      <c r="AU571" s="343"/>
      <c r="AV571" s="343"/>
      <c r="AW571" s="343"/>
      <c r="AX571" s="343"/>
      <c r="AY571" s="343"/>
      <c r="AZ571" s="343"/>
      <c r="BA571" s="343"/>
      <c r="BB571" s="343"/>
      <c r="BC571" s="343"/>
      <c r="BD571" s="343"/>
      <c r="BE571" s="343"/>
      <c r="BF571" s="343"/>
      <c r="BG571" s="343"/>
      <c r="BH571" s="343"/>
    </row>
    <row r="572" spans="1:60" s="3" customFormat="1" ht="9.75" customHeight="1" thickBot="1">
      <c r="A572" s="489"/>
      <c r="B572" s="127">
        <v>12</v>
      </c>
      <c r="C572" s="182">
        <v>125</v>
      </c>
      <c r="D572" s="182">
        <v>185</v>
      </c>
      <c r="E572" s="182">
        <v>0</v>
      </c>
      <c r="F572" s="195">
        <v>0</v>
      </c>
      <c r="G572" s="182">
        <v>2</v>
      </c>
      <c r="H572" s="182">
        <v>1</v>
      </c>
      <c r="I572" s="182">
        <v>2</v>
      </c>
      <c r="J572" s="182">
        <v>4</v>
      </c>
      <c r="K572" s="182"/>
      <c r="L572" s="183"/>
      <c r="M572" s="135">
        <f t="shared" si="79"/>
        <v>129</v>
      </c>
      <c r="N572" s="145">
        <f t="shared" si="80"/>
        <v>190</v>
      </c>
      <c r="O572" s="166">
        <f t="shared" si="83"/>
        <v>4.161290322580645</v>
      </c>
      <c r="P572" s="137">
        <f t="shared" si="83"/>
        <v>6.129032258064516</v>
      </c>
      <c r="Q572" s="343"/>
      <c r="R572" s="343"/>
      <c r="S572" s="343"/>
      <c r="T572" s="343"/>
      <c r="U572" s="343"/>
      <c r="V572" s="343"/>
      <c r="W572" s="343"/>
      <c r="X572" s="343"/>
      <c r="Y572" s="343"/>
      <c r="Z572" s="343"/>
      <c r="AA572" s="343"/>
      <c r="AB572" s="343"/>
      <c r="AC572" s="343"/>
      <c r="AD572" s="343"/>
      <c r="AE572" s="343"/>
      <c r="AF572" s="343"/>
      <c r="AG572" s="343"/>
      <c r="AH572" s="343"/>
      <c r="AI572" s="343"/>
      <c r="AJ572" s="343"/>
      <c r="AK572" s="343"/>
      <c r="AL572" s="343"/>
      <c r="AM572" s="343"/>
      <c r="AN572" s="343"/>
      <c r="AO572" s="343"/>
      <c r="AP572" s="343"/>
      <c r="AQ572" s="343"/>
      <c r="AR572" s="343"/>
      <c r="AS572" s="343"/>
      <c r="AT572" s="343"/>
      <c r="AU572" s="343"/>
      <c r="AV572" s="343"/>
      <c r="AW572" s="343"/>
      <c r="AX572" s="343"/>
      <c r="AY572" s="343"/>
      <c r="AZ572" s="343"/>
      <c r="BA572" s="343"/>
      <c r="BB572" s="343"/>
      <c r="BC572" s="343"/>
      <c r="BD572" s="343"/>
      <c r="BE572" s="343"/>
      <c r="BF572" s="343"/>
      <c r="BG572" s="343"/>
      <c r="BH572" s="343"/>
    </row>
    <row r="573" spans="1:60" s="3" customFormat="1" ht="9.75" customHeight="1">
      <c r="A573" s="487">
        <v>2016</v>
      </c>
      <c r="B573" s="410">
        <v>1</v>
      </c>
      <c r="C573" s="416">
        <v>135</v>
      </c>
      <c r="D573" s="416">
        <v>151</v>
      </c>
      <c r="E573" s="416">
        <v>0</v>
      </c>
      <c r="F573" s="416">
        <v>0</v>
      </c>
      <c r="G573" s="416">
        <v>8</v>
      </c>
      <c r="H573" s="416">
        <v>8</v>
      </c>
      <c r="I573" s="416">
        <v>5</v>
      </c>
      <c r="J573" s="416">
        <v>7</v>
      </c>
      <c r="K573" s="416"/>
      <c r="L573" s="431"/>
      <c r="M573" s="418">
        <f t="shared" si="79"/>
        <v>148</v>
      </c>
      <c r="N573" s="419">
        <f t="shared" si="80"/>
        <v>166</v>
      </c>
      <c r="O573" s="429">
        <f t="shared" si="83"/>
        <v>4.774193548387097</v>
      </c>
      <c r="P573" s="421">
        <f t="shared" si="83"/>
        <v>5.354838709677419</v>
      </c>
      <c r="Q573" s="343"/>
      <c r="R573" s="343"/>
      <c r="S573" s="343"/>
      <c r="T573" s="343"/>
      <c r="U573" s="343"/>
      <c r="V573" s="343"/>
      <c r="W573" s="343"/>
      <c r="X573" s="343"/>
      <c r="Y573" s="343"/>
      <c r="Z573" s="343"/>
      <c r="AA573" s="343"/>
      <c r="AB573" s="343"/>
      <c r="AC573" s="343"/>
      <c r="AD573" s="343"/>
      <c r="AE573" s="343"/>
      <c r="AF573" s="343"/>
      <c r="AG573" s="343"/>
      <c r="AH573" s="343"/>
      <c r="AI573" s="343"/>
      <c r="AJ573" s="343"/>
      <c r="AK573" s="343"/>
      <c r="AL573" s="343"/>
      <c r="AM573" s="343"/>
      <c r="AN573" s="343"/>
      <c r="AO573" s="343"/>
      <c r="AP573" s="343"/>
      <c r="AQ573" s="343"/>
      <c r="AR573" s="343"/>
      <c r="AS573" s="343"/>
      <c r="AT573" s="343"/>
      <c r="AU573" s="343"/>
      <c r="AV573" s="343"/>
      <c r="AW573" s="343"/>
      <c r="AX573" s="343"/>
      <c r="AY573" s="343"/>
      <c r="AZ573" s="343"/>
      <c r="BA573" s="343"/>
      <c r="BB573" s="343"/>
      <c r="BC573" s="343"/>
      <c r="BD573" s="343"/>
      <c r="BE573" s="343"/>
      <c r="BF573" s="343"/>
      <c r="BG573" s="343"/>
      <c r="BH573" s="343"/>
    </row>
    <row r="574" spans="1:60" s="3" customFormat="1" ht="9.75" customHeight="1">
      <c r="A574" s="488"/>
      <c r="B574" s="127">
        <v>2</v>
      </c>
      <c r="C574" s="128">
        <v>105</v>
      </c>
      <c r="D574" s="128">
        <v>178</v>
      </c>
      <c r="E574" s="128">
        <v>0</v>
      </c>
      <c r="F574" s="128">
        <v>0</v>
      </c>
      <c r="G574" s="128">
        <v>6</v>
      </c>
      <c r="H574" s="128">
        <v>4</v>
      </c>
      <c r="I574" s="128">
        <v>2</v>
      </c>
      <c r="J574" s="128">
        <v>0</v>
      </c>
      <c r="K574" s="128"/>
      <c r="L574" s="164"/>
      <c r="M574" s="130">
        <f t="shared" si="79"/>
        <v>113</v>
      </c>
      <c r="N574" s="146">
        <f t="shared" si="80"/>
        <v>182</v>
      </c>
      <c r="O574" s="131">
        <f>M574/29</f>
        <v>3.896551724137931</v>
      </c>
      <c r="P574" s="132">
        <f>N574/29</f>
        <v>6.2758620689655169</v>
      </c>
      <c r="Q574" s="343"/>
      <c r="R574" s="343"/>
      <c r="S574" s="343"/>
      <c r="T574" s="343"/>
      <c r="U574" s="343"/>
      <c r="V574" s="343"/>
      <c r="W574" s="343"/>
      <c r="X574" s="343"/>
      <c r="Y574" s="343"/>
      <c r="Z574" s="343"/>
      <c r="AA574" s="343"/>
      <c r="AB574" s="343"/>
      <c r="AC574" s="343"/>
      <c r="AD574" s="343"/>
      <c r="AE574" s="343"/>
      <c r="AF574" s="343"/>
      <c r="AG574" s="343"/>
      <c r="AH574" s="343"/>
      <c r="AI574" s="343"/>
      <c r="AJ574" s="343"/>
      <c r="AK574" s="343"/>
      <c r="AL574" s="343"/>
      <c r="AM574" s="343"/>
      <c r="AN574" s="343"/>
      <c r="AO574" s="343"/>
      <c r="AP574" s="343"/>
      <c r="AQ574" s="343"/>
      <c r="AR574" s="343"/>
      <c r="AS574" s="343"/>
      <c r="AT574" s="343"/>
      <c r="AU574" s="343"/>
      <c r="AV574" s="343"/>
      <c r="AW574" s="343"/>
      <c r="AX574" s="343"/>
      <c r="AY574" s="343"/>
      <c r="AZ574" s="343"/>
      <c r="BA574" s="343"/>
      <c r="BB574" s="343"/>
      <c r="BC574" s="343"/>
      <c r="BD574" s="343"/>
      <c r="BE574" s="343"/>
      <c r="BF574" s="343"/>
      <c r="BG574" s="343"/>
      <c r="BH574" s="343"/>
    </row>
    <row r="575" spans="1:60" s="3" customFormat="1" ht="9.75" customHeight="1">
      <c r="A575" s="488"/>
      <c r="B575" s="127">
        <v>3</v>
      </c>
      <c r="C575" s="128">
        <v>55</v>
      </c>
      <c r="D575" s="128">
        <v>62</v>
      </c>
      <c r="E575" s="128">
        <v>0</v>
      </c>
      <c r="F575" s="128">
        <v>0</v>
      </c>
      <c r="G575" s="128">
        <v>5</v>
      </c>
      <c r="H575" s="128">
        <v>3</v>
      </c>
      <c r="I575" s="128">
        <v>0</v>
      </c>
      <c r="J575" s="128">
        <v>0</v>
      </c>
      <c r="K575" s="128"/>
      <c r="L575" s="164"/>
      <c r="M575" s="130">
        <f t="shared" si="79"/>
        <v>60</v>
      </c>
      <c r="N575" s="146">
        <f t="shared" si="80"/>
        <v>65</v>
      </c>
      <c r="O575" s="131">
        <f>M575/31</f>
        <v>1.935483870967742</v>
      </c>
      <c r="P575" s="132">
        <f>N575/31</f>
        <v>2.096774193548387</v>
      </c>
      <c r="Q575" s="343"/>
      <c r="R575" s="343"/>
      <c r="S575" s="343"/>
      <c r="T575" s="343"/>
      <c r="U575" s="343"/>
      <c r="V575" s="343"/>
      <c r="W575" s="343"/>
      <c r="X575" s="343"/>
      <c r="Y575" s="343"/>
      <c r="Z575" s="343"/>
      <c r="AA575" s="343"/>
      <c r="AB575" s="343"/>
      <c r="AC575" s="343"/>
      <c r="AD575" s="343"/>
      <c r="AE575" s="343"/>
      <c r="AF575" s="343"/>
      <c r="AG575" s="343"/>
      <c r="AH575" s="343"/>
      <c r="AI575" s="343"/>
      <c r="AJ575" s="343"/>
      <c r="AK575" s="343"/>
      <c r="AL575" s="343"/>
      <c r="AM575" s="343"/>
      <c r="AN575" s="343"/>
      <c r="AO575" s="343"/>
      <c r="AP575" s="343"/>
      <c r="AQ575" s="343"/>
      <c r="AR575" s="343"/>
      <c r="AS575" s="343"/>
      <c r="AT575" s="343"/>
      <c r="AU575" s="343"/>
      <c r="AV575" s="343"/>
      <c r="AW575" s="343"/>
      <c r="AX575" s="343"/>
      <c r="AY575" s="343"/>
      <c r="AZ575" s="343"/>
      <c r="BA575" s="343"/>
      <c r="BB575" s="343"/>
      <c r="BC575" s="343"/>
      <c r="BD575" s="343"/>
      <c r="BE575" s="343"/>
      <c r="BF575" s="343"/>
      <c r="BG575" s="343"/>
      <c r="BH575" s="343"/>
    </row>
    <row r="576" spans="1:60" s="3" customFormat="1" ht="9.75" customHeight="1">
      <c r="A576" s="488"/>
      <c r="B576" s="127">
        <v>4</v>
      </c>
      <c r="C576" s="133">
        <v>17</v>
      </c>
      <c r="D576" s="133">
        <v>23</v>
      </c>
      <c r="E576" s="133">
        <v>0</v>
      </c>
      <c r="F576" s="133">
        <v>0</v>
      </c>
      <c r="G576" s="133">
        <v>0</v>
      </c>
      <c r="H576" s="133">
        <v>0</v>
      </c>
      <c r="I576" s="133">
        <v>0</v>
      </c>
      <c r="J576" s="133">
        <v>0</v>
      </c>
      <c r="K576" s="133"/>
      <c r="L576" s="144"/>
      <c r="M576" s="135">
        <f t="shared" si="79"/>
        <v>17</v>
      </c>
      <c r="N576" s="145">
        <f t="shared" si="80"/>
        <v>23</v>
      </c>
      <c r="O576" s="131">
        <f>M576/30</f>
        <v>0.56666666666666665</v>
      </c>
      <c r="P576" s="132">
        <f>N576/30</f>
        <v>0.76666666666666672</v>
      </c>
      <c r="Q576" s="343"/>
      <c r="R576" s="343"/>
      <c r="S576" s="343"/>
      <c r="T576" s="343"/>
      <c r="U576" s="343"/>
      <c r="V576" s="343"/>
      <c r="W576" s="343"/>
      <c r="X576" s="343"/>
      <c r="Y576" s="343"/>
      <c r="Z576" s="343"/>
      <c r="AA576" s="343"/>
      <c r="AB576" s="343"/>
      <c r="AC576" s="343"/>
      <c r="AD576" s="343"/>
      <c r="AE576" s="343"/>
      <c r="AF576" s="343"/>
      <c r="AG576" s="343"/>
      <c r="AH576" s="343"/>
      <c r="AI576" s="343"/>
      <c r="AJ576" s="343"/>
      <c r="AK576" s="343"/>
      <c r="AL576" s="343"/>
      <c r="AM576" s="343"/>
      <c r="AN576" s="343"/>
      <c r="AO576" s="343"/>
      <c r="AP576" s="343"/>
      <c r="AQ576" s="343"/>
      <c r="AR576" s="343"/>
      <c r="AS576" s="343"/>
      <c r="AT576" s="343"/>
      <c r="AU576" s="343"/>
      <c r="AV576" s="343"/>
      <c r="AW576" s="343"/>
      <c r="AX576" s="343"/>
      <c r="AY576" s="343"/>
      <c r="AZ576" s="343"/>
      <c r="BA576" s="343"/>
      <c r="BB576" s="343"/>
      <c r="BC576" s="343"/>
      <c r="BD576" s="343"/>
      <c r="BE576" s="343"/>
      <c r="BF576" s="343"/>
      <c r="BG576" s="343"/>
      <c r="BH576" s="343"/>
    </row>
    <row r="577" spans="1:60" s="3" customFormat="1" ht="9.75" customHeight="1">
      <c r="A577" s="488"/>
      <c r="B577" s="127">
        <v>5</v>
      </c>
      <c r="C577" s="133">
        <v>12</v>
      </c>
      <c r="D577" s="133">
        <v>14</v>
      </c>
      <c r="E577" s="133">
        <v>1</v>
      </c>
      <c r="F577" s="133">
        <v>1</v>
      </c>
      <c r="G577" s="133">
        <v>0</v>
      </c>
      <c r="H577" s="133">
        <v>0</v>
      </c>
      <c r="I577" s="133">
        <v>0</v>
      </c>
      <c r="J577" s="133">
        <v>0</v>
      </c>
      <c r="K577" s="133"/>
      <c r="L577" s="144"/>
      <c r="M577" s="135">
        <f t="shared" si="79"/>
        <v>13</v>
      </c>
      <c r="N577" s="145">
        <f t="shared" si="80"/>
        <v>15</v>
      </c>
      <c r="O577" s="136">
        <f>M577/31</f>
        <v>0.41935483870967744</v>
      </c>
      <c r="P577" s="137">
        <f>N577/31</f>
        <v>0.4838709677419355</v>
      </c>
      <c r="Q577" s="343"/>
      <c r="R577" s="343"/>
      <c r="S577" s="343"/>
      <c r="T577" s="343"/>
      <c r="U577" s="343"/>
      <c r="V577" s="343"/>
      <c r="W577" s="343"/>
      <c r="X577" s="343"/>
      <c r="Y577" s="343"/>
      <c r="Z577" s="343"/>
      <c r="AA577" s="343"/>
      <c r="AB577" s="343"/>
      <c r="AC577" s="343"/>
      <c r="AD577" s="343"/>
      <c r="AE577" s="343"/>
      <c r="AF577" s="343"/>
      <c r="AG577" s="343"/>
      <c r="AH577" s="343"/>
      <c r="AI577" s="343"/>
      <c r="AJ577" s="343"/>
      <c r="AK577" s="343"/>
      <c r="AL577" s="343"/>
      <c r="AM577" s="343"/>
      <c r="AN577" s="343"/>
      <c r="AO577" s="343"/>
      <c r="AP577" s="343"/>
      <c r="AQ577" s="343"/>
      <c r="AR577" s="343"/>
      <c r="AS577" s="343"/>
      <c r="AT577" s="343"/>
      <c r="AU577" s="343"/>
      <c r="AV577" s="343"/>
      <c r="AW577" s="343"/>
      <c r="AX577" s="343"/>
      <c r="AY577" s="343"/>
      <c r="AZ577" s="343"/>
      <c r="BA577" s="343"/>
      <c r="BB577" s="343"/>
      <c r="BC577" s="343"/>
      <c r="BD577" s="343"/>
      <c r="BE577" s="343"/>
      <c r="BF577" s="343"/>
      <c r="BG577" s="343"/>
      <c r="BH577" s="343"/>
    </row>
    <row r="578" spans="1:60" s="3" customFormat="1" ht="9.75" customHeight="1">
      <c r="A578" s="488"/>
      <c r="B578" s="127">
        <v>6</v>
      </c>
      <c r="C578" s="133">
        <v>9</v>
      </c>
      <c r="D578" s="133">
        <v>7</v>
      </c>
      <c r="E578" s="133">
        <v>0</v>
      </c>
      <c r="F578" s="133">
        <v>0</v>
      </c>
      <c r="G578" s="133">
        <v>0</v>
      </c>
      <c r="H578" s="133">
        <v>0</v>
      </c>
      <c r="I578" s="133">
        <v>0</v>
      </c>
      <c r="J578" s="133">
        <v>0</v>
      </c>
      <c r="K578" s="133"/>
      <c r="L578" s="144"/>
      <c r="M578" s="135">
        <f t="shared" si="79"/>
        <v>9</v>
      </c>
      <c r="N578" s="145">
        <f t="shared" si="80"/>
        <v>7</v>
      </c>
      <c r="O578" s="136">
        <f>M578/30</f>
        <v>0.3</v>
      </c>
      <c r="P578" s="137">
        <f>N578/30</f>
        <v>0.23333333333333334</v>
      </c>
      <c r="Q578" s="343"/>
      <c r="R578" s="343"/>
      <c r="S578" s="343"/>
      <c r="T578" s="343"/>
      <c r="U578" s="343"/>
      <c r="V578" s="343"/>
      <c r="W578" s="343"/>
      <c r="X578" s="343"/>
      <c r="Y578" s="343"/>
      <c r="Z578" s="343"/>
      <c r="AA578" s="343"/>
      <c r="AB578" s="343"/>
      <c r="AC578" s="343"/>
      <c r="AD578" s="343"/>
      <c r="AE578" s="343"/>
      <c r="AF578" s="343"/>
      <c r="AG578" s="343"/>
      <c r="AH578" s="343"/>
      <c r="AI578" s="343"/>
      <c r="AJ578" s="343"/>
      <c r="AK578" s="343"/>
      <c r="AL578" s="343"/>
      <c r="AM578" s="343"/>
      <c r="AN578" s="343"/>
      <c r="AO578" s="343"/>
      <c r="AP578" s="343"/>
      <c r="AQ578" s="343"/>
      <c r="AR578" s="343"/>
      <c r="AS578" s="343"/>
      <c r="AT578" s="343"/>
      <c r="AU578" s="343"/>
      <c r="AV578" s="343"/>
      <c r="AW578" s="343"/>
      <c r="AX578" s="343"/>
      <c r="AY578" s="343"/>
      <c r="AZ578" s="343"/>
      <c r="BA578" s="343"/>
      <c r="BB578" s="343"/>
      <c r="BC578" s="343"/>
      <c r="BD578" s="343"/>
      <c r="BE578" s="343"/>
      <c r="BF578" s="343"/>
      <c r="BG578" s="343"/>
      <c r="BH578" s="343"/>
    </row>
    <row r="579" spans="1:60" s="3" customFormat="1" ht="9.75" customHeight="1">
      <c r="A579" s="488"/>
      <c r="B579" s="127">
        <v>7</v>
      </c>
      <c r="C579" s="133">
        <v>29</v>
      </c>
      <c r="D579" s="133">
        <v>33</v>
      </c>
      <c r="E579" s="133">
        <v>2</v>
      </c>
      <c r="F579" s="133">
        <v>0</v>
      </c>
      <c r="G579" s="133">
        <v>0</v>
      </c>
      <c r="H579" s="133">
        <v>0</v>
      </c>
      <c r="I579" s="133">
        <v>2</v>
      </c>
      <c r="J579" s="133">
        <v>0</v>
      </c>
      <c r="K579" s="133"/>
      <c r="L579" s="144"/>
      <c r="M579" s="135">
        <f t="shared" si="79"/>
        <v>33</v>
      </c>
      <c r="N579" s="145">
        <f t="shared" si="80"/>
        <v>33</v>
      </c>
      <c r="O579" s="136">
        <f>M579/31</f>
        <v>1.064516129032258</v>
      </c>
      <c r="P579" s="137">
        <f>N579/31</f>
        <v>1.064516129032258</v>
      </c>
      <c r="Q579" s="343"/>
      <c r="R579" s="343"/>
      <c r="S579" s="343"/>
      <c r="T579" s="343"/>
      <c r="U579" s="343"/>
      <c r="V579" s="343"/>
      <c r="W579" s="343"/>
      <c r="X579" s="343"/>
      <c r="Y579" s="343"/>
      <c r="Z579" s="343"/>
      <c r="AA579" s="343"/>
      <c r="AB579" s="343"/>
      <c r="AC579" s="343"/>
      <c r="AD579" s="343"/>
      <c r="AE579" s="343"/>
      <c r="AF579" s="343"/>
      <c r="AG579" s="343"/>
      <c r="AH579" s="343"/>
      <c r="AI579" s="343"/>
      <c r="AJ579" s="343"/>
      <c r="AK579" s="343"/>
      <c r="AL579" s="343"/>
      <c r="AM579" s="343"/>
      <c r="AN579" s="343"/>
      <c r="AO579" s="343"/>
      <c r="AP579" s="343"/>
      <c r="AQ579" s="343"/>
      <c r="AR579" s="343"/>
      <c r="AS579" s="343"/>
      <c r="AT579" s="343"/>
      <c r="AU579" s="343"/>
      <c r="AV579" s="343"/>
      <c r="AW579" s="343"/>
      <c r="AX579" s="343"/>
      <c r="AY579" s="343"/>
      <c r="AZ579" s="343"/>
      <c r="BA579" s="343"/>
      <c r="BB579" s="343"/>
      <c r="BC579" s="343"/>
      <c r="BD579" s="343"/>
      <c r="BE579" s="343"/>
      <c r="BF579" s="343"/>
      <c r="BG579" s="343"/>
      <c r="BH579" s="343"/>
    </row>
    <row r="580" spans="1:60" s="3" customFormat="1" ht="9.75" customHeight="1">
      <c r="A580" s="488"/>
      <c r="B580" s="127">
        <v>8</v>
      </c>
      <c r="C580" s="133">
        <v>19</v>
      </c>
      <c r="D580" s="133">
        <v>19</v>
      </c>
      <c r="E580" s="133">
        <v>2</v>
      </c>
      <c r="F580" s="133">
        <v>0</v>
      </c>
      <c r="G580" s="133">
        <v>0</v>
      </c>
      <c r="H580" s="133">
        <v>0</v>
      </c>
      <c r="I580" s="133">
        <v>0</v>
      </c>
      <c r="J580" s="133">
        <v>0</v>
      </c>
      <c r="K580" s="133"/>
      <c r="L580" s="144"/>
      <c r="M580" s="135">
        <f t="shared" si="79"/>
        <v>21</v>
      </c>
      <c r="N580" s="145">
        <f t="shared" si="80"/>
        <v>19</v>
      </c>
      <c r="O580" s="136">
        <f>M580/31</f>
        <v>0.67741935483870963</v>
      </c>
      <c r="P580" s="137">
        <f>N580/31</f>
        <v>0.61290322580645162</v>
      </c>
      <c r="Q580" s="343"/>
      <c r="R580" s="343"/>
      <c r="S580" s="343"/>
      <c r="T580" s="343"/>
      <c r="U580" s="343"/>
      <c r="V580" s="343"/>
      <c r="W580" s="343"/>
      <c r="X580" s="343"/>
      <c r="Y580" s="343"/>
      <c r="Z580" s="343"/>
      <c r="AA580" s="343"/>
      <c r="AB580" s="343"/>
      <c r="AC580" s="343"/>
      <c r="AD580" s="343"/>
      <c r="AE580" s="343"/>
      <c r="AF580" s="343"/>
      <c r="AG580" s="343"/>
      <c r="AH580" s="343"/>
      <c r="AI580" s="343"/>
      <c r="AJ580" s="343"/>
      <c r="AK580" s="343"/>
      <c r="AL580" s="343"/>
      <c r="AM580" s="343"/>
      <c r="AN580" s="343"/>
      <c r="AO580" s="343"/>
      <c r="AP580" s="343"/>
      <c r="AQ580" s="343"/>
      <c r="AR580" s="343"/>
      <c r="AS580" s="343"/>
      <c r="AT580" s="343"/>
      <c r="AU580" s="343"/>
      <c r="AV580" s="343"/>
      <c r="AW580" s="343"/>
      <c r="AX580" s="343"/>
      <c r="AY580" s="343"/>
      <c r="AZ580" s="343"/>
      <c r="BA580" s="343"/>
      <c r="BB580" s="343"/>
      <c r="BC580" s="343"/>
      <c r="BD580" s="343"/>
      <c r="BE580" s="343"/>
      <c r="BF580" s="343"/>
      <c r="BG580" s="343"/>
      <c r="BH580" s="343"/>
    </row>
    <row r="581" spans="1:60" s="3" customFormat="1" ht="9.75" customHeight="1">
      <c r="A581" s="488"/>
      <c r="B581" s="127">
        <v>9</v>
      </c>
      <c r="C581" s="133">
        <v>29</v>
      </c>
      <c r="D581" s="133">
        <v>20</v>
      </c>
      <c r="E581" s="133">
        <v>0</v>
      </c>
      <c r="F581" s="133">
        <v>0</v>
      </c>
      <c r="G581" s="133">
        <v>1</v>
      </c>
      <c r="H581" s="133">
        <v>0</v>
      </c>
      <c r="I581" s="133">
        <v>0</v>
      </c>
      <c r="J581" s="133">
        <v>0</v>
      </c>
      <c r="K581" s="133"/>
      <c r="L581" s="144"/>
      <c r="M581" s="135">
        <f t="shared" ref="M581:M616" si="84">+C581+E581+G581+I581+K581</f>
        <v>30</v>
      </c>
      <c r="N581" s="145">
        <f t="shared" ref="N581:N616" si="85">+D581+F581+H581+J581+L581</f>
        <v>20</v>
      </c>
      <c r="O581" s="136">
        <f>M581/30</f>
        <v>1</v>
      </c>
      <c r="P581" s="137">
        <f>N581/30</f>
        <v>0.66666666666666663</v>
      </c>
      <c r="Q581" s="343"/>
      <c r="R581" s="343"/>
      <c r="S581" s="343"/>
      <c r="T581" s="343"/>
      <c r="U581" s="343"/>
      <c r="V581" s="343"/>
      <c r="W581" s="343"/>
      <c r="X581" s="343"/>
      <c r="Y581" s="343"/>
      <c r="Z581" s="343"/>
      <c r="AA581" s="343"/>
      <c r="AB581" s="343"/>
      <c r="AC581" s="343"/>
      <c r="AD581" s="343"/>
      <c r="AE581" s="343"/>
      <c r="AF581" s="343"/>
      <c r="AG581" s="343"/>
      <c r="AH581" s="343"/>
      <c r="AI581" s="343"/>
      <c r="AJ581" s="343"/>
      <c r="AK581" s="343"/>
      <c r="AL581" s="343"/>
      <c r="AM581" s="343"/>
      <c r="AN581" s="343"/>
      <c r="AO581" s="343"/>
      <c r="AP581" s="343"/>
      <c r="AQ581" s="343"/>
      <c r="AR581" s="343"/>
      <c r="AS581" s="343"/>
      <c r="AT581" s="343"/>
      <c r="AU581" s="343"/>
      <c r="AV581" s="343"/>
      <c r="AW581" s="343"/>
      <c r="AX581" s="343"/>
      <c r="AY581" s="343"/>
      <c r="AZ581" s="343"/>
      <c r="BA581" s="343"/>
      <c r="BB581" s="343"/>
      <c r="BC581" s="343"/>
      <c r="BD581" s="343"/>
      <c r="BE581" s="343"/>
      <c r="BF581" s="343"/>
      <c r="BG581" s="343"/>
      <c r="BH581" s="343"/>
    </row>
    <row r="582" spans="1:60" s="3" customFormat="1" ht="9.75" customHeight="1">
      <c r="A582" s="488"/>
      <c r="B582" s="127">
        <v>10</v>
      </c>
      <c r="C582" s="128">
        <v>16</v>
      </c>
      <c r="D582" s="128">
        <v>9</v>
      </c>
      <c r="E582" s="128">
        <v>0</v>
      </c>
      <c r="F582" s="358">
        <v>0</v>
      </c>
      <c r="G582" s="128">
        <v>0</v>
      </c>
      <c r="H582" s="128">
        <v>0</v>
      </c>
      <c r="I582" s="128">
        <v>1</v>
      </c>
      <c r="J582" s="128">
        <v>0</v>
      </c>
      <c r="K582" s="128"/>
      <c r="L582" s="129"/>
      <c r="M582" s="135">
        <f t="shared" si="84"/>
        <v>17</v>
      </c>
      <c r="N582" s="145">
        <f t="shared" si="85"/>
        <v>9</v>
      </c>
      <c r="O582" s="136">
        <f>M582/31</f>
        <v>0.54838709677419351</v>
      </c>
      <c r="P582" s="137">
        <f>N582/31</f>
        <v>0.29032258064516131</v>
      </c>
      <c r="Q582" s="343"/>
      <c r="R582" s="343"/>
      <c r="S582" s="343"/>
      <c r="T582" s="343"/>
      <c r="U582" s="343"/>
      <c r="V582" s="343"/>
      <c r="W582" s="343"/>
      <c r="X582" s="343"/>
      <c r="Y582" s="343"/>
      <c r="Z582" s="343"/>
      <c r="AA582" s="343"/>
      <c r="AB582" s="343"/>
      <c r="AC582" s="343"/>
      <c r="AD582" s="343"/>
      <c r="AE582" s="343"/>
      <c r="AF582" s="343"/>
      <c r="AG582" s="343"/>
      <c r="AH582" s="343"/>
      <c r="AI582" s="343"/>
      <c r="AJ582" s="343"/>
      <c r="AK582" s="343"/>
      <c r="AL582" s="343"/>
      <c r="AM582" s="343"/>
      <c r="AN582" s="343"/>
      <c r="AO582" s="343"/>
      <c r="AP582" s="343"/>
      <c r="AQ582" s="343"/>
      <c r="AR582" s="343"/>
      <c r="AS582" s="343"/>
      <c r="AT582" s="343"/>
      <c r="AU582" s="343"/>
      <c r="AV582" s="343"/>
      <c r="AW582" s="343"/>
      <c r="AX582" s="343"/>
      <c r="AY582" s="343"/>
      <c r="AZ582" s="343"/>
      <c r="BA582" s="343"/>
      <c r="BB582" s="343"/>
      <c r="BC582" s="343"/>
      <c r="BD582" s="343"/>
      <c r="BE582" s="343"/>
      <c r="BF582" s="343"/>
      <c r="BG582" s="343"/>
      <c r="BH582" s="343"/>
    </row>
    <row r="583" spans="1:60" s="3" customFormat="1" ht="9.75" customHeight="1">
      <c r="A583" s="488"/>
      <c r="B583" s="127">
        <v>11</v>
      </c>
      <c r="C583" s="365">
        <v>57</v>
      </c>
      <c r="D583" s="365">
        <v>47</v>
      </c>
      <c r="E583" s="365">
        <v>2</v>
      </c>
      <c r="F583" s="365">
        <v>0</v>
      </c>
      <c r="G583" s="365">
        <v>6</v>
      </c>
      <c r="H583" s="365">
        <v>1</v>
      </c>
      <c r="I583" s="365">
        <v>0</v>
      </c>
      <c r="J583" s="365">
        <v>0</v>
      </c>
      <c r="K583" s="365"/>
      <c r="L583" s="366"/>
      <c r="M583" s="135">
        <f t="shared" si="84"/>
        <v>65</v>
      </c>
      <c r="N583" s="145">
        <f t="shared" si="85"/>
        <v>48</v>
      </c>
      <c r="O583" s="136">
        <f>M583/30</f>
        <v>2.1666666666666665</v>
      </c>
      <c r="P583" s="137">
        <f>N583/30</f>
        <v>1.6</v>
      </c>
      <c r="Q583" s="343"/>
      <c r="R583" s="343"/>
      <c r="S583" s="343"/>
      <c r="T583" s="343"/>
      <c r="U583" s="343"/>
      <c r="V583" s="343"/>
      <c r="W583" s="343"/>
      <c r="X583" s="343"/>
      <c r="Y583" s="343"/>
      <c r="Z583" s="343"/>
      <c r="AA583" s="343"/>
      <c r="AB583" s="343"/>
      <c r="AC583" s="343"/>
      <c r="AD583" s="343"/>
      <c r="AE583" s="343"/>
      <c r="AF583" s="343"/>
      <c r="AG583" s="343"/>
      <c r="AH583" s="343"/>
      <c r="AI583" s="343"/>
      <c r="AJ583" s="343"/>
      <c r="AK583" s="343"/>
      <c r="AL583" s="343"/>
      <c r="AM583" s="343"/>
      <c r="AN583" s="343"/>
      <c r="AO583" s="343"/>
      <c r="AP583" s="343"/>
      <c r="AQ583" s="343"/>
      <c r="AR583" s="343"/>
      <c r="AS583" s="343"/>
      <c r="AT583" s="343"/>
      <c r="AU583" s="343"/>
      <c r="AV583" s="343"/>
      <c r="AW583" s="343"/>
      <c r="AX583" s="343"/>
      <c r="AY583" s="343"/>
      <c r="AZ583" s="343"/>
      <c r="BA583" s="343"/>
      <c r="BB583" s="343"/>
      <c r="BC583" s="343"/>
      <c r="BD583" s="343"/>
      <c r="BE583" s="343"/>
      <c r="BF583" s="343"/>
      <c r="BG583" s="343"/>
      <c r="BH583" s="343"/>
    </row>
    <row r="584" spans="1:60" s="3" customFormat="1" ht="9.75" customHeight="1" thickBot="1">
      <c r="A584" s="489"/>
      <c r="B584" s="127">
        <v>12</v>
      </c>
      <c r="C584" s="182">
        <v>105</v>
      </c>
      <c r="D584" s="182">
        <v>152</v>
      </c>
      <c r="E584" s="182">
        <v>0</v>
      </c>
      <c r="F584" s="195">
        <v>0</v>
      </c>
      <c r="G584" s="182">
        <v>5</v>
      </c>
      <c r="H584" s="182">
        <v>1</v>
      </c>
      <c r="I584" s="182">
        <v>1</v>
      </c>
      <c r="J584" s="182">
        <v>0</v>
      </c>
      <c r="K584" s="182"/>
      <c r="L584" s="183"/>
      <c r="M584" s="135">
        <f t="shared" si="84"/>
        <v>111</v>
      </c>
      <c r="N584" s="145">
        <f t="shared" si="85"/>
        <v>153</v>
      </c>
      <c r="O584" s="136">
        <f>M584/31</f>
        <v>3.5806451612903225</v>
      </c>
      <c r="P584" s="137">
        <f>N584/31</f>
        <v>4.935483870967742</v>
      </c>
      <c r="Q584" s="343"/>
      <c r="R584" s="343"/>
      <c r="S584" s="343"/>
      <c r="T584" s="343"/>
      <c r="U584" s="343"/>
      <c r="V584" s="343"/>
      <c r="W584" s="343"/>
      <c r="X584" s="343"/>
      <c r="Y584" s="343"/>
      <c r="Z584" s="343"/>
      <c r="AA584" s="343"/>
      <c r="AB584" s="343"/>
      <c r="AC584" s="343"/>
      <c r="AD584" s="343"/>
      <c r="AE584" s="343"/>
      <c r="AF584" s="343"/>
      <c r="AG584" s="343"/>
      <c r="AH584" s="343"/>
      <c r="AI584" s="343"/>
      <c r="AJ584" s="343"/>
      <c r="AK584" s="343"/>
      <c r="AL584" s="343"/>
      <c r="AM584" s="343"/>
      <c r="AN584" s="343"/>
      <c r="AO584" s="343"/>
      <c r="AP584" s="343"/>
      <c r="AQ584" s="343"/>
      <c r="AR584" s="343"/>
      <c r="AS584" s="343"/>
      <c r="AT584" s="343"/>
      <c r="AU584" s="343"/>
      <c r="AV584" s="343"/>
      <c r="AW584" s="343"/>
      <c r="AX584" s="343"/>
      <c r="AY584" s="343"/>
      <c r="AZ584" s="343"/>
      <c r="BA584" s="343"/>
      <c r="BB584" s="343"/>
      <c r="BC584" s="343"/>
      <c r="BD584" s="343"/>
      <c r="BE584" s="343"/>
      <c r="BF584" s="343"/>
      <c r="BG584" s="343"/>
      <c r="BH584" s="343"/>
    </row>
    <row r="585" spans="1:60" ht="12" customHeight="1">
      <c r="A585" s="473">
        <v>2017</v>
      </c>
      <c r="B585" s="410">
        <v>1</v>
      </c>
      <c r="C585" s="422">
        <v>78</v>
      </c>
      <c r="D585" s="422">
        <v>102</v>
      </c>
      <c r="E585" s="422">
        <v>4</v>
      </c>
      <c r="F585" s="422">
        <v>8</v>
      </c>
      <c r="G585" s="422">
        <v>12</v>
      </c>
      <c r="H585" s="422">
        <v>15</v>
      </c>
      <c r="I585" s="422">
        <v>2</v>
      </c>
      <c r="J585" s="422">
        <v>0</v>
      </c>
      <c r="K585" s="422"/>
      <c r="L585" s="432"/>
      <c r="M585" s="424">
        <f t="shared" si="84"/>
        <v>96</v>
      </c>
      <c r="N585" s="425">
        <f t="shared" si="85"/>
        <v>125</v>
      </c>
      <c r="O585" s="430">
        <f>M585/31</f>
        <v>3.096774193548387</v>
      </c>
      <c r="P585" s="427">
        <f>N585/31</f>
        <v>4.032258064516129</v>
      </c>
    </row>
    <row r="586" spans="1:60" ht="12" customHeight="1">
      <c r="A586" s="474"/>
      <c r="B586" s="127">
        <v>2</v>
      </c>
      <c r="C586" s="147">
        <v>98</v>
      </c>
      <c r="D586" s="147">
        <v>133</v>
      </c>
      <c r="E586" s="147">
        <v>0</v>
      </c>
      <c r="F586" s="147">
        <v>0</v>
      </c>
      <c r="G586" s="147">
        <v>5</v>
      </c>
      <c r="H586" s="147">
        <v>10</v>
      </c>
      <c r="I586" s="147">
        <v>2</v>
      </c>
      <c r="J586" s="147">
        <v>4</v>
      </c>
      <c r="K586" s="147"/>
      <c r="L586" s="174"/>
      <c r="M586" s="149">
        <f t="shared" si="84"/>
        <v>105</v>
      </c>
      <c r="N586" s="150">
        <f t="shared" si="85"/>
        <v>147</v>
      </c>
      <c r="O586" s="151">
        <f>M586/28</f>
        <v>3.75</v>
      </c>
      <c r="P586" s="152">
        <f>N586/28</f>
        <v>5.25</v>
      </c>
    </row>
    <row r="587" spans="1:60" ht="12" customHeight="1">
      <c r="A587" s="474"/>
      <c r="B587" s="127">
        <v>3</v>
      </c>
      <c r="C587" s="147">
        <v>88</v>
      </c>
      <c r="D587" s="147">
        <v>124</v>
      </c>
      <c r="E587" s="147">
        <v>0</v>
      </c>
      <c r="F587" s="147">
        <v>0</v>
      </c>
      <c r="G587" s="147">
        <v>0</v>
      </c>
      <c r="H587" s="147">
        <v>0</v>
      </c>
      <c r="I587" s="147">
        <v>1</v>
      </c>
      <c r="J587" s="147">
        <v>1</v>
      </c>
      <c r="K587" s="147"/>
      <c r="L587" s="174"/>
      <c r="M587" s="149">
        <f t="shared" si="84"/>
        <v>89</v>
      </c>
      <c r="N587" s="150">
        <f t="shared" si="85"/>
        <v>125</v>
      </c>
      <c r="O587" s="151">
        <f>M587/31</f>
        <v>2.870967741935484</v>
      </c>
      <c r="P587" s="152">
        <f>N587/31</f>
        <v>4.032258064516129</v>
      </c>
    </row>
    <row r="588" spans="1:60" ht="12" customHeight="1">
      <c r="A588" s="474"/>
      <c r="B588" s="127">
        <v>4</v>
      </c>
      <c r="C588" s="158">
        <v>56</v>
      </c>
      <c r="D588" s="158">
        <v>69</v>
      </c>
      <c r="E588" s="158">
        <v>0</v>
      </c>
      <c r="F588" s="158">
        <v>0</v>
      </c>
      <c r="G588" s="158">
        <v>0</v>
      </c>
      <c r="H588" s="158">
        <v>0</v>
      </c>
      <c r="I588" s="158">
        <v>1</v>
      </c>
      <c r="J588" s="158">
        <v>2</v>
      </c>
      <c r="K588" s="158"/>
      <c r="L588" s="159"/>
      <c r="M588" s="154">
        <f t="shared" si="84"/>
        <v>57</v>
      </c>
      <c r="N588" s="155">
        <f t="shared" si="85"/>
        <v>71</v>
      </c>
      <c r="O588" s="151">
        <f>M588/30</f>
        <v>1.9</v>
      </c>
      <c r="P588" s="152">
        <f>N588/30</f>
        <v>2.3666666666666667</v>
      </c>
    </row>
    <row r="589" spans="1:60" ht="12" customHeight="1">
      <c r="A589" s="474"/>
      <c r="B589" s="127">
        <v>5</v>
      </c>
      <c r="C589" s="158">
        <v>21</v>
      </c>
      <c r="D589" s="158">
        <v>23</v>
      </c>
      <c r="E589" s="158">
        <v>0</v>
      </c>
      <c r="F589" s="158">
        <v>0</v>
      </c>
      <c r="G589" s="158">
        <v>0</v>
      </c>
      <c r="H589" s="158">
        <v>0</v>
      </c>
      <c r="I589" s="158">
        <v>0</v>
      </c>
      <c r="J589" s="158">
        <v>0</v>
      </c>
      <c r="K589" s="158">
        <v>2</v>
      </c>
      <c r="L589" s="159">
        <v>2</v>
      </c>
      <c r="M589" s="154">
        <f t="shared" si="84"/>
        <v>23</v>
      </c>
      <c r="N589" s="155">
        <f t="shared" si="85"/>
        <v>25</v>
      </c>
      <c r="O589" s="156">
        <f>M589/31</f>
        <v>0.74193548387096775</v>
      </c>
      <c r="P589" s="157">
        <f>N589/31</f>
        <v>0.80645161290322576</v>
      </c>
    </row>
    <row r="590" spans="1:60" ht="12" customHeight="1">
      <c r="A590" s="474"/>
      <c r="B590" s="127">
        <v>6</v>
      </c>
      <c r="C590" s="158">
        <v>22</v>
      </c>
      <c r="D590" s="158">
        <v>24</v>
      </c>
      <c r="E590" s="158">
        <v>0</v>
      </c>
      <c r="F590" s="158">
        <v>0</v>
      </c>
      <c r="G590" s="158">
        <v>1</v>
      </c>
      <c r="H590" s="158">
        <v>2</v>
      </c>
      <c r="I590" s="158">
        <v>1</v>
      </c>
      <c r="J590" s="158">
        <v>0</v>
      </c>
      <c r="K590" s="158">
        <v>0</v>
      </c>
      <c r="L590" s="159">
        <v>1</v>
      </c>
      <c r="M590" s="154">
        <f t="shared" si="84"/>
        <v>24</v>
      </c>
      <c r="N590" s="155">
        <f t="shared" si="85"/>
        <v>27</v>
      </c>
      <c r="O590" s="156">
        <f>M590/30</f>
        <v>0.8</v>
      </c>
      <c r="P590" s="157">
        <f>N590/30</f>
        <v>0.9</v>
      </c>
    </row>
    <row r="591" spans="1:60" ht="12" customHeight="1">
      <c r="A591" s="474"/>
      <c r="B591" s="127">
        <v>7</v>
      </c>
      <c r="C591" s="158">
        <v>10</v>
      </c>
      <c r="D591" s="158">
        <v>17</v>
      </c>
      <c r="E591" s="158">
        <v>0</v>
      </c>
      <c r="F591" s="158">
        <v>0</v>
      </c>
      <c r="G591" s="158">
        <v>3</v>
      </c>
      <c r="H591" s="158">
        <v>2</v>
      </c>
      <c r="I591" s="158">
        <v>0</v>
      </c>
      <c r="J591" s="158">
        <v>2</v>
      </c>
      <c r="K591" s="158">
        <v>0</v>
      </c>
      <c r="L591" s="158">
        <v>0</v>
      </c>
      <c r="M591" s="154">
        <f t="shared" si="84"/>
        <v>13</v>
      </c>
      <c r="N591" s="155">
        <f t="shared" si="85"/>
        <v>21</v>
      </c>
      <c r="O591" s="156">
        <f>M591/31</f>
        <v>0.41935483870967744</v>
      </c>
      <c r="P591" s="157">
        <f>N591/31</f>
        <v>0.67741935483870963</v>
      </c>
    </row>
    <row r="592" spans="1:60" ht="12" customHeight="1">
      <c r="A592" s="474"/>
      <c r="B592" s="127">
        <v>8</v>
      </c>
      <c r="C592" s="158">
        <v>28</v>
      </c>
      <c r="D592" s="158">
        <v>41</v>
      </c>
      <c r="E592" s="158">
        <v>0</v>
      </c>
      <c r="F592" s="158">
        <v>0</v>
      </c>
      <c r="G592" s="158">
        <v>1</v>
      </c>
      <c r="H592" s="158">
        <v>3</v>
      </c>
      <c r="I592" s="158">
        <v>0</v>
      </c>
      <c r="J592" s="158">
        <v>0</v>
      </c>
      <c r="K592" s="158">
        <v>0</v>
      </c>
      <c r="L592" s="159">
        <v>0</v>
      </c>
      <c r="M592" s="154">
        <f t="shared" si="84"/>
        <v>29</v>
      </c>
      <c r="N592" s="155">
        <f t="shared" si="85"/>
        <v>44</v>
      </c>
      <c r="O592" s="156">
        <f>M592/31</f>
        <v>0.93548387096774188</v>
      </c>
      <c r="P592" s="157">
        <f>N592/31</f>
        <v>1.4193548387096775</v>
      </c>
    </row>
    <row r="593" spans="1:16" ht="12" customHeight="1">
      <c r="A593" s="474"/>
      <c r="B593" s="127">
        <v>9</v>
      </c>
      <c r="C593" s="158">
        <v>27</v>
      </c>
      <c r="D593" s="158">
        <v>42</v>
      </c>
      <c r="E593" s="158">
        <v>0</v>
      </c>
      <c r="F593" s="158">
        <v>0</v>
      </c>
      <c r="G593" s="158">
        <v>4</v>
      </c>
      <c r="H593" s="158">
        <v>6</v>
      </c>
      <c r="I593" s="158">
        <v>0</v>
      </c>
      <c r="J593" s="158">
        <v>0</v>
      </c>
      <c r="K593" s="158">
        <v>0</v>
      </c>
      <c r="L593" s="159">
        <v>0</v>
      </c>
      <c r="M593" s="154">
        <f t="shared" si="84"/>
        <v>31</v>
      </c>
      <c r="N593" s="155">
        <f t="shared" si="85"/>
        <v>48</v>
      </c>
      <c r="O593" s="156">
        <f>M593/30</f>
        <v>1.0333333333333334</v>
      </c>
      <c r="P593" s="157">
        <f>N593/30</f>
        <v>1.6</v>
      </c>
    </row>
    <row r="594" spans="1:16" ht="12" customHeight="1">
      <c r="A594" s="474"/>
      <c r="B594" s="127">
        <v>10</v>
      </c>
      <c r="C594" s="147">
        <v>13</v>
      </c>
      <c r="D594" s="147">
        <v>15</v>
      </c>
      <c r="E594" s="147">
        <v>0</v>
      </c>
      <c r="F594" s="181">
        <v>0</v>
      </c>
      <c r="G594" s="147">
        <v>4</v>
      </c>
      <c r="H594" s="147">
        <v>12</v>
      </c>
      <c r="I594" s="147">
        <v>0</v>
      </c>
      <c r="J594" s="147">
        <v>0</v>
      </c>
      <c r="K594" s="147">
        <v>1</v>
      </c>
      <c r="L594" s="148">
        <v>0</v>
      </c>
      <c r="M594" s="154">
        <f t="shared" si="84"/>
        <v>18</v>
      </c>
      <c r="N594" s="155">
        <f t="shared" si="85"/>
        <v>27</v>
      </c>
      <c r="O594" s="156">
        <f>M594/31</f>
        <v>0.58064516129032262</v>
      </c>
      <c r="P594" s="157">
        <f>N594/31</f>
        <v>0.87096774193548387</v>
      </c>
    </row>
    <row r="595" spans="1:16" ht="12" customHeight="1">
      <c r="A595" s="474"/>
      <c r="B595" s="127">
        <v>11</v>
      </c>
      <c r="C595" s="367">
        <v>40</v>
      </c>
      <c r="D595" s="367">
        <v>60</v>
      </c>
      <c r="E595" s="367">
        <v>0</v>
      </c>
      <c r="F595" s="367">
        <v>0</v>
      </c>
      <c r="G595" s="367">
        <v>7</v>
      </c>
      <c r="H595" s="367">
        <v>0</v>
      </c>
      <c r="I595" s="367">
        <v>0</v>
      </c>
      <c r="J595" s="367">
        <v>0</v>
      </c>
      <c r="K595" s="367">
        <v>2</v>
      </c>
      <c r="L595" s="368">
        <v>2</v>
      </c>
      <c r="M595" s="154">
        <f t="shared" si="84"/>
        <v>49</v>
      </c>
      <c r="N595" s="155">
        <f t="shared" si="85"/>
        <v>62</v>
      </c>
      <c r="O595" s="156">
        <f>M595/30</f>
        <v>1.6333333333333333</v>
      </c>
      <c r="P595" s="157">
        <f>N595/30</f>
        <v>2.0666666666666669</v>
      </c>
    </row>
    <row r="596" spans="1:16" ht="12" customHeight="1" thickBot="1">
      <c r="A596" s="475"/>
      <c r="B596" s="127">
        <v>12</v>
      </c>
      <c r="C596" s="187">
        <v>112</v>
      </c>
      <c r="D596" s="187">
        <v>208</v>
      </c>
      <c r="E596" s="187">
        <v>3</v>
      </c>
      <c r="F596" s="188">
        <v>1</v>
      </c>
      <c r="G596" s="187">
        <v>5</v>
      </c>
      <c r="H596" s="187">
        <v>16</v>
      </c>
      <c r="I596" s="187">
        <v>0</v>
      </c>
      <c r="J596" s="187">
        <v>0</v>
      </c>
      <c r="K596" s="187">
        <v>2</v>
      </c>
      <c r="L596" s="189">
        <v>3</v>
      </c>
      <c r="M596" s="154">
        <f t="shared" si="84"/>
        <v>122</v>
      </c>
      <c r="N596" s="155">
        <f t="shared" si="85"/>
        <v>228</v>
      </c>
      <c r="O596" s="156">
        <f>M596/31</f>
        <v>3.935483870967742</v>
      </c>
      <c r="P596" s="157">
        <f>N596/31</f>
        <v>7.354838709677419</v>
      </c>
    </row>
    <row r="597" spans="1:16" ht="12" customHeight="1">
      <c r="A597" s="473">
        <v>2018</v>
      </c>
      <c r="B597" s="410">
        <v>1</v>
      </c>
      <c r="C597" s="422">
        <v>134</v>
      </c>
      <c r="D597" s="422">
        <v>230</v>
      </c>
      <c r="E597" s="422">
        <v>0</v>
      </c>
      <c r="F597" s="422">
        <v>6</v>
      </c>
      <c r="G597" s="422">
        <v>7</v>
      </c>
      <c r="H597" s="422">
        <v>7</v>
      </c>
      <c r="I597" s="422">
        <v>1</v>
      </c>
      <c r="J597" s="422">
        <v>0</v>
      </c>
      <c r="K597" s="422">
        <v>2</v>
      </c>
      <c r="L597" s="432">
        <v>9</v>
      </c>
      <c r="M597" s="424">
        <f t="shared" si="84"/>
        <v>144</v>
      </c>
      <c r="N597" s="425">
        <f t="shared" si="85"/>
        <v>252</v>
      </c>
      <c r="O597" s="430">
        <f>M597/31</f>
        <v>4.645161290322581</v>
      </c>
      <c r="P597" s="427">
        <f>N597/31</f>
        <v>8.129032258064516</v>
      </c>
    </row>
    <row r="598" spans="1:16" ht="12" customHeight="1">
      <c r="A598" s="474"/>
      <c r="B598" s="127">
        <v>2</v>
      </c>
      <c r="C598" s="147">
        <v>127</v>
      </c>
      <c r="D598" s="147">
        <v>276</v>
      </c>
      <c r="E598" s="147">
        <v>0</v>
      </c>
      <c r="F598" s="147">
        <v>0</v>
      </c>
      <c r="G598" s="147">
        <v>6</v>
      </c>
      <c r="H598" s="147">
        <v>35</v>
      </c>
      <c r="I598" s="147">
        <v>2</v>
      </c>
      <c r="J598" s="147">
        <v>6</v>
      </c>
      <c r="K598" s="147">
        <v>0</v>
      </c>
      <c r="L598" s="174">
        <v>0</v>
      </c>
      <c r="M598" s="149">
        <f t="shared" si="84"/>
        <v>135</v>
      </c>
      <c r="N598" s="150">
        <f t="shared" si="85"/>
        <v>317</v>
      </c>
      <c r="O598" s="151">
        <f>M598/28</f>
        <v>4.8214285714285712</v>
      </c>
      <c r="P598" s="152">
        <f>N598/28</f>
        <v>11.321428571428571</v>
      </c>
    </row>
    <row r="599" spans="1:16" ht="12" customHeight="1">
      <c r="A599" s="474"/>
      <c r="B599" s="127">
        <v>3</v>
      </c>
      <c r="C599" s="147">
        <v>67</v>
      </c>
      <c r="D599" s="147">
        <v>130</v>
      </c>
      <c r="E599" s="147">
        <v>0</v>
      </c>
      <c r="F599" s="147">
        <v>0</v>
      </c>
      <c r="G599" s="147">
        <v>4</v>
      </c>
      <c r="H599" s="147">
        <v>4</v>
      </c>
      <c r="I599" s="147">
        <v>0</v>
      </c>
      <c r="J599" s="147">
        <v>2</v>
      </c>
      <c r="K599" s="147">
        <v>1</v>
      </c>
      <c r="L599" s="174">
        <v>0</v>
      </c>
      <c r="M599" s="149">
        <f t="shared" si="84"/>
        <v>72</v>
      </c>
      <c r="N599" s="150">
        <f t="shared" si="85"/>
        <v>136</v>
      </c>
      <c r="O599" s="151">
        <f>M599/31</f>
        <v>2.3225806451612905</v>
      </c>
      <c r="P599" s="152">
        <f>N599/31</f>
        <v>4.387096774193548</v>
      </c>
    </row>
    <row r="600" spans="1:16" ht="12" customHeight="1">
      <c r="A600" s="474"/>
      <c r="B600" s="127">
        <v>4</v>
      </c>
      <c r="C600" s="158">
        <v>43</v>
      </c>
      <c r="D600" s="158">
        <v>56</v>
      </c>
      <c r="E600" s="158">
        <v>1</v>
      </c>
      <c r="F600" s="158">
        <v>1</v>
      </c>
      <c r="G600" s="158">
        <v>5</v>
      </c>
      <c r="H600" s="158">
        <v>13</v>
      </c>
      <c r="I600" s="158">
        <v>0</v>
      </c>
      <c r="J600" s="158">
        <v>0</v>
      </c>
      <c r="K600" s="158">
        <v>1</v>
      </c>
      <c r="L600" s="159">
        <v>2</v>
      </c>
      <c r="M600" s="154">
        <f t="shared" si="84"/>
        <v>50</v>
      </c>
      <c r="N600" s="155">
        <f t="shared" si="85"/>
        <v>72</v>
      </c>
      <c r="O600" s="151">
        <f>M600/30</f>
        <v>1.6666666666666667</v>
      </c>
      <c r="P600" s="152">
        <f>N600/30</f>
        <v>2.4</v>
      </c>
    </row>
    <row r="601" spans="1:16" ht="12" customHeight="1">
      <c r="A601" s="474"/>
      <c r="B601" s="127">
        <v>5</v>
      </c>
      <c r="C601" s="158">
        <v>29</v>
      </c>
      <c r="D601" s="158">
        <v>71</v>
      </c>
      <c r="E601" s="158">
        <v>0</v>
      </c>
      <c r="F601" s="158">
        <v>0</v>
      </c>
      <c r="G601" s="158">
        <v>3</v>
      </c>
      <c r="H601" s="158">
        <v>8</v>
      </c>
      <c r="I601" s="158">
        <v>0</v>
      </c>
      <c r="J601" s="158">
        <v>0</v>
      </c>
      <c r="K601" s="158">
        <v>3</v>
      </c>
      <c r="L601" s="159">
        <v>1</v>
      </c>
      <c r="M601" s="154">
        <f t="shared" si="84"/>
        <v>35</v>
      </c>
      <c r="N601" s="155">
        <f t="shared" si="85"/>
        <v>80</v>
      </c>
      <c r="O601" s="156">
        <f>M601/31</f>
        <v>1.1290322580645162</v>
      </c>
      <c r="P601" s="157">
        <f>N601/31</f>
        <v>2.5806451612903225</v>
      </c>
    </row>
    <row r="602" spans="1:16" ht="12" customHeight="1">
      <c r="A602" s="474"/>
      <c r="B602" s="127">
        <v>6</v>
      </c>
      <c r="C602" s="158">
        <v>34</v>
      </c>
      <c r="D602" s="158">
        <v>50</v>
      </c>
      <c r="E602" s="158">
        <v>2</v>
      </c>
      <c r="F602" s="158">
        <v>4</v>
      </c>
      <c r="G602" s="158">
        <v>0</v>
      </c>
      <c r="H602" s="158">
        <v>1</v>
      </c>
      <c r="I602" s="158">
        <v>0</v>
      </c>
      <c r="J602" s="158">
        <v>0</v>
      </c>
      <c r="K602" s="158">
        <v>2</v>
      </c>
      <c r="L602" s="159">
        <v>6</v>
      </c>
      <c r="M602" s="154">
        <f t="shared" si="84"/>
        <v>38</v>
      </c>
      <c r="N602" s="155">
        <f t="shared" si="85"/>
        <v>61</v>
      </c>
      <c r="O602" s="156">
        <f>M602/30</f>
        <v>1.2666666666666666</v>
      </c>
      <c r="P602" s="157">
        <f>N602/30</f>
        <v>2.0333333333333332</v>
      </c>
    </row>
    <row r="603" spans="1:16" ht="12" customHeight="1">
      <c r="A603" s="474"/>
      <c r="B603" s="127">
        <v>7</v>
      </c>
      <c r="C603" s="158">
        <v>33</v>
      </c>
      <c r="D603" s="158">
        <v>39</v>
      </c>
      <c r="E603" s="158">
        <v>0</v>
      </c>
      <c r="F603" s="158">
        <v>0</v>
      </c>
      <c r="G603" s="158">
        <v>0</v>
      </c>
      <c r="H603" s="158">
        <v>0</v>
      </c>
      <c r="I603" s="158">
        <v>0</v>
      </c>
      <c r="J603" s="158">
        <v>0</v>
      </c>
      <c r="K603" s="158">
        <v>0</v>
      </c>
      <c r="L603" s="158">
        <v>5</v>
      </c>
      <c r="M603" s="154">
        <f t="shared" si="84"/>
        <v>33</v>
      </c>
      <c r="N603" s="155">
        <f t="shared" si="85"/>
        <v>44</v>
      </c>
      <c r="O603" s="156">
        <f>M603/31</f>
        <v>1.064516129032258</v>
      </c>
      <c r="P603" s="157">
        <f>N603/31</f>
        <v>1.4193548387096775</v>
      </c>
    </row>
    <row r="604" spans="1:16" ht="12" customHeight="1">
      <c r="A604" s="474"/>
      <c r="B604" s="127">
        <v>8</v>
      </c>
      <c r="C604" s="158">
        <v>36</v>
      </c>
      <c r="D604" s="158">
        <v>44</v>
      </c>
      <c r="E604" s="158">
        <v>0</v>
      </c>
      <c r="F604" s="158">
        <v>0</v>
      </c>
      <c r="G604" s="158">
        <v>1</v>
      </c>
      <c r="H604" s="158">
        <v>0</v>
      </c>
      <c r="I604" s="158">
        <v>0</v>
      </c>
      <c r="J604" s="158">
        <v>0</v>
      </c>
      <c r="K604" s="158">
        <v>1</v>
      </c>
      <c r="L604" s="159">
        <v>1</v>
      </c>
      <c r="M604" s="154">
        <f t="shared" si="84"/>
        <v>38</v>
      </c>
      <c r="N604" s="155">
        <f t="shared" si="85"/>
        <v>45</v>
      </c>
      <c r="O604" s="156">
        <f>M604/31</f>
        <v>1.2258064516129032</v>
      </c>
      <c r="P604" s="157">
        <f>N604/31</f>
        <v>1.4516129032258065</v>
      </c>
    </row>
    <row r="605" spans="1:16" ht="12" customHeight="1">
      <c r="A605" s="474"/>
      <c r="B605" s="127">
        <v>9</v>
      </c>
      <c r="C605" s="158">
        <v>28</v>
      </c>
      <c r="D605" s="158">
        <v>39</v>
      </c>
      <c r="E605" s="158">
        <v>0</v>
      </c>
      <c r="F605" s="158">
        <v>0</v>
      </c>
      <c r="G605" s="158">
        <v>2</v>
      </c>
      <c r="H605" s="158">
        <v>5</v>
      </c>
      <c r="I605" s="158">
        <v>0</v>
      </c>
      <c r="J605" s="158">
        <v>0</v>
      </c>
      <c r="K605" s="158">
        <v>1</v>
      </c>
      <c r="L605" s="159">
        <v>6</v>
      </c>
      <c r="M605" s="154">
        <f t="shared" si="84"/>
        <v>31</v>
      </c>
      <c r="N605" s="155">
        <f t="shared" si="85"/>
        <v>50</v>
      </c>
      <c r="O605" s="156">
        <f>M605/30</f>
        <v>1.0333333333333334</v>
      </c>
      <c r="P605" s="157">
        <f>N605/30</f>
        <v>1.6666666666666667</v>
      </c>
    </row>
    <row r="606" spans="1:16" ht="12" customHeight="1">
      <c r="A606" s="474"/>
      <c r="B606" s="127">
        <v>10</v>
      </c>
      <c r="C606" s="147">
        <v>33</v>
      </c>
      <c r="D606" s="147">
        <v>49</v>
      </c>
      <c r="E606" s="147">
        <v>0</v>
      </c>
      <c r="F606" s="181">
        <v>0</v>
      </c>
      <c r="G606" s="147">
        <v>0</v>
      </c>
      <c r="H606" s="147">
        <v>0</v>
      </c>
      <c r="I606" s="147">
        <v>0</v>
      </c>
      <c r="J606" s="147">
        <v>0</v>
      </c>
      <c r="K606" s="147">
        <v>0</v>
      </c>
      <c r="L606" s="148">
        <v>0</v>
      </c>
      <c r="M606" s="154">
        <f t="shared" si="84"/>
        <v>33</v>
      </c>
      <c r="N606" s="155">
        <f t="shared" si="85"/>
        <v>49</v>
      </c>
      <c r="O606" s="156">
        <f>M606/31</f>
        <v>1.064516129032258</v>
      </c>
      <c r="P606" s="157">
        <f>N606/31</f>
        <v>1.5806451612903225</v>
      </c>
    </row>
    <row r="607" spans="1:16" ht="12" customHeight="1">
      <c r="A607" s="474"/>
      <c r="B607" s="127">
        <v>11</v>
      </c>
      <c r="C607" s="367">
        <v>46</v>
      </c>
      <c r="D607" s="367">
        <v>63</v>
      </c>
      <c r="E607" s="367">
        <v>0</v>
      </c>
      <c r="F607" s="367">
        <v>0</v>
      </c>
      <c r="G607" s="367">
        <v>2</v>
      </c>
      <c r="H607" s="367">
        <v>0</v>
      </c>
      <c r="I607" s="367">
        <v>0</v>
      </c>
      <c r="J607" s="367">
        <v>0</v>
      </c>
      <c r="K607" s="367">
        <v>2</v>
      </c>
      <c r="L607" s="368">
        <v>0</v>
      </c>
      <c r="M607" s="154">
        <f t="shared" si="84"/>
        <v>50</v>
      </c>
      <c r="N607" s="155">
        <f t="shared" si="85"/>
        <v>63</v>
      </c>
      <c r="O607" s="156">
        <f>M607/30</f>
        <v>1.6666666666666667</v>
      </c>
      <c r="P607" s="157">
        <f>N607/30</f>
        <v>2.1</v>
      </c>
    </row>
    <row r="608" spans="1:16" ht="12" customHeight="1" thickBot="1">
      <c r="A608" s="475"/>
      <c r="B608" s="127">
        <v>12</v>
      </c>
      <c r="C608" s="187">
        <v>125</v>
      </c>
      <c r="D608" s="187">
        <v>197</v>
      </c>
      <c r="E608" s="187">
        <v>0</v>
      </c>
      <c r="F608" s="188">
        <v>0</v>
      </c>
      <c r="G608" s="187">
        <v>19</v>
      </c>
      <c r="H608" s="187">
        <v>34</v>
      </c>
      <c r="I608" s="187">
        <v>3</v>
      </c>
      <c r="J608" s="187">
        <v>2</v>
      </c>
      <c r="K608" s="187">
        <v>3</v>
      </c>
      <c r="L608" s="189">
        <v>10</v>
      </c>
      <c r="M608" s="154">
        <f t="shared" si="84"/>
        <v>150</v>
      </c>
      <c r="N608" s="155">
        <f t="shared" si="85"/>
        <v>243</v>
      </c>
      <c r="O608" s="156">
        <f>M608/31</f>
        <v>4.838709677419355</v>
      </c>
      <c r="P608" s="157">
        <f>N608/31</f>
        <v>7.838709677419355</v>
      </c>
    </row>
    <row r="609" spans="1:16" ht="12" customHeight="1">
      <c r="A609" s="473">
        <v>2019</v>
      </c>
      <c r="B609" s="410">
        <v>1</v>
      </c>
      <c r="C609" s="422">
        <v>166</v>
      </c>
      <c r="D609" s="422">
        <v>287</v>
      </c>
      <c r="E609" s="422">
        <v>3</v>
      </c>
      <c r="F609" s="422">
        <v>2</v>
      </c>
      <c r="G609" s="422">
        <v>15</v>
      </c>
      <c r="H609" s="422">
        <v>56</v>
      </c>
      <c r="I609" s="422">
        <v>3</v>
      </c>
      <c r="J609" s="422">
        <v>5</v>
      </c>
      <c r="K609" s="422">
        <v>4</v>
      </c>
      <c r="L609" s="432">
        <v>3</v>
      </c>
      <c r="M609" s="424">
        <f t="shared" si="84"/>
        <v>191</v>
      </c>
      <c r="N609" s="425">
        <f t="shared" si="85"/>
        <v>353</v>
      </c>
      <c r="O609" s="430">
        <f>M609/31</f>
        <v>6.161290322580645</v>
      </c>
      <c r="P609" s="427">
        <f>N609/31</f>
        <v>11.387096774193548</v>
      </c>
    </row>
    <row r="610" spans="1:16" ht="12" customHeight="1">
      <c r="A610" s="474"/>
      <c r="B610" s="127">
        <v>2</v>
      </c>
      <c r="C610" s="147">
        <v>114</v>
      </c>
      <c r="D610" s="147">
        <v>272</v>
      </c>
      <c r="E610" s="147">
        <v>2</v>
      </c>
      <c r="F610" s="147">
        <v>7</v>
      </c>
      <c r="G610" s="147">
        <v>2</v>
      </c>
      <c r="H610" s="147">
        <v>7</v>
      </c>
      <c r="I610" s="147">
        <v>0</v>
      </c>
      <c r="J610" s="147">
        <v>1</v>
      </c>
      <c r="K610" s="147">
        <v>1</v>
      </c>
      <c r="L610" s="174">
        <v>12</v>
      </c>
      <c r="M610" s="149">
        <f t="shared" si="84"/>
        <v>119</v>
      </c>
      <c r="N610" s="150">
        <f t="shared" si="85"/>
        <v>299</v>
      </c>
      <c r="O610" s="151">
        <f>M610/28</f>
        <v>4.25</v>
      </c>
      <c r="P610" s="152">
        <f>N610/28</f>
        <v>10.678571428571429</v>
      </c>
    </row>
    <row r="611" spans="1:16" ht="12" customHeight="1">
      <c r="A611" s="474"/>
      <c r="B611" s="127">
        <v>3</v>
      </c>
      <c r="C611" s="147">
        <v>72</v>
      </c>
      <c r="D611" s="147">
        <v>124</v>
      </c>
      <c r="E611" s="147">
        <v>0</v>
      </c>
      <c r="F611" s="147">
        <v>0</v>
      </c>
      <c r="G611" s="147">
        <v>3</v>
      </c>
      <c r="H611" s="147">
        <v>0</v>
      </c>
      <c r="I611" s="147">
        <v>2</v>
      </c>
      <c r="J611" s="147">
        <v>0</v>
      </c>
      <c r="K611" s="147">
        <v>0</v>
      </c>
      <c r="L611" s="174">
        <v>0</v>
      </c>
      <c r="M611" s="149">
        <f t="shared" si="84"/>
        <v>77</v>
      </c>
      <c r="N611" s="150">
        <f t="shared" si="85"/>
        <v>124</v>
      </c>
      <c r="O611" s="151">
        <f>M611/31</f>
        <v>2.4838709677419355</v>
      </c>
      <c r="P611" s="152">
        <f>N611/31</f>
        <v>4</v>
      </c>
    </row>
    <row r="612" spans="1:16" ht="12" customHeight="1">
      <c r="A612" s="474"/>
      <c r="B612" s="127">
        <v>4</v>
      </c>
      <c r="C612" s="158">
        <v>42</v>
      </c>
      <c r="D612" s="158">
        <v>56</v>
      </c>
      <c r="E612" s="158">
        <v>1</v>
      </c>
      <c r="F612" s="158">
        <v>1</v>
      </c>
      <c r="G612" s="158">
        <v>3</v>
      </c>
      <c r="H612" s="158">
        <v>13</v>
      </c>
      <c r="I612" s="158">
        <v>2</v>
      </c>
      <c r="J612" s="158">
        <v>4</v>
      </c>
      <c r="K612" s="158">
        <v>1</v>
      </c>
      <c r="L612" s="159">
        <v>2</v>
      </c>
      <c r="M612" s="154">
        <f t="shared" si="84"/>
        <v>49</v>
      </c>
      <c r="N612" s="155">
        <f t="shared" si="85"/>
        <v>76</v>
      </c>
      <c r="O612" s="151">
        <f>M612/30</f>
        <v>1.6333333333333333</v>
      </c>
      <c r="P612" s="152">
        <f>N612/30</f>
        <v>2.5333333333333332</v>
      </c>
    </row>
    <row r="613" spans="1:16" ht="12" customHeight="1">
      <c r="A613" s="474"/>
      <c r="B613" s="127">
        <v>5</v>
      </c>
      <c r="C613" s="158">
        <v>33</v>
      </c>
      <c r="D613" s="158">
        <v>90</v>
      </c>
      <c r="E613" s="158">
        <v>1</v>
      </c>
      <c r="F613" s="158">
        <v>1</v>
      </c>
      <c r="G613" s="158">
        <v>3</v>
      </c>
      <c r="H613" s="158">
        <v>5</v>
      </c>
      <c r="I613" s="158">
        <v>1</v>
      </c>
      <c r="J613" s="158">
        <v>2</v>
      </c>
      <c r="K613" s="158">
        <v>0</v>
      </c>
      <c r="L613" s="159">
        <v>0</v>
      </c>
      <c r="M613" s="154">
        <f t="shared" si="84"/>
        <v>38</v>
      </c>
      <c r="N613" s="155">
        <f t="shared" si="85"/>
        <v>98</v>
      </c>
      <c r="O613" s="156">
        <f>M613/31</f>
        <v>1.2258064516129032</v>
      </c>
      <c r="P613" s="157">
        <f>N613/31</f>
        <v>3.161290322580645</v>
      </c>
    </row>
    <row r="614" spans="1:16" ht="12" customHeight="1">
      <c r="A614" s="474"/>
      <c r="B614" s="127">
        <v>6</v>
      </c>
      <c r="C614" s="158">
        <v>25</v>
      </c>
      <c r="D614" s="158">
        <v>39</v>
      </c>
      <c r="E614" s="158">
        <v>0</v>
      </c>
      <c r="F614" s="158">
        <v>0</v>
      </c>
      <c r="G614" s="158">
        <v>0</v>
      </c>
      <c r="H614" s="158">
        <v>2</v>
      </c>
      <c r="I614" s="158">
        <v>0</v>
      </c>
      <c r="J614" s="158">
        <v>0</v>
      </c>
      <c r="K614" s="158">
        <v>0</v>
      </c>
      <c r="L614" s="159">
        <v>0</v>
      </c>
      <c r="M614" s="154">
        <f t="shared" si="84"/>
        <v>25</v>
      </c>
      <c r="N614" s="155">
        <f t="shared" si="85"/>
        <v>41</v>
      </c>
      <c r="O614" s="156">
        <f>M614/30</f>
        <v>0.83333333333333337</v>
      </c>
      <c r="P614" s="157">
        <f>N614/30</f>
        <v>1.3666666666666667</v>
      </c>
    </row>
    <row r="615" spans="1:16" ht="12" customHeight="1">
      <c r="A615" s="474"/>
      <c r="B615" s="127">
        <v>7</v>
      </c>
      <c r="C615" s="158">
        <v>15</v>
      </c>
      <c r="D615" s="158">
        <v>18</v>
      </c>
      <c r="E615" s="158">
        <v>0</v>
      </c>
      <c r="F615" s="158">
        <v>0</v>
      </c>
      <c r="G615" s="158">
        <v>1</v>
      </c>
      <c r="H615" s="158">
        <v>0</v>
      </c>
      <c r="I615" s="158">
        <v>0</v>
      </c>
      <c r="J615" s="158">
        <v>0</v>
      </c>
      <c r="K615" s="158">
        <v>0</v>
      </c>
      <c r="L615" s="158">
        <v>0</v>
      </c>
      <c r="M615" s="154">
        <f t="shared" si="84"/>
        <v>16</v>
      </c>
      <c r="N615" s="155">
        <f t="shared" si="85"/>
        <v>18</v>
      </c>
      <c r="O615" s="156">
        <f>M615/31</f>
        <v>0.5161290322580645</v>
      </c>
      <c r="P615" s="157">
        <f>N615/31</f>
        <v>0.58064516129032262</v>
      </c>
    </row>
    <row r="616" spans="1:16" ht="12" customHeight="1">
      <c r="A616" s="474"/>
      <c r="B616" s="127">
        <v>8</v>
      </c>
      <c r="C616" s="158">
        <v>30</v>
      </c>
      <c r="D616" s="158">
        <v>50</v>
      </c>
      <c r="E616" s="158">
        <v>0</v>
      </c>
      <c r="F616" s="158">
        <v>0</v>
      </c>
      <c r="G616" s="158">
        <v>2</v>
      </c>
      <c r="H616" s="158">
        <v>5</v>
      </c>
      <c r="I616" s="158">
        <v>2</v>
      </c>
      <c r="J616" s="158">
        <v>4</v>
      </c>
      <c r="K616" s="158">
        <v>2</v>
      </c>
      <c r="L616" s="159">
        <v>4</v>
      </c>
      <c r="M616" s="154">
        <f t="shared" si="84"/>
        <v>36</v>
      </c>
      <c r="N616" s="155">
        <f t="shared" si="85"/>
        <v>63</v>
      </c>
      <c r="O616" s="156">
        <f>M616/31</f>
        <v>1.1612903225806452</v>
      </c>
      <c r="P616" s="157">
        <f>N616/31</f>
        <v>2.032258064516129</v>
      </c>
    </row>
    <row r="617" spans="1:16" ht="12" customHeight="1">
      <c r="A617" s="474"/>
      <c r="B617" s="127">
        <v>9</v>
      </c>
      <c r="C617" s="158">
        <v>37</v>
      </c>
      <c r="D617" s="158">
        <v>62</v>
      </c>
      <c r="E617" s="158">
        <v>2</v>
      </c>
      <c r="F617" s="158">
        <v>0</v>
      </c>
      <c r="G617" s="158">
        <v>1</v>
      </c>
      <c r="H617" s="158">
        <v>0</v>
      </c>
      <c r="I617" s="158">
        <v>1</v>
      </c>
      <c r="J617" s="158">
        <v>1</v>
      </c>
      <c r="K617" s="158">
        <v>0</v>
      </c>
      <c r="L617" s="159">
        <v>0</v>
      </c>
      <c r="M617" s="154">
        <v>41</v>
      </c>
      <c r="N617" s="155">
        <v>63</v>
      </c>
      <c r="O617" s="156">
        <v>1.3666666666666667</v>
      </c>
      <c r="P617" s="157">
        <v>2.1</v>
      </c>
    </row>
    <row r="618" spans="1:16" ht="12" customHeight="1">
      <c r="A618" s="474"/>
      <c r="B618" s="127">
        <v>10</v>
      </c>
      <c r="C618" s="147">
        <v>20</v>
      </c>
      <c r="D618" s="147">
        <v>25</v>
      </c>
      <c r="E618" s="147">
        <v>0</v>
      </c>
      <c r="F618" s="181">
        <v>11</v>
      </c>
      <c r="G618" s="147">
        <v>2</v>
      </c>
      <c r="H618" s="147">
        <v>0</v>
      </c>
      <c r="I618" s="147">
        <v>0</v>
      </c>
      <c r="J618" s="147">
        <v>0</v>
      </c>
      <c r="K618" s="147">
        <v>2</v>
      </c>
      <c r="L618" s="148">
        <v>2</v>
      </c>
      <c r="M618" s="154">
        <f t="shared" ref="M618:M620" si="86">+C618+E618+G618+I618+K618</f>
        <v>24</v>
      </c>
      <c r="N618" s="155">
        <f t="shared" ref="N618:N620" si="87">+D618+F618+H618+J618+L618</f>
        <v>38</v>
      </c>
      <c r="O618" s="156">
        <f>M618/30</f>
        <v>0.8</v>
      </c>
      <c r="P618" s="157">
        <f>N618/30</f>
        <v>1.2666666666666666</v>
      </c>
    </row>
    <row r="619" spans="1:16" ht="12" customHeight="1">
      <c r="A619" s="474"/>
      <c r="B619" s="127">
        <v>11</v>
      </c>
      <c r="C619" s="367">
        <v>66</v>
      </c>
      <c r="D619" s="367">
        <v>78</v>
      </c>
      <c r="E619" s="367">
        <v>0</v>
      </c>
      <c r="F619" s="367">
        <v>0</v>
      </c>
      <c r="G619" s="367">
        <v>5</v>
      </c>
      <c r="H619" s="367">
        <v>3</v>
      </c>
      <c r="I619" s="367">
        <v>2</v>
      </c>
      <c r="J619" s="367">
        <v>2</v>
      </c>
      <c r="K619" s="367">
        <v>0</v>
      </c>
      <c r="L619" s="368">
        <v>0</v>
      </c>
      <c r="M619" s="154">
        <f t="shared" si="86"/>
        <v>73</v>
      </c>
      <c r="N619" s="155">
        <f t="shared" si="87"/>
        <v>83</v>
      </c>
      <c r="O619" s="156">
        <f>M619/30</f>
        <v>2.4333333333333331</v>
      </c>
      <c r="P619" s="157">
        <f>N619/30</f>
        <v>2.7666666666666666</v>
      </c>
    </row>
    <row r="620" spans="1:16" ht="12" customHeight="1" thickBot="1">
      <c r="A620" s="475"/>
      <c r="B620" s="127">
        <v>12</v>
      </c>
      <c r="C620" s="367">
        <v>155</v>
      </c>
      <c r="D620" s="367">
        <v>229</v>
      </c>
      <c r="E620" s="367">
        <v>2</v>
      </c>
      <c r="F620" s="367">
        <v>0</v>
      </c>
      <c r="G620" s="367">
        <v>21</v>
      </c>
      <c r="H620" s="367">
        <v>31</v>
      </c>
      <c r="I620" s="367">
        <v>4</v>
      </c>
      <c r="J620" s="367">
        <v>5</v>
      </c>
      <c r="K620" s="367">
        <v>1</v>
      </c>
      <c r="L620" s="368">
        <v>0</v>
      </c>
      <c r="M620" s="154">
        <f t="shared" si="86"/>
        <v>183</v>
      </c>
      <c r="N620" s="155">
        <f t="shared" si="87"/>
        <v>265</v>
      </c>
      <c r="O620" s="156">
        <f>M620/31</f>
        <v>5.903225806451613</v>
      </c>
      <c r="P620" s="157">
        <f>N620/31</f>
        <v>8.5483870967741939</v>
      </c>
    </row>
    <row r="621" spans="1:16" ht="12" customHeight="1">
      <c r="A621" s="473">
        <v>2020</v>
      </c>
      <c r="B621" s="410">
        <v>1</v>
      </c>
      <c r="C621" s="434">
        <v>170</v>
      </c>
      <c r="D621" s="434">
        <v>349</v>
      </c>
      <c r="E621" s="434">
        <v>2</v>
      </c>
      <c r="F621" s="434">
        <v>6</v>
      </c>
      <c r="G621" s="434">
        <v>21</v>
      </c>
      <c r="H621" s="434">
        <v>45</v>
      </c>
      <c r="I621" s="434">
        <v>1</v>
      </c>
      <c r="J621" s="434">
        <v>9</v>
      </c>
      <c r="K621" s="434">
        <v>5</v>
      </c>
      <c r="L621" s="436">
        <v>12</v>
      </c>
      <c r="M621" s="424">
        <f t="shared" ref="M621:M632" si="88">+C621+E621+G621+I621+K621</f>
        <v>199</v>
      </c>
      <c r="N621" s="425">
        <f t="shared" ref="N621:N632" si="89">+D621+F621+H621+J621+L621</f>
        <v>421</v>
      </c>
      <c r="O621" s="430">
        <f>M621/31</f>
        <v>6.419354838709677</v>
      </c>
      <c r="P621" s="427">
        <f>N621/31</f>
        <v>13.580645161290322</v>
      </c>
    </row>
    <row r="622" spans="1:16" ht="12" customHeight="1">
      <c r="A622" s="474"/>
      <c r="B622" s="127">
        <v>2</v>
      </c>
      <c r="C622" s="147">
        <v>126</v>
      </c>
      <c r="D622" s="147">
        <v>330</v>
      </c>
      <c r="E622" s="147">
        <v>0</v>
      </c>
      <c r="F622" s="147">
        <v>0</v>
      </c>
      <c r="G622" s="147">
        <v>6</v>
      </c>
      <c r="H622" s="147">
        <v>21</v>
      </c>
      <c r="I622" s="147">
        <v>0</v>
      </c>
      <c r="J622" s="147">
        <v>0</v>
      </c>
      <c r="K622" s="147">
        <v>0</v>
      </c>
      <c r="L622" s="148">
        <v>5</v>
      </c>
      <c r="M622" s="149">
        <f t="shared" si="88"/>
        <v>132</v>
      </c>
      <c r="N622" s="150">
        <f t="shared" si="89"/>
        <v>356</v>
      </c>
      <c r="O622" s="151">
        <f>M622/28</f>
        <v>4.7142857142857144</v>
      </c>
      <c r="P622" s="152">
        <f>N622/28</f>
        <v>12.714285714285714</v>
      </c>
    </row>
    <row r="623" spans="1:16" ht="12" customHeight="1">
      <c r="A623" s="474"/>
      <c r="B623" s="127">
        <v>3</v>
      </c>
      <c r="C623" s="147">
        <v>53</v>
      </c>
      <c r="D623" s="147">
        <v>94</v>
      </c>
      <c r="E623" s="147">
        <v>0</v>
      </c>
      <c r="F623" s="147">
        <v>0</v>
      </c>
      <c r="G623" s="147">
        <v>1</v>
      </c>
      <c r="H623" s="147">
        <v>1</v>
      </c>
      <c r="I623" s="147">
        <v>0</v>
      </c>
      <c r="J623" s="147">
        <v>0</v>
      </c>
      <c r="K623" s="147">
        <v>0</v>
      </c>
      <c r="L623" s="148">
        <v>0</v>
      </c>
      <c r="M623" s="149">
        <f t="shared" si="88"/>
        <v>54</v>
      </c>
      <c r="N623" s="150">
        <f t="shared" si="89"/>
        <v>95</v>
      </c>
      <c r="O623" s="151">
        <f>M623/31</f>
        <v>1.7419354838709677</v>
      </c>
      <c r="P623" s="152">
        <f>N623/31</f>
        <v>3.064516129032258</v>
      </c>
    </row>
    <row r="624" spans="1:16" ht="12" customHeight="1">
      <c r="A624" s="474"/>
      <c r="B624" s="127">
        <v>4</v>
      </c>
      <c r="C624" s="147">
        <v>3</v>
      </c>
      <c r="D624" s="147">
        <v>4</v>
      </c>
      <c r="E624" s="147">
        <v>0</v>
      </c>
      <c r="F624" s="147">
        <v>0</v>
      </c>
      <c r="G624" s="147">
        <v>0</v>
      </c>
      <c r="H624" s="147">
        <v>0</v>
      </c>
      <c r="I624" s="147">
        <v>0</v>
      </c>
      <c r="J624" s="147">
        <v>0</v>
      </c>
      <c r="K624" s="147">
        <v>0</v>
      </c>
      <c r="L624" s="148">
        <v>0</v>
      </c>
      <c r="M624" s="154">
        <f t="shared" si="88"/>
        <v>3</v>
      </c>
      <c r="N624" s="155">
        <f t="shared" si="89"/>
        <v>4</v>
      </c>
      <c r="O624" s="151">
        <f>M624/30</f>
        <v>0.1</v>
      </c>
      <c r="P624" s="152">
        <f>N624/30</f>
        <v>0.13333333333333333</v>
      </c>
    </row>
    <row r="625" spans="1:16" ht="12" customHeight="1">
      <c r="A625" s="474"/>
      <c r="B625" s="127">
        <v>5</v>
      </c>
      <c r="C625" s="147">
        <v>0</v>
      </c>
      <c r="D625" s="147">
        <v>0</v>
      </c>
      <c r="E625" s="147">
        <v>0</v>
      </c>
      <c r="F625" s="147">
        <v>0</v>
      </c>
      <c r="G625" s="147">
        <v>0</v>
      </c>
      <c r="H625" s="147">
        <v>0</v>
      </c>
      <c r="I625" s="147">
        <v>0</v>
      </c>
      <c r="J625" s="147">
        <v>0</v>
      </c>
      <c r="K625" s="147">
        <v>0</v>
      </c>
      <c r="L625" s="148">
        <v>0</v>
      </c>
      <c r="M625" s="154">
        <f t="shared" si="88"/>
        <v>0</v>
      </c>
      <c r="N625" s="155">
        <f t="shared" si="89"/>
        <v>0</v>
      </c>
      <c r="O625" s="156">
        <f>M625/31</f>
        <v>0</v>
      </c>
      <c r="P625" s="157">
        <f>N625/31</f>
        <v>0</v>
      </c>
    </row>
    <row r="626" spans="1:16" ht="12" customHeight="1">
      <c r="A626" s="474"/>
      <c r="B626" s="127">
        <v>6</v>
      </c>
      <c r="C626" s="147">
        <f>集計用!C25+集計用!C48</f>
        <v>13</v>
      </c>
      <c r="D626" s="147">
        <f>集計用!S25+集計用!S48</f>
        <v>10</v>
      </c>
      <c r="E626" s="147">
        <f>集計用!E25+集計用!E48</f>
        <v>0</v>
      </c>
      <c r="F626" s="147">
        <f>集計用!U25+集計用!U48</f>
        <v>0</v>
      </c>
      <c r="G626" s="147">
        <f>集計用!G25+集計用!G48</f>
        <v>0</v>
      </c>
      <c r="H626" s="147">
        <f>集計用!W25+集計用!W48</f>
        <v>0</v>
      </c>
      <c r="I626" s="147">
        <f>集計用!I25+集計用!I48</f>
        <v>0</v>
      </c>
      <c r="J626" s="147">
        <f>集計用!Y48</f>
        <v>0</v>
      </c>
      <c r="K626" s="147">
        <f>集計用!K48</f>
        <v>0</v>
      </c>
      <c r="L626" s="148">
        <f>集計用!AA48</f>
        <v>0</v>
      </c>
      <c r="M626" s="154">
        <f t="shared" ref="M626:M631" si="90">+C626+E626+G626+I626+K626</f>
        <v>13</v>
      </c>
      <c r="N626" s="155">
        <f t="shared" ref="N626:N631" si="91">+D626+F626+H626+J626+L626</f>
        <v>10</v>
      </c>
      <c r="O626" s="156">
        <f>M626/30</f>
        <v>0.43333333333333335</v>
      </c>
      <c r="P626" s="157">
        <f>N626/30</f>
        <v>0.33333333333333331</v>
      </c>
    </row>
    <row r="627" spans="1:16" ht="12" customHeight="1">
      <c r="A627" s="474"/>
      <c r="B627" s="127">
        <v>7</v>
      </c>
      <c r="C627" s="158"/>
      <c r="D627" s="158"/>
      <c r="E627" s="158"/>
      <c r="F627" s="158"/>
      <c r="G627" s="158"/>
      <c r="H627" s="158"/>
      <c r="I627" s="158"/>
      <c r="J627" s="158"/>
      <c r="K627" s="158"/>
      <c r="L627" s="158"/>
      <c r="M627" s="154">
        <f t="shared" si="90"/>
        <v>0</v>
      </c>
      <c r="N627" s="155">
        <f t="shared" si="91"/>
        <v>0</v>
      </c>
      <c r="O627" s="156">
        <f>M627/31</f>
        <v>0</v>
      </c>
      <c r="P627" s="157">
        <f>N627/31</f>
        <v>0</v>
      </c>
    </row>
    <row r="628" spans="1:16" ht="12" customHeight="1">
      <c r="A628" s="474"/>
      <c r="B628" s="127">
        <v>8</v>
      </c>
      <c r="C628" s="158"/>
      <c r="D628" s="158"/>
      <c r="E628" s="158"/>
      <c r="F628" s="158"/>
      <c r="G628" s="158"/>
      <c r="H628" s="158"/>
      <c r="I628" s="158"/>
      <c r="J628" s="158"/>
      <c r="K628" s="158"/>
      <c r="L628" s="159"/>
      <c r="M628" s="154">
        <f t="shared" si="90"/>
        <v>0</v>
      </c>
      <c r="N628" s="155">
        <f t="shared" si="91"/>
        <v>0</v>
      </c>
      <c r="O628" s="156">
        <f>M628/31</f>
        <v>0</v>
      </c>
      <c r="P628" s="157">
        <f>N628/30</f>
        <v>0</v>
      </c>
    </row>
    <row r="629" spans="1:16" ht="12" customHeight="1">
      <c r="A629" s="474"/>
      <c r="B629" s="127">
        <v>9</v>
      </c>
      <c r="C629" s="158"/>
      <c r="D629" s="158"/>
      <c r="E629" s="158"/>
      <c r="F629" s="158"/>
      <c r="G629" s="158"/>
      <c r="H629" s="158"/>
      <c r="I629" s="158"/>
      <c r="J629" s="158"/>
      <c r="K629" s="158"/>
      <c r="L629" s="159"/>
      <c r="M629" s="154">
        <f t="shared" si="90"/>
        <v>0</v>
      </c>
      <c r="N629" s="155">
        <f t="shared" si="91"/>
        <v>0</v>
      </c>
      <c r="O629" s="156">
        <f>M629/30</f>
        <v>0</v>
      </c>
      <c r="P629" s="157">
        <f>N629/31</f>
        <v>0</v>
      </c>
    </row>
    <row r="630" spans="1:16" ht="12" customHeight="1">
      <c r="A630" s="474"/>
      <c r="B630" s="127">
        <v>10</v>
      </c>
      <c r="C630" s="147"/>
      <c r="D630" s="147"/>
      <c r="E630" s="147"/>
      <c r="F630" s="181"/>
      <c r="G630" s="147"/>
      <c r="H630" s="147"/>
      <c r="I630" s="147"/>
      <c r="J630" s="147"/>
      <c r="K630" s="147"/>
      <c r="L630" s="148"/>
      <c r="M630" s="154">
        <f t="shared" si="90"/>
        <v>0</v>
      </c>
      <c r="N630" s="155">
        <f t="shared" si="91"/>
        <v>0</v>
      </c>
      <c r="O630" s="156">
        <f>M630/30</f>
        <v>0</v>
      </c>
      <c r="P630" s="157">
        <f>N630/30</f>
        <v>0</v>
      </c>
    </row>
    <row r="631" spans="1:16" ht="12" customHeight="1">
      <c r="A631" s="474"/>
      <c r="B631" s="127">
        <v>11</v>
      </c>
      <c r="C631" s="367"/>
      <c r="D631" s="367"/>
      <c r="E631" s="367"/>
      <c r="F631" s="367"/>
      <c r="G631" s="367"/>
      <c r="H631" s="367"/>
      <c r="I631" s="367"/>
      <c r="J631" s="367"/>
      <c r="K631" s="367"/>
      <c r="L631" s="368"/>
      <c r="M631" s="154">
        <f t="shared" si="90"/>
        <v>0</v>
      </c>
      <c r="N631" s="155">
        <f t="shared" si="91"/>
        <v>0</v>
      </c>
      <c r="O631" s="156">
        <f>M631/30</f>
        <v>0</v>
      </c>
      <c r="P631" s="157">
        <f>N631/30</f>
        <v>0</v>
      </c>
    </row>
    <row r="632" spans="1:16" ht="12" customHeight="1" thickBot="1">
      <c r="A632" s="475"/>
      <c r="B632" s="127">
        <v>12</v>
      </c>
      <c r="C632" s="187"/>
      <c r="D632" s="187"/>
      <c r="E632" s="187"/>
      <c r="F632" s="188"/>
      <c r="G632" s="187"/>
      <c r="H632" s="187"/>
      <c r="I632" s="187"/>
      <c r="J632" s="187"/>
      <c r="K632" s="187"/>
      <c r="L632" s="189"/>
      <c r="M632" s="154">
        <f t="shared" si="88"/>
        <v>0</v>
      </c>
      <c r="N632" s="155">
        <f t="shared" si="89"/>
        <v>0</v>
      </c>
      <c r="O632" s="156">
        <f>M632/31</f>
        <v>0</v>
      </c>
      <c r="P632" s="157">
        <f>N632/31</f>
        <v>0</v>
      </c>
    </row>
    <row r="633" spans="1:16" s="2" customFormat="1" ht="12" customHeight="1" thickBot="1">
      <c r="A633" s="179"/>
      <c r="B633" s="160" t="s">
        <v>5</v>
      </c>
      <c r="C633" s="161">
        <f>SUM(C549:C632)</f>
        <v>3830</v>
      </c>
      <c r="D633" s="161">
        <f t="shared" ref="D633:K633" si="92">SUM(D549:D632)</f>
        <v>5926</v>
      </c>
      <c r="E633" s="161">
        <f t="shared" si="92"/>
        <v>31</v>
      </c>
      <c r="F633" s="161">
        <f t="shared" si="92"/>
        <v>52</v>
      </c>
      <c r="G633" s="161">
        <f t="shared" si="92"/>
        <v>234</v>
      </c>
      <c r="H633" s="161">
        <f t="shared" si="92"/>
        <v>399</v>
      </c>
      <c r="I633" s="161">
        <f t="shared" si="92"/>
        <v>48</v>
      </c>
      <c r="J633" s="161">
        <f t="shared" si="92"/>
        <v>70</v>
      </c>
      <c r="K633" s="161">
        <f t="shared" si="92"/>
        <v>39</v>
      </c>
      <c r="L633" s="161">
        <f>SUM(L549:L632)</f>
        <v>88</v>
      </c>
      <c r="M633" s="170">
        <f>SUM(M549:M632)</f>
        <v>4182</v>
      </c>
      <c r="N633" s="161">
        <f>SUM(N549:N632)</f>
        <v>6535</v>
      </c>
      <c r="O633" s="161">
        <f>SUM(O549:O632)</f>
        <v>137.58172837544359</v>
      </c>
      <c r="P633" s="161">
        <f>SUM(P549:P632)</f>
        <v>216.01111552518674</v>
      </c>
    </row>
    <row r="634" spans="1:16" ht="10.5" customHeight="1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75"/>
    </row>
    <row r="635" spans="1:16" s="2" customFormat="1" ht="15" customHeight="1">
      <c r="B635" s="172" t="s">
        <v>25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73">
        <f>P1</f>
        <v>44022</v>
      </c>
    </row>
    <row r="636" spans="1:16" s="2" customFormat="1" ht="7.5" customHeight="1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124"/>
    </row>
    <row r="637" spans="1:16" ht="10.5" customHeight="1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25" t="s">
        <v>26</v>
      </c>
    </row>
    <row r="638" spans="1:16" ht="9.75" customHeight="1">
      <c r="B638" s="11" t="s">
        <v>55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6" t="s">
        <v>27</v>
      </c>
    </row>
    <row r="639" spans="1:16" ht="11.25" customHeight="1">
      <c r="B639" s="467" t="s">
        <v>158</v>
      </c>
      <c r="C639" s="469" t="s">
        <v>29</v>
      </c>
      <c r="D639" s="470"/>
      <c r="E639" s="469" t="s">
        <v>47</v>
      </c>
      <c r="F639" s="470"/>
      <c r="G639" s="469" t="s">
        <v>31</v>
      </c>
      <c r="H639" s="470"/>
      <c r="I639" s="469" t="s">
        <v>58</v>
      </c>
      <c r="J639" s="470"/>
      <c r="K639" s="469" t="s">
        <v>57</v>
      </c>
      <c r="L639" s="471"/>
      <c r="M639" s="478" t="s">
        <v>5</v>
      </c>
      <c r="N639" s="470"/>
      <c r="O639" s="469" t="s">
        <v>33</v>
      </c>
      <c r="P639" s="470"/>
    </row>
    <row r="640" spans="1:16" ht="11.25" customHeight="1" thickBot="1">
      <c r="B640" s="477"/>
      <c r="C640" s="13" t="s">
        <v>34</v>
      </c>
      <c r="D640" s="13" t="s">
        <v>35</v>
      </c>
      <c r="E640" s="13" t="s">
        <v>34</v>
      </c>
      <c r="F640" s="13" t="s">
        <v>35</v>
      </c>
      <c r="G640" s="13" t="s">
        <v>34</v>
      </c>
      <c r="H640" s="13" t="s">
        <v>35</v>
      </c>
      <c r="I640" s="13" t="s">
        <v>59</v>
      </c>
      <c r="J640" s="13" t="s">
        <v>60</v>
      </c>
      <c r="K640" s="13" t="s">
        <v>34</v>
      </c>
      <c r="L640" s="14" t="s">
        <v>35</v>
      </c>
      <c r="M640" s="15" t="s">
        <v>34</v>
      </c>
      <c r="N640" s="13" t="s">
        <v>35</v>
      </c>
      <c r="O640" s="163" t="s">
        <v>34</v>
      </c>
      <c r="P640" s="163" t="s">
        <v>35</v>
      </c>
    </row>
    <row r="641" spans="1:60" s="3" customFormat="1" ht="9.75" customHeight="1">
      <c r="A641" s="487">
        <v>2015</v>
      </c>
      <c r="B641" s="410">
        <v>1</v>
      </c>
      <c r="C641" s="416"/>
      <c r="D641" s="416"/>
      <c r="E641" s="416"/>
      <c r="F641" s="416"/>
      <c r="G641" s="416"/>
      <c r="H641" s="416"/>
      <c r="I641" s="416"/>
      <c r="J641" s="416"/>
      <c r="K641" s="416"/>
      <c r="L641" s="431"/>
      <c r="M641" s="418">
        <f t="shared" ref="M641:M696" si="93">+C641+E641+G641+I641+K641</f>
        <v>0</v>
      </c>
      <c r="N641" s="419">
        <f t="shared" ref="N641:N696" si="94">+D641+F641+H641+J641+L641</f>
        <v>0</v>
      </c>
      <c r="O641" s="429">
        <f t="shared" ref="O641:P648" si="95">M641/31</f>
        <v>0</v>
      </c>
      <c r="P641" s="421">
        <f t="shared" si="95"/>
        <v>0</v>
      </c>
      <c r="Q641" s="343"/>
      <c r="R641" s="343"/>
      <c r="S641" s="343"/>
      <c r="T641" s="343"/>
      <c r="U641" s="343"/>
      <c r="V641" s="343"/>
      <c r="W641" s="343"/>
      <c r="X641" s="343"/>
      <c r="Y641" s="343"/>
      <c r="Z641" s="343"/>
      <c r="AA641" s="343"/>
      <c r="AB641" s="343"/>
      <c r="AC641" s="343"/>
      <c r="AD641" s="343"/>
      <c r="AE641" s="343"/>
      <c r="AF641" s="343"/>
      <c r="AG641" s="343"/>
      <c r="AH641" s="343"/>
      <c r="AI641" s="343"/>
      <c r="AJ641" s="343"/>
      <c r="AK641" s="343"/>
      <c r="AL641" s="343"/>
      <c r="AM641" s="343"/>
      <c r="AN641" s="343"/>
      <c r="AO641" s="343"/>
      <c r="AP641" s="343"/>
      <c r="AQ641" s="343"/>
      <c r="AR641" s="343"/>
      <c r="AS641" s="343"/>
      <c r="AT641" s="343"/>
      <c r="AU641" s="343"/>
      <c r="AV641" s="343"/>
      <c r="AW641" s="343"/>
      <c r="AX641" s="343"/>
      <c r="AY641" s="343"/>
      <c r="AZ641" s="343"/>
      <c r="BA641" s="343"/>
      <c r="BB641" s="343"/>
      <c r="BC641" s="343"/>
      <c r="BD641" s="343"/>
      <c r="BE641" s="343"/>
      <c r="BF641" s="343"/>
      <c r="BG641" s="343"/>
      <c r="BH641" s="343"/>
    </row>
    <row r="642" spans="1:60" s="3" customFormat="1" ht="9.75" customHeight="1">
      <c r="A642" s="488"/>
      <c r="B642" s="127">
        <v>2</v>
      </c>
      <c r="C642" s="128"/>
      <c r="D642" s="128"/>
      <c r="E642" s="128"/>
      <c r="F642" s="128"/>
      <c r="G642" s="128"/>
      <c r="H642" s="128"/>
      <c r="I642" s="128"/>
      <c r="J642" s="128"/>
      <c r="K642" s="128"/>
      <c r="L642" s="164"/>
      <c r="M642" s="130">
        <f t="shared" si="93"/>
        <v>0</v>
      </c>
      <c r="N642" s="146">
        <f t="shared" si="94"/>
        <v>0</v>
      </c>
      <c r="O642" s="165">
        <f t="shared" si="95"/>
        <v>0</v>
      </c>
      <c r="P642" s="132">
        <f t="shared" si="95"/>
        <v>0</v>
      </c>
      <c r="Q642" s="343"/>
      <c r="R642" s="343"/>
      <c r="S642" s="343"/>
      <c r="T642" s="343"/>
      <c r="U642" s="343"/>
      <c r="V642" s="343"/>
      <c r="W642" s="343"/>
      <c r="X642" s="343"/>
      <c r="Y642" s="343"/>
      <c r="Z642" s="343"/>
      <c r="AA642" s="343"/>
      <c r="AB642" s="343"/>
      <c r="AC642" s="343"/>
      <c r="AD642" s="343"/>
      <c r="AE642" s="343"/>
      <c r="AF642" s="343"/>
      <c r="AG642" s="343"/>
      <c r="AH642" s="343"/>
      <c r="AI642" s="343"/>
      <c r="AJ642" s="343"/>
      <c r="AK642" s="343"/>
      <c r="AL642" s="343"/>
      <c r="AM642" s="343"/>
      <c r="AN642" s="343"/>
      <c r="AO642" s="343"/>
      <c r="AP642" s="343"/>
      <c r="AQ642" s="343"/>
      <c r="AR642" s="343"/>
      <c r="AS642" s="343"/>
      <c r="AT642" s="343"/>
      <c r="AU642" s="343"/>
      <c r="AV642" s="343"/>
      <c r="AW642" s="343"/>
      <c r="AX642" s="343"/>
      <c r="AY642" s="343"/>
      <c r="AZ642" s="343"/>
      <c r="BA642" s="343"/>
      <c r="BB642" s="343"/>
      <c r="BC642" s="343"/>
      <c r="BD642" s="343"/>
      <c r="BE642" s="343"/>
      <c r="BF642" s="343"/>
      <c r="BG642" s="343"/>
      <c r="BH642" s="343"/>
    </row>
    <row r="643" spans="1:60" s="3" customFormat="1" ht="9.75" customHeight="1">
      <c r="A643" s="488"/>
      <c r="B643" s="127">
        <v>3</v>
      </c>
      <c r="C643" s="128"/>
      <c r="D643" s="128"/>
      <c r="E643" s="128"/>
      <c r="F643" s="128"/>
      <c r="G643" s="128"/>
      <c r="H643" s="128"/>
      <c r="I643" s="128"/>
      <c r="J643" s="128"/>
      <c r="K643" s="128"/>
      <c r="L643" s="164"/>
      <c r="M643" s="130">
        <f t="shared" si="93"/>
        <v>0</v>
      </c>
      <c r="N643" s="146">
        <f t="shared" si="94"/>
        <v>0</v>
      </c>
      <c r="O643" s="165">
        <f t="shared" si="95"/>
        <v>0</v>
      </c>
      <c r="P643" s="132">
        <f t="shared" si="95"/>
        <v>0</v>
      </c>
      <c r="Q643" s="343"/>
      <c r="R643" s="343"/>
      <c r="S643" s="343"/>
      <c r="T643" s="343"/>
      <c r="U643" s="343"/>
      <c r="V643" s="343"/>
      <c r="W643" s="343"/>
      <c r="X643" s="343"/>
      <c r="Y643" s="343"/>
      <c r="Z643" s="343"/>
      <c r="AA643" s="343"/>
      <c r="AB643" s="343"/>
      <c r="AC643" s="343"/>
      <c r="AD643" s="343"/>
      <c r="AE643" s="343"/>
      <c r="AF643" s="343"/>
      <c r="AG643" s="343"/>
      <c r="AH643" s="343"/>
      <c r="AI643" s="343"/>
      <c r="AJ643" s="343"/>
      <c r="AK643" s="343"/>
      <c r="AL643" s="343"/>
      <c r="AM643" s="343"/>
      <c r="AN643" s="343"/>
      <c r="AO643" s="343"/>
      <c r="AP643" s="343"/>
      <c r="AQ643" s="343"/>
      <c r="AR643" s="343"/>
      <c r="AS643" s="343"/>
      <c r="AT643" s="343"/>
      <c r="AU643" s="343"/>
      <c r="AV643" s="343"/>
      <c r="AW643" s="343"/>
      <c r="AX643" s="343"/>
      <c r="AY643" s="343"/>
      <c r="AZ643" s="343"/>
      <c r="BA643" s="343"/>
      <c r="BB643" s="343"/>
      <c r="BC643" s="343"/>
      <c r="BD643" s="343"/>
      <c r="BE643" s="343"/>
      <c r="BF643" s="343"/>
      <c r="BG643" s="343"/>
      <c r="BH643" s="343"/>
    </row>
    <row r="644" spans="1:60" s="3" customFormat="1" ht="9.75" customHeight="1">
      <c r="A644" s="488"/>
      <c r="B644" s="127">
        <v>4</v>
      </c>
      <c r="C644" s="133"/>
      <c r="D644" s="133"/>
      <c r="E644" s="133"/>
      <c r="F644" s="133"/>
      <c r="G644" s="133"/>
      <c r="H644" s="133"/>
      <c r="I644" s="133"/>
      <c r="J644" s="133"/>
      <c r="K644" s="133"/>
      <c r="L644" s="144"/>
      <c r="M644" s="135">
        <f t="shared" si="93"/>
        <v>0</v>
      </c>
      <c r="N644" s="145">
        <f t="shared" si="94"/>
        <v>0</v>
      </c>
      <c r="O644" s="166">
        <f t="shared" si="95"/>
        <v>0</v>
      </c>
      <c r="P644" s="137">
        <f t="shared" si="95"/>
        <v>0</v>
      </c>
      <c r="Q644" s="343"/>
      <c r="R644" s="343"/>
      <c r="S644" s="343"/>
      <c r="T644" s="343"/>
      <c r="U644" s="343"/>
      <c r="V644" s="343"/>
      <c r="W644" s="343"/>
      <c r="X644" s="343"/>
      <c r="Y644" s="343"/>
      <c r="Z644" s="343"/>
      <c r="AA644" s="343"/>
      <c r="AB644" s="343"/>
      <c r="AC644" s="343"/>
      <c r="AD644" s="343"/>
      <c r="AE644" s="343"/>
      <c r="AF644" s="343"/>
      <c r="AG644" s="343"/>
      <c r="AH644" s="343"/>
      <c r="AI644" s="343"/>
      <c r="AJ644" s="343"/>
      <c r="AK644" s="343"/>
      <c r="AL644" s="343"/>
      <c r="AM644" s="343"/>
      <c r="AN644" s="343"/>
      <c r="AO644" s="343"/>
      <c r="AP644" s="343"/>
      <c r="AQ644" s="343"/>
      <c r="AR644" s="343"/>
      <c r="AS644" s="343"/>
      <c r="AT644" s="343"/>
      <c r="AU644" s="343"/>
      <c r="AV644" s="343"/>
      <c r="AW644" s="343"/>
      <c r="AX644" s="343"/>
      <c r="AY644" s="343"/>
      <c r="AZ644" s="343"/>
      <c r="BA644" s="343"/>
      <c r="BB644" s="343"/>
      <c r="BC644" s="343"/>
      <c r="BD644" s="343"/>
      <c r="BE644" s="343"/>
      <c r="BF644" s="343"/>
      <c r="BG644" s="343"/>
      <c r="BH644" s="343"/>
    </row>
    <row r="645" spans="1:60" s="3" customFormat="1" ht="9.75" customHeight="1">
      <c r="A645" s="488"/>
      <c r="B645" s="127">
        <v>5</v>
      </c>
      <c r="C645" s="133">
        <v>229</v>
      </c>
      <c r="D645" s="133">
        <v>645</v>
      </c>
      <c r="E645" s="133">
        <v>4</v>
      </c>
      <c r="F645" s="133">
        <v>10</v>
      </c>
      <c r="G645" s="133">
        <v>16</v>
      </c>
      <c r="H645" s="133">
        <v>21</v>
      </c>
      <c r="I645" s="133">
        <v>8</v>
      </c>
      <c r="J645" s="133">
        <v>18</v>
      </c>
      <c r="K645" s="133"/>
      <c r="L645" s="144"/>
      <c r="M645" s="135">
        <f t="shared" si="93"/>
        <v>257</v>
      </c>
      <c r="N645" s="145">
        <f t="shared" si="94"/>
        <v>694</v>
      </c>
      <c r="O645" s="166">
        <f t="shared" si="95"/>
        <v>8.2903225806451619</v>
      </c>
      <c r="P645" s="137">
        <f t="shared" si="95"/>
        <v>22.387096774193548</v>
      </c>
      <c r="Q645" s="343"/>
      <c r="R645" s="343"/>
      <c r="S645" s="343"/>
      <c r="T645" s="343"/>
      <c r="U645" s="343"/>
      <c r="V645" s="343"/>
      <c r="W645" s="343"/>
      <c r="X645" s="343"/>
      <c r="Y645" s="343"/>
      <c r="Z645" s="343"/>
      <c r="AA645" s="343"/>
      <c r="AB645" s="343"/>
      <c r="AC645" s="343"/>
      <c r="AD645" s="343"/>
      <c r="AE645" s="343"/>
      <c r="AF645" s="343"/>
      <c r="AG645" s="343"/>
      <c r="AH645" s="343"/>
      <c r="AI645" s="343"/>
      <c r="AJ645" s="343"/>
      <c r="AK645" s="343"/>
      <c r="AL645" s="343"/>
      <c r="AM645" s="343"/>
      <c r="AN645" s="343"/>
      <c r="AO645" s="343"/>
      <c r="AP645" s="343"/>
      <c r="AQ645" s="343"/>
      <c r="AR645" s="343"/>
      <c r="AS645" s="343"/>
      <c r="AT645" s="343"/>
      <c r="AU645" s="343"/>
      <c r="AV645" s="343"/>
      <c r="AW645" s="343"/>
      <c r="AX645" s="343"/>
      <c r="AY645" s="343"/>
      <c r="AZ645" s="343"/>
      <c r="BA645" s="343"/>
      <c r="BB645" s="343"/>
      <c r="BC645" s="343"/>
      <c r="BD645" s="343"/>
      <c r="BE645" s="343"/>
      <c r="BF645" s="343"/>
      <c r="BG645" s="343"/>
      <c r="BH645" s="343"/>
    </row>
    <row r="646" spans="1:60" s="3" customFormat="1" ht="9.75" customHeight="1">
      <c r="A646" s="488"/>
      <c r="B646" s="127">
        <v>6</v>
      </c>
      <c r="C646" s="133">
        <v>139</v>
      </c>
      <c r="D646" s="133">
        <v>310</v>
      </c>
      <c r="E646" s="133">
        <v>9</v>
      </c>
      <c r="F646" s="133">
        <v>12</v>
      </c>
      <c r="G646" s="133">
        <v>21</v>
      </c>
      <c r="H646" s="133">
        <v>40</v>
      </c>
      <c r="I646" s="133">
        <v>8</v>
      </c>
      <c r="J646" s="133">
        <v>5</v>
      </c>
      <c r="K646" s="133"/>
      <c r="L646" s="144"/>
      <c r="M646" s="135">
        <f t="shared" si="93"/>
        <v>177</v>
      </c>
      <c r="N646" s="145">
        <f t="shared" si="94"/>
        <v>367</v>
      </c>
      <c r="O646" s="166">
        <f t="shared" si="95"/>
        <v>5.709677419354839</v>
      </c>
      <c r="P646" s="137">
        <f t="shared" si="95"/>
        <v>11.838709677419354</v>
      </c>
      <c r="Q646" s="343"/>
      <c r="R646" s="343"/>
      <c r="S646" s="343"/>
      <c r="T646" s="343"/>
      <c r="U646" s="343"/>
      <c r="V646" s="343"/>
      <c r="W646" s="343"/>
      <c r="X646" s="343"/>
      <c r="Y646" s="343"/>
      <c r="Z646" s="343"/>
      <c r="AA646" s="343"/>
      <c r="AB646" s="343"/>
      <c r="AC646" s="343"/>
      <c r="AD646" s="343"/>
      <c r="AE646" s="343"/>
      <c r="AF646" s="343"/>
      <c r="AG646" s="343"/>
      <c r="AH646" s="343"/>
      <c r="AI646" s="343"/>
      <c r="AJ646" s="343"/>
      <c r="AK646" s="343"/>
      <c r="AL646" s="343"/>
      <c r="AM646" s="343"/>
      <c r="AN646" s="343"/>
      <c r="AO646" s="343"/>
      <c r="AP646" s="343"/>
      <c r="AQ646" s="343"/>
      <c r="AR646" s="343"/>
      <c r="AS646" s="343"/>
      <c r="AT646" s="343"/>
      <c r="AU646" s="343"/>
      <c r="AV646" s="343"/>
      <c r="AW646" s="343"/>
      <c r="AX646" s="343"/>
      <c r="AY646" s="343"/>
      <c r="AZ646" s="343"/>
      <c r="BA646" s="343"/>
      <c r="BB646" s="343"/>
      <c r="BC646" s="343"/>
      <c r="BD646" s="343"/>
      <c r="BE646" s="343"/>
      <c r="BF646" s="343"/>
      <c r="BG646" s="343"/>
      <c r="BH646" s="343"/>
    </row>
    <row r="647" spans="1:60" s="3" customFormat="1" ht="9.75" customHeight="1">
      <c r="A647" s="488"/>
      <c r="B647" s="127">
        <v>7</v>
      </c>
      <c r="C647" s="133">
        <v>209</v>
      </c>
      <c r="D647" s="133">
        <v>500</v>
      </c>
      <c r="E647" s="133">
        <v>18</v>
      </c>
      <c r="F647" s="133">
        <v>34</v>
      </c>
      <c r="G647" s="133">
        <v>19</v>
      </c>
      <c r="H647" s="133">
        <v>56</v>
      </c>
      <c r="I647" s="133">
        <v>21</v>
      </c>
      <c r="J647" s="133">
        <v>34</v>
      </c>
      <c r="K647" s="133"/>
      <c r="L647" s="144"/>
      <c r="M647" s="135">
        <f t="shared" si="93"/>
        <v>267</v>
      </c>
      <c r="N647" s="145">
        <f t="shared" si="94"/>
        <v>624</v>
      </c>
      <c r="O647" s="166">
        <f t="shared" si="95"/>
        <v>8.612903225806452</v>
      </c>
      <c r="P647" s="137">
        <f t="shared" si="95"/>
        <v>20.129032258064516</v>
      </c>
      <c r="Q647" s="343"/>
      <c r="R647" s="343"/>
      <c r="S647" s="343"/>
      <c r="T647" s="343"/>
      <c r="U647" s="343"/>
      <c r="V647" s="343"/>
      <c r="W647" s="343"/>
      <c r="X647" s="343"/>
      <c r="Y647" s="343"/>
      <c r="Z647" s="343"/>
      <c r="AA647" s="343"/>
      <c r="AB647" s="343"/>
      <c r="AC647" s="343"/>
      <c r="AD647" s="343"/>
      <c r="AE647" s="343"/>
      <c r="AF647" s="343"/>
      <c r="AG647" s="343"/>
      <c r="AH647" s="343"/>
      <c r="AI647" s="343"/>
      <c r="AJ647" s="343"/>
      <c r="AK647" s="343"/>
      <c r="AL647" s="343"/>
      <c r="AM647" s="343"/>
      <c r="AN647" s="343"/>
      <c r="AO647" s="343"/>
      <c r="AP647" s="343"/>
      <c r="AQ647" s="343"/>
      <c r="AR647" s="343"/>
      <c r="AS647" s="343"/>
      <c r="AT647" s="343"/>
      <c r="AU647" s="343"/>
      <c r="AV647" s="343"/>
      <c r="AW647" s="343"/>
      <c r="AX647" s="343"/>
      <c r="AY647" s="343"/>
      <c r="AZ647" s="343"/>
      <c r="BA647" s="343"/>
      <c r="BB647" s="343"/>
      <c r="BC647" s="343"/>
      <c r="BD647" s="343"/>
      <c r="BE647" s="343"/>
      <c r="BF647" s="343"/>
      <c r="BG647" s="343"/>
      <c r="BH647" s="343"/>
    </row>
    <row r="648" spans="1:60" s="3" customFormat="1" ht="9.75" customHeight="1">
      <c r="A648" s="488"/>
      <c r="B648" s="127">
        <v>8</v>
      </c>
      <c r="C648" s="133">
        <v>235</v>
      </c>
      <c r="D648" s="133">
        <v>539</v>
      </c>
      <c r="E648" s="133">
        <v>31</v>
      </c>
      <c r="F648" s="133">
        <v>51</v>
      </c>
      <c r="G648" s="133">
        <v>36</v>
      </c>
      <c r="H648" s="133">
        <v>82</v>
      </c>
      <c r="I648" s="133">
        <v>31</v>
      </c>
      <c r="J648" s="133">
        <v>71</v>
      </c>
      <c r="K648" s="133"/>
      <c r="L648" s="144"/>
      <c r="M648" s="196">
        <f t="shared" si="93"/>
        <v>333</v>
      </c>
      <c r="N648" s="133">
        <f t="shared" si="94"/>
        <v>743</v>
      </c>
      <c r="O648" s="166">
        <f t="shared" si="95"/>
        <v>10.741935483870968</v>
      </c>
      <c r="P648" s="137">
        <f t="shared" si="95"/>
        <v>23.967741935483872</v>
      </c>
      <c r="Q648" s="343"/>
      <c r="R648" s="343"/>
      <c r="S648" s="343"/>
      <c r="T648" s="343"/>
      <c r="U648" s="343"/>
      <c r="V648" s="343"/>
      <c r="W648" s="343"/>
      <c r="X648" s="343"/>
      <c r="Y648" s="343"/>
      <c r="Z648" s="343"/>
      <c r="AA648" s="343"/>
      <c r="AB648" s="343"/>
      <c r="AC648" s="343"/>
      <c r="AD648" s="343"/>
      <c r="AE648" s="343"/>
      <c r="AF648" s="343"/>
      <c r="AG648" s="343"/>
      <c r="AH648" s="343"/>
      <c r="AI648" s="343"/>
      <c r="AJ648" s="343"/>
      <c r="AK648" s="343"/>
      <c r="AL648" s="343"/>
      <c r="AM648" s="343"/>
      <c r="AN648" s="343"/>
      <c r="AO648" s="343"/>
      <c r="AP648" s="343"/>
      <c r="AQ648" s="343"/>
      <c r="AR648" s="343"/>
      <c r="AS648" s="343"/>
      <c r="AT648" s="343"/>
      <c r="AU648" s="343"/>
      <c r="AV648" s="343"/>
      <c r="AW648" s="343"/>
      <c r="AX648" s="343"/>
      <c r="AY648" s="343"/>
      <c r="AZ648" s="343"/>
      <c r="BA648" s="343"/>
      <c r="BB648" s="343"/>
      <c r="BC648" s="343"/>
      <c r="BD648" s="343"/>
      <c r="BE648" s="343"/>
      <c r="BF648" s="343"/>
      <c r="BG648" s="343"/>
      <c r="BH648" s="343"/>
    </row>
    <row r="649" spans="1:60" s="3" customFormat="1" ht="9.75" customHeight="1">
      <c r="A649" s="488"/>
      <c r="B649" s="127">
        <v>9</v>
      </c>
      <c r="C649" s="128">
        <v>195</v>
      </c>
      <c r="D649" s="128">
        <v>343</v>
      </c>
      <c r="E649" s="128">
        <v>16</v>
      </c>
      <c r="F649" s="128">
        <v>14</v>
      </c>
      <c r="G649" s="128">
        <v>25</v>
      </c>
      <c r="H649" s="128">
        <v>35</v>
      </c>
      <c r="I649" s="128">
        <v>12</v>
      </c>
      <c r="J649" s="128">
        <v>19</v>
      </c>
      <c r="K649" s="128"/>
      <c r="L649" s="129"/>
      <c r="M649" s="196">
        <f t="shared" si="93"/>
        <v>248</v>
      </c>
      <c r="N649" s="133">
        <f t="shared" si="94"/>
        <v>411</v>
      </c>
      <c r="O649" s="166">
        <v>8</v>
      </c>
      <c r="P649" s="137">
        <v>13.258064516129032</v>
      </c>
      <c r="Q649" s="343"/>
      <c r="R649" s="343"/>
      <c r="S649" s="343"/>
      <c r="T649" s="343"/>
      <c r="U649" s="343"/>
      <c r="V649" s="343"/>
      <c r="W649" s="343"/>
      <c r="X649" s="343"/>
      <c r="Y649" s="343"/>
      <c r="Z649" s="343"/>
      <c r="AA649" s="343"/>
      <c r="AB649" s="343"/>
      <c r="AC649" s="343"/>
      <c r="AD649" s="343"/>
      <c r="AE649" s="343"/>
      <c r="AF649" s="343"/>
      <c r="AG649" s="343"/>
      <c r="AH649" s="343"/>
      <c r="AI649" s="343"/>
      <c r="AJ649" s="343"/>
      <c r="AK649" s="343"/>
      <c r="AL649" s="343"/>
      <c r="AM649" s="343"/>
      <c r="AN649" s="343"/>
      <c r="AO649" s="343"/>
      <c r="AP649" s="343"/>
      <c r="AQ649" s="343"/>
      <c r="AR649" s="343"/>
      <c r="AS649" s="343"/>
      <c r="AT649" s="343"/>
      <c r="AU649" s="343"/>
      <c r="AV649" s="343"/>
      <c r="AW649" s="343"/>
      <c r="AX649" s="343"/>
      <c r="AY649" s="343"/>
      <c r="AZ649" s="343"/>
      <c r="BA649" s="343"/>
      <c r="BB649" s="343"/>
      <c r="BC649" s="343"/>
      <c r="BD649" s="343"/>
      <c r="BE649" s="343"/>
      <c r="BF649" s="343"/>
      <c r="BG649" s="343"/>
      <c r="BH649" s="343"/>
    </row>
    <row r="650" spans="1:60" s="3" customFormat="1" ht="9.75" customHeight="1">
      <c r="A650" s="488"/>
      <c r="B650" s="127">
        <v>10</v>
      </c>
      <c r="C650" s="128">
        <v>404</v>
      </c>
      <c r="D650" s="128">
        <v>713</v>
      </c>
      <c r="E650" s="128">
        <v>30</v>
      </c>
      <c r="F650" s="358">
        <v>48</v>
      </c>
      <c r="G650" s="128">
        <v>22</v>
      </c>
      <c r="H650" s="128">
        <v>24</v>
      </c>
      <c r="I650" s="128">
        <v>2</v>
      </c>
      <c r="J650" s="128">
        <v>6</v>
      </c>
      <c r="K650" s="128"/>
      <c r="L650" s="129"/>
      <c r="M650" s="135">
        <f t="shared" si="93"/>
        <v>458</v>
      </c>
      <c r="N650" s="145">
        <f t="shared" si="94"/>
        <v>791</v>
      </c>
      <c r="O650" s="166">
        <f t="shared" ref="O650:P653" si="96">M650/31</f>
        <v>14.774193548387096</v>
      </c>
      <c r="P650" s="137">
        <f t="shared" si="96"/>
        <v>25.516129032258064</v>
      </c>
      <c r="Q650" s="343"/>
      <c r="R650" s="343"/>
      <c r="S650" s="343"/>
      <c r="T650" s="343"/>
      <c r="U650" s="343"/>
      <c r="V650" s="343"/>
      <c r="W650" s="343"/>
      <c r="X650" s="343"/>
      <c r="Y650" s="343"/>
      <c r="Z650" s="343"/>
      <c r="AA650" s="343"/>
      <c r="AB650" s="343"/>
      <c r="AC650" s="343"/>
      <c r="AD650" s="343"/>
      <c r="AE650" s="343"/>
      <c r="AF650" s="343"/>
      <c r="AG650" s="343"/>
      <c r="AH650" s="343"/>
      <c r="AI650" s="343"/>
      <c r="AJ650" s="343"/>
      <c r="AK650" s="343"/>
      <c r="AL650" s="343"/>
      <c r="AM650" s="343"/>
      <c r="AN650" s="343"/>
      <c r="AO650" s="343"/>
      <c r="AP650" s="343"/>
      <c r="AQ650" s="343"/>
      <c r="AR650" s="343"/>
      <c r="AS650" s="343"/>
      <c r="AT650" s="343"/>
      <c r="AU650" s="343"/>
      <c r="AV650" s="343"/>
      <c r="AW650" s="343"/>
      <c r="AX650" s="343"/>
      <c r="AY650" s="343"/>
      <c r="AZ650" s="343"/>
      <c r="BA650" s="343"/>
      <c r="BB650" s="343"/>
      <c r="BC650" s="343"/>
      <c r="BD650" s="343"/>
      <c r="BE650" s="343"/>
      <c r="BF650" s="343"/>
      <c r="BG650" s="343"/>
      <c r="BH650" s="343"/>
    </row>
    <row r="651" spans="1:60" s="3" customFormat="1" ht="9.75" customHeight="1">
      <c r="A651" s="488"/>
      <c r="B651" s="127">
        <v>11</v>
      </c>
      <c r="C651" s="365">
        <v>528</v>
      </c>
      <c r="D651" s="365">
        <v>1017</v>
      </c>
      <c r="E651" s="365">
        <v>21</v>
      </c>
      <c r="F651" s="365">
        <v>36</v>
      </c>
      <c r="G651" s="365">
        <v>44</v>
      </c>
      <c r="H651" s="365">
        <v>87</v>
      </c>
      <c r="I651" s="365">
        <v>11</v>
      </c>
      <c r="J651" s="365">
        <v>35</v>
      </c>
      <c r="K651" s="365"/>
      <c r="L651" s="366"/>
      <c r="M651" s="135">
        <f t="shared" si="93"/>
        <v>604</v>
      </c>
      <c r="N651" s="145">
        <f t="shared" si="94"/>
        <v>1175</v>
      </c>
      <c r="O651" s="166">
        <f t="shared" si="96"/>
        <v>19.483870967741936</v>
      </c>
      <c r="P651" s="137">
        <f t="shared" si="96"/>
        <v>37.903225806451616</v>
      </c>
      <c r="Q651" s="343"/>
      <c r="R651" s="343"/>
      <c r="S651" s="343"/>
      <c r="T651" s="343"/>
      <c r="U651" s="343"/>
      <c r="V651" s="343"/>
      <c r="W651" s="343"/>
      <c r="X651" s="343"/>
      <c r="Y651" s="343"/>
      <c r="Z651" s="343"/>
      <c r="AA651" s="343"/>
      <c r="AB651" s="343"/>
      <c r="AC651" s="343"/>
      <c r="AD651" s="343"/>
      <c r="AE651" s="343"/>
      <c r="AF651" s="343"/>
      <c r="AG651" s="343"/>
      <c r="AH651" s="343"/>
      <c r="AI651" s="343"/>
      <c r="AJ651" s="343"/>
      <c r="AK651" s="343"/>
      <c r="AL651" s="343"/>
      <c r="AM651" s="343"/>
      <c r="AN651" s="343"/>
      <c r="AO651" s="343"/>
      <c r="AP651" s="343"/>
      <c r="AQ651" s="343"/>
      <c r="AR651" s="343"/>
      <c r="AS651" s="343"/>
      <c r="AT651" s="343"/>
      <c r="AU651" s="343"/>
      <c r="AV651" s="343"/>
      <c r="AW651" s="343"/>
      <c r="AX651" s="343"/>
      <c r="AY651" s="343"/>
      <c r="AZ651" s="343"/>
      <c r="BA651" s="343"/>
      <c r="BB651" s="343"/>
      <c r="BC651" s="343"/>
      <c r="BD651" s="343"/>
      <c r="BE651" s="343"/>
      <c r="BF651" s="343"/>
      <c r="BG651" s="343"/>
      <c r="BH651" s="343"/>
    </row>
    <row r="652" spans="1:60" s="3" customFormat="1" ht="9.75" customHeight="1" thickBot="1">
      <c r="A652" s="489"/>
      <c r="B652" s="127">
        <v>12</v>
      </c>
      <c r="C652" s="182">
        <v>482</v>
      </c>
      <c r="D652" s="182">
        <v>1151</v>
      </c>
      <c r="E652" s="182">
        <v>21</v>
      </c>
      <c r="F652" s="195">
        <v>50</v>
      </c>
      <c r="G652" s="182">
        <v>49</v>
      </c>
      <c r="H652" s="182">
        <v>95</v>
      </c>
      <c r="I652" s="182">
        <v>13</v>
      </c>
      <c r="J652" s="182">
        <v>14</v>
      </c>
      <c r="K652" s="182"/>
      <c r="L652" s="183"/>
      <c r="M652" s="135">
        <f t="shared" si="93"/>
        <v>565</v>
      </c>
      <c r="N652" s="145">
        <f t="shared" si="94"/>
        <v>1310</v>
      </c>
      <c r="O652" s="166">
        <f t="shared" si="96"/>
        <v>18.225806451612904</v>
      </c>
      <c r="P652" s="137">
        <f t="shared" si="96"/>
        <v>42.258064516129032</v>
      </c>
      <c r="Q652" s="343"/>
      <c r="R652" s="343"/>
      <c r="S652" s="343"/>
      <c r="T652" s="343"/>
      <c r="U652" s="343"/>
      <c r="V652" s="343"/>
      <c r="W652" s="343"/>
      <c r="X652" s="343"/>
      <c r="Y652" s="343"/>
      <c r="Z652" s="343"/>
      <c r="AA652" s="343"/>
      <c r="AB652" s="343"/>
      <c r="AC652" s="343"/>
      <c r="AD652" s="343"/>
      <c r="AE652" s="343"/>
      <c r="AF652" s="343"/>
      <c r="AG652" s="343"/>
      <c r="AH652" s="343"/>
      <c r="AI652" s="343"/>
      <c r="AJ652" s="343"/>
      <c r="AK652" s="343"/>
      <c r="AL652" s="343"/>
      <c r="AM652" s="343"/>
      <c r="AN652" s="343"/>
      <c r="AO652" s="343"/>
      <c r="AP652" s="343"/>
      <c r="AQ652" s="343"/>
      <c r="AR652" s="343"/>
      <c r="AS652" s="343"/>
      <c r="AT652" s="343"/>
      <c r="AU652" s="343"/>
      <c r="AV652" s="343"/>
      <c r="AW652" s="343"/>
      <c r="AX652" s="343"/>
      <c r="AY652" s="343"/>
      <c r="AZ652" s="343"/>
      <c r="BA652" s="343"/>
      <c r="BB652" s="343"/>
      <c r="BC652" s="343"/>
      <c r="BD652" s="343"/>
      <c r="BE652" s="343"/>
      <c r="BF652" s="343"/>
      <c r="BG652" s="343"/>
      <c r="BH652" s="343"/>
    </row>
    <row r="653" spans="1:60" s="3" customFormat="1" ht="9.75" customHeight="1">
      <c r="A653" s="487">
        <v>2016</v>
      </c>
      <c r="B653" s="410">
        <v>1</v>
      </c>
      <c r="C653" s="416">
        <v>310</v>
      </c>
      <c r="D653" s="416">
        <v>534</v>
      </c>
      <c r="E653" s="416">
        <v>16</v>
      </c>
      <c r="F653" s="416">
        <v>50</v>
      </c>
      <c r="G653" s="416">
        <v>61</v>
      </c>
      <c r="H653" s="416">
        <v>77</v>
      </c>
      <c r="I653" s="416">
        <v>21</v>
      </c>
      <c r="J653" s="416">
        <v>28</v>
      </c>
      <c r="K653" s="416"/>
      <c r="L653" s="431"/>
      <c r="M653" s="418">
        <f t="shared" si="93"/>
        <v>408</v>
      </c>
      <c r="N653" s="419">
        <f t="shared" si="94"/>
        <v>689</v>
      </c>
      <c r="O653" s="429">
        <f t="shared" si="96"/>
        <v>13.161290322580646</v>
      </c>
      <c r="P653" s="421">
        <f t="shared" si="96"/>
        <v>22.225806451612904</v>
      </c>
      <c r="Q653" s="343"/>
      <c r="R653" s="343"/>
      <c r="S653" s="343"/>
      <c r="T653" s="343"/>
      <c r="U653" s="343"/>
      <c r="V653" s="343"/>
      <c r="W653" s="343"/>
      <c r="X653" s="343"/>
      <c r="Y653" s="343"/>
      <c r="Z653" s="343"/>
      <c r="AA653" s="343"/>
      <c r="AB653" s="343"/>
      <c r="AC653" s="343"/>
      <c r="AD653" s="343"/>
      <c r="AE653" s="343"/>
      <c r="AF653" s="343"/>
      <c r="AG653" s="343"/>
      <c r="AH653" s="343"/>
      <c r="AI653" s="343"/>
      <c r="AJ653" s="343"/>
      <c r="AK653" s="343"/>
      <c r="AL653" s="343"/>
      <c r="AM653" s="343"/>
      <c r="AN653" s="343"/>
      <c r="AO653" s="343"/>
      <c r="AP653" s="343"/>
      <c r="AQ653" s="343"/>
      <c r="AR653" s="343"/>
      <c r="AS653" s="343"/>
      <c r="AT653" s="343"/>
      <c r="AU653" s="343"/>
      <c r="AV653" s="343"/>
      <c r="AW653" s="343"/>
      <c r="AX653" s="343"/>
      <c r="AY653" s="343"/>
      <c r="AZ653" s="343"/>
      <c r="BA653" s="343"/>
      <c r="BB653" s="343"/>
      <c r="BC653" s="343"/>
      <c r="BD653" s="343"/>
      <c r="BE653" s="343"/>
      <c r="BF653" s="343"/>
      <c r="BG653" s="343"/>
      <c r="BH653" s="343"/>
    </row>
    <row r="654" spans="1:60" s="3" customFormat="1" ht="9.75" customHeight="1">
      <c r="A654" s="488"/>
      <c r="B654" s="127">
        <v>2</v>
      </c>
      <c r="C654" s="128">
        <v>300</v>
      </c>
      <c r="D654" s="128">
        <v>532</v>
      </c>
      <c r="E654" s="128">
        <v>41</v>
      </c>
      <c r="F654" s="128">
        <v>108</v>
      </c>
      <c r="G654" s="128">
        <v>70</v>
      </c>
      <c r="H654" s="128">
        <v>119</v>
      </c>
      <c r="I654" s="128">
        <v>32</v>
      </c>
      <c r="J654" s="128">
        <v>58</v>
      </c>
      <c r="K654" s="128"/>
      <c r="L654" s="164"/>
      <c r="M654" s="130">
        <f t="shared" si="93"/>
        <v>443</v>
      </c>
      <c r="N654" s="146">
        <f t="shared" si="94"/>
        <v>817</v>
      </c>
      <c r="O654" s="131">
        <f>M654/29</f>
        <v>15.275862068965518</v>
      </c>
      <c r="P654" s="132">
        <f>N654/29</f>
        <v>28.172413793103448</v>
      </c>
      <c r="Q654" s="343"/>
      <c r="R654" s="343"/>
      <c r="S654" s="343"/>
      <c r="T654" s="343"/>
      <c r="U654" s="343"/>
      <c r="V654" s="343"/>
      <c r="W654" s="343"/>
      <c r="X654" s="343"/>
      <c r="Y654" s="343"/>
      <c r="Z654" s="343"/>
      <c r="AA654" s="343"/>
      <c r="AB654" s="343"/>
      <c r="AC654" s="343"/>
      <c r="AD654" s="343"/>
      <c r="AE654" s="343"/>
      <c r="AF654" s="343"/>
      <c r="AG654" s="343"/>
      <c r="AH654" s="343"/>
      <c r="AI654" s="343"/>
      <c r="AJ654" s="343"/>
      <c r="AK654" s="343"/>
      <c r="AL654" s="343"/>
      <c r="AM654" s="343"/>
      <c r="AN654" s="343"/>
      <c r="AO654" s="343"/>
      <c r="AP654" s="343"/>
      <c r="AQ654" s="343"/>
      <c r="AR654" s="343"/>
      <c r="AS654" s="343"/>
      <c r="AT654" s="343"/>
      <c r="AU654" s="343"/>
      <c r="AV654" s="343"/>
      <c r="AW654" s="343"/>
      <c r="AX654" s="343"/>
      <c r="AY654" s="343"/>
      <c r="AZ654" s="343"/>
      <c r="BA654" s="343"/>
      <c r="BB654" s="343"/>
      <c r="BC654" s="343"/>
      <c r="BD654" s="343"/>
      <c r="BE654" s="343"/>
      <c r="BF654" s="343"/>
      <c r="BG654" s="343"/>
      <c r="BH654" s="343"/>
    </row>
    <row r="655" spans="1:60" s="3" customFormat="1" ht="9.75" customHeight="1">
      <c r="A655" s="488"/>
      <c r="B655" s="127">
        <v>3</v>
      </c>
      <c r="C655" s="128">
        <v>1081</v>
      </c>
      <c r="D655" s="128">
        <v>1279</v>
      </c>
      <c r="E655" s="128">
        <v>36</v>
      </c>
      <c r="F655" s="128">
        <v>49</v>
      </c>
      <c r="G655" s="128">
        <v>140</v>
      </c>
      <c r="H655" s="128">
        <v>155</v>
      </c>
      <c r="I655" s="128">
        <v>64</v>
      </c>
      <c r="J655" s="128">
        <v>70</v>
      </c>
      <c r="K655" s="128"/>
      <c r="L655" s="164"/>
      <c r="M655" s="130">
        <f t="shared" si="93"/>
        <v>1321</v>
      </c>
      <c r="N655" s="146">
        <f t="shared" si="94"/>
        <v>1553</v>
      </c>
      <c r="O655" s="131">
        <f>M655/31</f>
        <v>42.612903225806448</v>
      </c>
      <c r="P655" s="132">
        <f>N655/31</f>
        <v>50.096774193548384</v>
      </c>
      <c r="Q655" s="343"/>
      <c r="R655" s="343"/>
      <c r="S655" s="343"/>
      <c r="T655" s="343"/>
      <c r="U655" s="343"/>
      <c r="V655" s="343"/>
      <c r="W655" s="343"/>
      <c r="X655" s="343"/>
      <c r="Y655" s="343"/>
      <c r="Z655" s="343"/>
      <c r="AA655" s="343"/>
      <c r="AB655" s="343"/>
      <c r="AC655" s="343"/>
      <c r="AD655" s="343"/>
      <c r="AE655" s="343"/>
      <c r="AF655" s="343"/>
      <c r="AG655" s="343"/>
      <c r="AH655" s="343"/>
      <c r="AI655" s="343"/>
      <c r="AJ655" s="343"/>
      <c r="AK655" s="343"/>
      <c r="AL655" s="343"/>
      <c r="AM655" s="343"/>
      <c r="AN655" s="343"/>
      <c r="AO655" s="343"/>
      <c r="AP655" s="343"/>
      <c r="AQ655" s="343"/>
      <c r="AR655" s="343"/>
      <c r="AS655" s="343"/>
      <c r="AT655" s="343"/>
      <c r="AU655" s="343"/>
      <c r="AV655" s="343"/>
      <c r="AW655" s="343"/>
      <c r="AX655" s="343"/>
      <c r="AY655" s="343"/>
      <c r="AZ655" s="343"/>
      <c r="BA655" s="343"/>
      <c r="BB655" s="343"/>
      <c r="BC655" s="343"/>
      <c r="BD655" s="343"/>
      <c r="BE655" s="343"/>
      <c r="BF655" s="343"/>
      <c r="BG655" s="343"/>
      <c r="BH655" s="343"/>
    </row>
    <row r="656" spans="1:60" s="3" customFormat="1" ht="9.75" customHeight="1">
      <c r="A656" s="488"/>
      <c r="B656" s="127">
        <v>4</v>
      </c>
      <c r="C656" s="133">
        <v>1303</v>
      </c>
      <c r="D656" s="133">
        <v>2100</v>
      </c>
      <c r="E656" s="133">
        <v>34</v>
      </c>
      <c r="F656" s="133">
        <v>31</v>
      </c>
      <c r="G656" s="133">
        <v>77</v>
      </c>
      <c r="H656" s="133">
        <v>105</v>
      </c>
      <c r="I656" s="133">
        <v>44</v>
      </c>
      <c r="J656" s="133">
        <v>56</v>
      </c>
      <c r="K656" s="133"/>
      <c r="L656" s="144"/>
      <c r="M656" s="135">
        <f t="shared" si="93"/>
        <v>1458</v>
      </c>
      <c r="N656" s="145">
        <f t="shared" si="94"/>
        <v>2292</v>
      </c>
      <c r="O656" s="131">
        <f>M656/30</f>
        <v>48.6</v>
      </c>
      <c r="P656" s="132">
        <f>N656/30</f>
        <v>76.400000000000006</v>
      </c>
      <c r="Q656" s="343"/>
      <c r="R656" s="343"/>
      <c r="S656" s="343"/>
      <c r="T656" s="343"/>
      <c r="U656" s="343"/>
      <c r="V656" s="343"/>
      <c r="W656" s="343"/>
      <c r="X656" s="343"/>
      <c r="Y656" s="343"/>
      <c r="Z656" s="343"/>
      <c r="AA656" s="343"/>
      <c r="AB656" s="343"/>
      <c r="AC656" s="343"/>
      <c r="AD656" s="343"/>
      <c r="AE656" s="343"/>
      <c r="AF656" s="343"/>
      <c r="AG656" s="343"/>
      <c r="AH656" s="343"/>
      <c r="AI656" s="343"/>
      <c r="AJ656" s="343"/>
      <c r="AK656" s="343"/>
      <c r="AL656" s="343"/>
      <c r="AM656" s="343"/>
      <c r="AN656" s="343"/>
      <c r="AO656" s="343"/>
      <c r="AP656" s="343"/>
      <c r="AQ656" s="343"/>
      <c r="AR656" s="343"/>
      <c r="AS656" s="343"/>
      <c r="AT656" s="343"/>
      <c r="AU656" s="343"/>
      <c r="AV656" s="343"/>
      <c r="AW656" s="343"/>
      <c r="AX656" s="343"/>
      <c r="AY656" s="343"/>
      <c r="AZ656" s="343"/>
      <c r="BA656" s="343"/>
      <c r="BB656" s="343"/>
      <c r="BC656" s="343"/>
      <c r="BD656" s="343"/>
      <c r="BE656" s="343"/>
      <c r="BF656" s="343"/>
      <c r="BG656" s="343"/>
      <c r="BH656" s="343"/>
    </row>
    <row r="657" spans="1:60" s="3" customFormat="1" ht="9.75" customHeight="1">
      <c r="A657" s="488"/>
      <c r="B657" s="127">
        <v>5</v>
      </c>
      <c r="C657" s="133">
        <v>964</v>
      </c>
      <c r="D657" s="133">
        <v>2276</v>
      </c>
      <c r="E657" s="133">
        <v>31</v>
      </c>
      <c r="F657" s="133">
        <v>40</v>
      </c>
      <c r="G657" s="133">
        <v>125</v>
      </c>
      <c r="H657" s="133">
        <v>204</v>
      </c>
      <c r="I657" s="133">
        <v>29</v>
      </c>
      <c r="J657" s="133">
        <v>55</v>
      </c>
      <c r="K657" s="133"/>
      <c r="L657" s="144"/>
      <c r="M657" s="135">
        <f t="shared" si="93"/>
        <v>1149</v>
      </c>
      <c r="N657" s="145">
        <f t="shared" si="94"/>
        <v>2575</v>
      </c>
      <c r="O657" s="136">
        <f>M657/31</f>
        <v>37.064516129032256</v>
      </c>
      <c r="P657" s="137">
        <f>N657/31</f>
        <v>83.064516129032256</v>
      </c>
      <c r="Q657" s="343"/>
      <c r="R657" s="343"/>
      <c r="S657" s="343"/>
      <c r="T657" s="343"/>
      <c r="U657" s="343"/>
      <c r="V657" s="343"/>
      <c r="W657" s="343"/>
      <c r="X657" s="343"/>
      <c r="Y657" s="343"/>
      <c r="Z657" s="343"/>
      <c r="AA657" s="343"/>
      <c r="AB657" s="343"/>
      <c r="AC657" s="343"/>
      <c r="AD657" s="343"/>
      <c r="AE657" s="343"/>
      <c r="AF657" s="343"/>
      <c r="AG657" s="343"/>
      <c r="AH657" s="343"/>
      <c r="AI657" s="343"/>
      <c r="AJ657" s="343"/>
      <c r="AK657" s="343"/>
      <c r="AL657" s="343"/>
      <c r="AM657" s="343"/>
      <c r="AN657" s="343"/>
      <c r="AO657" s="343"/>
      <c r="AP657" s="343"/>
      <c r="AQ657" s="343"/>
      <c r="AR657" s="343"/>
      <c r="AS657" s="343"/>
      <c r="AT657" s="343"/>
      <c r="AU657" s="343"/>
      <c r="AV657" s="343"/>
      <c r="AW657" s="343"/>
      <c r="AX657" s="343"/>
      <c r="AY657" s="343"/>
      <c r="AZ657" s="343"/>
      <c r="BA657" s="343"/>
      <c r="BB657" s="343"/>
      <c r="BC657" s="343"/>
      <c r="BD657" s="343"/>
      <c r="BE657" s="343"/>
      <c r="BF657" s="343"/>
      <c r="BG657" s="343"/>
      <c r="BH657" s="343"/>
    </row>
    <row r="658" spans="1:60" s="3" customFormat="1" ht="9.75" customHeight="1">
      <c r="A658" s="488"/>
      <c r="B658" s="127">
        <v>6</v>
      </c>
      <c r="C658" s="133">
        <v>539</v>
      </c>
      <c r="D658" s="133">
        <v>924</v>
      </c>
      <c r="E658" s="133">
        <v>51</v>
      </c>
      <c r="F658" s="133">
        <v>64</v>
      </c>
      <c r="G658" s="133">
        <v>126</v>
      </c>
      <c r="H658" s="133">
        <v>221</v>
      </c>
      <c r="I658" s="133">
        <v>18</v>
      </c>
      <c r="J658" s="133">
        <v>31</v>
      </c>
      <c r="K658" s="133"/>
      <c r="L658" s="144"/>
      <c r="M658" s="135">
        <f t="shared" si="93"/>
        <v>734</v>
      </c>
      <c r="N658" s="145">
        <f t="shared" si="94"/>
        <v>1240</v>
      </c>
      <c r="O658" s="136">
        <f>M658/30</f>
        <v>24.466666666666665</v>
      </c>
      <c r="P658" s="137">
        <f>N658/30</f>
        <v>41.333333333333336</v>
      </c>
      <c r="Q658" s="343"/>
      <c r="R658" s="343"/>
      <c r="S658" s="343"/>
      <c r="T658" s="343"/>
      <c r="U658" s="343"/>
      <c r="V658" s="343"/>
      <c r="W658" s="343"/>
      <c r="X658" s="343"/>
      <c r="Y658" s="343"/>
      <c r="Z658" s="343"/>
      <c r="AA658" s="343"/>
      <c r="AB658" s="343"/>
      <c r="AC658" s="343"/>
      <c r="AD658" s="343"/>
      <c r="AE658" s="343"/>
      <c r="AF658" s="343"/>
      <c r="AG658" s="343"/>
      <c r="AH658" s="343"/>
      <c r="AI658" s="343"/>
      <c r="AJ658" s="343"/>
      <c r="AK658" s="343"/>
      <c r="AL658" s="343"/>
      <c r="AM658" s="343"/>
      <c r="AN658" s="343"/>
      <c r="AO658" s="343"/>
      <c r="AP658" s="343"/>
      <c r="AQ658" s="343"/>
      <c r="AR658" s="343"/>
      <c r="AS658" s="343"/>
      <c r="AT658" s="343"/>
      <c r="AU658" s="343"/>
      <c r="AV658" s="343"/>
      <c r="AW658" s="343"/>
      <c r="AX658" s="343"/>
      <c r="AY658" s="343"/>
      <c r="AZ658" s="343"/>
      <c r="BA658" s="343"/>
      <c r="BB658" s="343"/>
      <c r="BC658" s="343"/>
      <c r="BD658" s="343"/>
      <c r="BE658" s="343"/>
      <c r="BF658" s="343"/>
      <c r="BG658" s="343"/>
      <c r="BH658" s="343"/>
    </row>
    <row r="659" spans="1:60" s="3" customFormat="1" ht="9.75" customHeight="1">
      <c r="A659" s="488"/>
      <c r="B659" s="127">
        <v>7</v>
      </c>
      <c r="C659" s="133">
        <v>764</v>
      </c>
      <c r="D659" s="133">
        <v>1471</v>
      </c>
      <c r="E659" s="133">
        <v>114</v>
      </c>
      <c r="F659" s="133">
        <v>121</v>
      </c>
      <c r="G659" s="133">
        <v>118</v>
      </c>
      <c r="H659" s="133">
        <v>191</v>
      </c>
      <c r="I659" s="133">
        <v>36</v>
      </c>
      <c r="J659" s="133">
        <v>28</v>
      </c>
      <c r="K659" s="133"/>
      <c r="L659" s="144"/>
      <c r="M659" s="135">
        <f t="shared" si="93"/>
        <v>1032</v>
      </c>
      <c r="N659" s="145">
        <f t="shared" si="94"/>
        <v>1811</v>
      </c>
      <c r="O659" s="136">
        <f>M659/31</f>
        <v>33.29032258064516</v>
      </c>
      <c r="P659" s="137">
        <f>N659/31</f>
        <v>58.41935483870968</v>
      </c>
      <c r="Q659" s="343"/>
      <c r="R659" s="343"/>
      <c r="S659" s="343"/>
      <c r="T659" s="343"/>
      <c r="U659" s="343"/>
      <c r="V659" s="343"/>
      <c r="W659" s="343"/>
      <c r="X659" s="343"/>
      <c r="Y659" s="343"/>
      <c r="Z659" s="343"/>
      <c r="AA659" s="343"/>
      <c r="AB659" s="343"/>
      <c r="AC659" s="343"/>
      <c r="AD659" s="343"/>
      <c r="AE659" s="343"/>
      <c r="AF659" s="343"/>
      <c r="AG659" s="343"/>
      <c r="AH659" s="343"/>
      <c r="AI659" s="343"/>
      <c r="AJ659" s="343"/>
      <c r="AK659" s="343"/>
      <c r="AL659" s="343"/>
      <c r="AM659" s="343"/>
      <c r="AN659" s="343"/>
      <c r="AO659" s="343"/>
      <c r="AP659" s="343"/>
      <c r="AQ659" s="343"/>
      <c r="AR659" s="343"/>
      <c r="AS659" s="343"/>
      <c r="AT659" s="343"/>
      <c r="AU659" s="343"/>
      <c r="AV659" s="343"/>
      <c r="AW659" s="343"/>
      <c r="AX659" s="343"/>
      <c r="AY659" s="343"/>
      <c r="AZ659" s="343"/>
      <c r="BA659" s="343"/>
      <c r="BB659" s="343"/>
      <c r="BC659" s="343"/>
      <c r="BD659" s="343"/>
      <c r="BE659" s="343"/>
      <c r="BF659" s="343"/>
      <c r="BG659" s="343"/>
      <c r="BH659" s="343"/>
    </row>
    <row r="660" spans="1:60" s="3" customFormat="1" ht="9.75" customHeight="1">
      <c r="A660" s="488"/>
      <c r="B660" s="127">
        <v>8</v>
      </c>
      <c r="C660" s="133">
        <v>751</v>
      </c>
      <c r="D660" s="133">
        <v>1412</v>
      </c>
      <c r="E660" s="133">
        <v>109</v>
      </c>
      <c r="F660" s="133">
        <v>177</v>
      </c>
      <c r="G660" s="133">
        <v>184</v>
      </c>
      <c r="H660" s="133">
        <v>341</v>
      </c>
      <c r="I660" s="133">
        <v>65</v>
      </c>
      <c r="J660" s="133">
        <v>119</v>
      </c>
      <c r="K660" s="133"/>
      <c r="L660" s="144"/>
      <c r="M660" s="135">
        <f t="shared" si="93"/>
        <v>1109</v>
      </c>
      <c r="N660" s="145">
        <f t="shared" si="94"/>
        <v>2049</v>
      </c>
      <c r="O660" s="136">
        <f>M660/31</f>
        <v>35.774193548387096</v>
      </c>
      <c r="P660" s="137">
        <f>N660/31</f>
        <v>66.096774193548384</v>
      </c>
      <c r="Q660" s="343"/>
      <c r="R660" s="343"/>
      <c r="S660" s="343"/>
      <c r="T660" s="343"/>
      <c r="U660" s="343"/>
      <c r="V660" s="343"/>
      <c r="W660" s="343"/>
      <c r="X660" s="343"/>
      <c r="Y660" s="343"/>
      <c r="Z660" s="343"/>
      <c r="AA660" s="343"/>
      <c r="AB660" s="343"/>
      <c r="AC660" s="343"/>
      <c r="AD660" s="343"/>
      <c r="AE660" s="343"/>
      <c r="AF660" s="343"/>
      <c r="AG660" s="343"/>
      <c r="AH660" s="343"/>
      <c r="AI660" s="343"/>
      <c r="AJ660" s="343"/>
      <c r="AK660" s="343"/>
      <c r="AL660" s="343"/>
      <c r="AM660" s="343"/>
      <c r="AN660" s="343"/>
      <c r="AO660" s="343"/>
      <c r="AP660" s="343"/>
      <c r="AQ660" s="343"/>
      <c r="AR660" s="343"/>
      <c r="AS660" s="343"/>
      <c r="AT660" s="343"/>
      <c r="AU660" s="343"/>
      <c r="AV660" s="343"/>
      <c r="AW660" s="343"/>
      <c r="AX660" s="343"/>
      <c r="AY660" s="343"/>
      <c r="AZ660" s="343"/>
      <c r="BA660" s="343"/>
      <c r="BB660" s="343"/>
      <c r="BC660" s="343"/>
      <c r="BD660" s="343"/>
      <c r="BE660" s="343"/>
      <c r="BF660" s="343"/>
      <c r="BG660" s="343"/>
      <c r="BH660" s="343"/>
    </row>
    <row r="661" spans="1:60" s="3" customFormat="1" ht="9.75" customHeight="1">
      <c r="A661" s="488"/>
      <c r="B661" s="127">
        <v>9</v>
      </c>
      <c r="C661" s="128">
        <v>634</v>
      </c>
      <c r="D661" s="128">
        <v>1009</v>
      </c>
      <c r="E661" s="128">
        <v>51</v>
      </c>
      <c r="F661" s="128">
        <v>88</v>
      </c>
      <c r="G661" s="128">
        <v>95</v>
      </c>
      <c r="H661" s="128">
        <v>173</v>
      </c>
      <c r="I661" s="128">
        <v>67</v>
      </c>
      <c r="J661" s="128">
        <v>84</v>
      </c>
      <c r="K661" s="128"/>
      <c r="L661" s="129"/>
      <c r="M661" s="135">
        <f t="shared" si="93"/>
        <v>847</v>
      </c>
      <c r="N661" s="145">
        <f t="shared" si="94"/>
        <v>1354</v>
      </c>
      <c r="O661" s="136">
        <f>M661/30</f>
        <v>28.233333333333334</v>
      </c>
      <c r="P661" s="137">
        <f>N661/30</f>
        <v>45.133333333333333</v>
      </c>
      <c r="Q661" s="343"/>
      <c r="R661" s="343"/>
      <c r="S661" s="343"/>
      <c r="T661" s="343"/>
      <c r="U661" s="343"/>
      <c r="V661" s="343"/>
      <c r="W661" s="343"/>
      <c r="X661" s="343"/>
      <c r="Y661" s="343"/>
      <c r="Z661" s="343"/>
      <c r="AA661" s="343"/>
      <c r="AB661" s="343"/>
      <c r="AC661" s="343"/>
      <c r="AD661" s="343"/>
      <c r="AE661" s="343"/>
      <c r="AF661" s="343"/>
      <c r="AG661" s="343"/>
      <c r="AH661" s="343"/>
      <c r="AI661" s="343"/>
      <c r="AJ661" s="343"/>
      <c r="AK661" s="343"/>
      <c r="AL661" s="343"/>
      <c r="AM661" s="343"/>
      <c r="AN661" s="343"/>
      <c r="AO661" s="343"/>
      <c r="AP661" s="343"/>
      <c r="AQ661" s="343"/>
      <c r="AR661" s="343"/>
      <c r="AS661" s="343"/>
      <c r="AT661" s="343"/>
      <c r="AU661" s="343"/>
      <c r="AV661" s="343"/>
      <c r="AW661" s="343"/>
      <c r="AX661" s="343"/>
      <c r="AY661" s="343"/>
      <c r="AZ661" s="343"/>
      <c r="BA661" s="343"/>
      <c r="BB661" s="343"/>
      <c r="BC661" s="343"/>
      <c r="BD661" s="343"/>
      <c r="BE661" s="343"/>
      <c r="BF661" s="343"/>
      <c r="BG661" s="343"/>
      <c r="BH661" s="343"/>
    </row>
    <row r="662" spans="1:60" s="3" customFormat="1" ht="9.75" customHeight="1">
      <c r="A662" s="488"/>
      <c r="B662" s="127">
        <v>10</v>
      </c>
      <c r="C662" s="128">
        <v>1221</v>
      </c>
      <c r="D662" s="128">
        <v>1702</v>
      </c>
      <c r="E662" s="128">
        <v>27</v>
      </c>
      <c r="F662" s="358">
        <v>34</v>
      </c>
      <c r="G662" s="128">
        <v>130</v>
      </c>
      <c r="H662" s="128">
        <v>120</v>
      </c>
      <c r="I662" s="128">
        <v>43</v>
      </c>
      <c r="J662" s="128">
        <v>58</v>
      </c>
      <c r="K662" s="128"/>
      <c r="L662" s="129"/>
      <c r="M662" s="135">
        <f t="shared" si="93"/>
        <v>1421</v>
      </c>
      <c r="N662" s="145">
        <f t="shared" si="94"/>
        <v>1914</v>
      </c>
      <c r="O662" s="136">
        <f>M662/31</f>
        <v>45.838709677419352</v>
      </c>
      <c r="P662" s="137">
        <f>N662/31</f>
        <v>61.741935483870968</v>
      </c>
      <c r="Q662" s="343"/>
      <c r="R662" s="343"/>
      <c r="S662" s="343"/>
      <c r="T662" s="343"/>
      <c r="U662" s="343"/>
      <c r="V662" s="343"/>
      <c r="W662" s="343"/>
      <c r="X662" s="343"/>
      <c r="Y662" s="343"/>
      <c r="Z662" s="343"/>
      <c r="AA662" s="343"/>
      <c r="AB662" s="343"/>
      <c r="AC662" s="343"/>
      <c r="AD662" s="343"/>
      <c r="AE662" s="343"/>
      <c r="AF662" s="343"/>
      <c r="AG662" s="343"/>
      <c r="AH662" s="343"/>
      <c r="AI662" s="343"/>
      <c r="AJ662" s="343"/>
      <c r="AK662" s="343"/>
      <c r="AL662" s="343"/>
      <c r="AM662" s="343"/>
      <c r="AN662" s="343"/>
      <c r="AO662" s="343"/>
      <c r="AP662" s="343"/>
      <c r="AQ662" s="343"/>
      <c r="AR662" s="343"/>
      <c r="AS662" s="343"/>
      <c r="AT662" s="343"/>
      <c r="AU662" s="343"/>
      <c r="AV662" s="343"/>
      <c r="AW662" s="343"/>
      <c r="AX662" s="343"/>
      <c r="AY662" s="343"/>
      <c r="AZ662" s="343"/>
      <c r="BA662" s="343"/>
      <c r="BB662" s="343"/>
      <c r="BC662" s="343"/>
      <c r="BD662" s="343"/>
      <c r="BE662" s="343"/>
      <c r="BF662" s="343"/>
      <c r="BG662" s="343"/>
      <c r="BH662" s="343"/>
    </row>
    <row r="663" spans="1:60" s="3" customFormat="1" ht="9.75" customHeight="1">
      <c r="A663" s="488"/>
      <c r="B663" s="127">
        <v>11</v>
      </c>
      <c r="C663" s="365">
        <v>1727</v>
      </c>
      <c r="D663" s="365">
        <v>3196</v>
      </c>
      <c r="E663" s="365">
        <v>27</v>
      </c>
      <c r="F663" s="365">
        <v>23</v>
      </c>
      <c r="G663" s="365">
        <v>151</v>
      </c>
      <c r="H663" s="365">
        <v>235</v>
      </c>
      <c r="I663" s="365">
        <v>71</v>
      </c>
      <c r="J663" s="365">
        <v>102</v>
      </c>
      <c r="K663" s="365"/>
      <c r="L663" s="366"/>
      <c r="M663" s="135">
        <f t="shared" si="93"/>
        <v>1976</v>
      </c>
      <c r="N663" s="145">
        <f t="shared" si="94"/>
        <v>3556</v>
      </c>
      <c r="O663" s="136">
        <f>M663/30</f>
        <v>65.86666666666666</v>
      </c>
      <c r="P663" s="137">
        <f>N663/30</f>
        <v>118.53333333333333</v>
      </c>
      <c r="Q663" s="343"/>
      <c r="R663" s="343"/>
      <c r="S663" s="343"/>
      <c r="T663" s="343"/>
      <c r="U663" s="343"/>
      <c r="V663" s="343"/>
      <c r="W663" s="343"/>
      <c r="X663" s="343"/>
      <c r="Y663" s="343"/>
      <c r="Z663" s="343"/>
      <c r="AA663" s="343"/>
      <c r="AB663" s="343"/>
      <c r="AC663" s="343"/>
      <c r="AD663" s="343"/>
      <c r="AE663" s="343"/>
      <c r="AF663" s="343"/>
      <c r="AG663" s="343"/>
      <c r="AH663" s="343"/>
      <c r="AI663" s="343"/>
      <c r="AJ663" s="343"/>
      <c r="AK663" s="343"/>
      <c r="AL663" s="343"/>
      <c r="AM663" s="343"/>
      <c r="AN663" s="343"/>
      <c r="AO663" s="343"/>
      <c r="AP663" s="343"/>
      <c r="AQ663" s="343"/>
      <c r="AR663" s="343"/>
      <c r="AS663" s="343"/>
      <c r="AT663" s="343"/>
      <c r="AU663" s="343"/>
      <c r="AV663" s="343"/>
      <c r="AW663" s="343"/>
      <c r="AX663" s="343"/>
      <c r="AY663" s="343"/>
      <c r="AZ663" s="343"/>
      <c r="BA663" s="343"/>
      <c r="BB663" s="343"/>
      <c r="BC663" s="343"/>
      <c r="BD663" s="343"/>
      <c r="BE663" s="343"/>
      <c r="BF663" s="343"/>
      <c r="BG663" s="343"/>
      <c r="BH663" s="343"/>
    </row>
    <row r="664" spans="1:60" s="3" customFormat="1" ht="9.75" customHeight="1" thickBot="1">
      <c r="A664" s="489"/>
      <c r="B664" s="127">
        <v>12</v>
      </c>
      <c r="C664" s="182">
        <v>1092</v>
      </c>
      <c r="D664" s="182">
        <v>2380</v>
      </c>
      <c r="E664" s="182">
        <v>29</v>
      </c>
      <c r="F664" s="195">
        <v>42</v>
      </c>
      <c r="G664" s="182">
        <v>149</v>
      </c>
      <c r="H664" s="182">
        <v>252</v>
      </c>
      <c r="I664" s="182">
        <v>67</v>
      </c>
      <c r="J664" s="182">
        <v>106</v>
      </c>
      <c r="K664" s="182"/>
      <c r="L664" s="183"/>
      <c r="M664" s="135">
        <f t="shared" si="93"/>
        <v>1337</v>
      </c>
      <c r="N664" s="145">
        <f t="shared" si="94"/>
        <v>2780</v>
      </c>
      <c r="O664" s="136">
        <f>M664/31</f>
        <v>43.12903225806452</v>
      </c>
      <c r="P664" s="137">
        <f>N664/31</f>
        <v>89.677419354838705</v>
      </c>
      <c r="Q664" s="343"/>
      <c r="R664" s="343"/>
      <c r="S664" s="343"/>
      <c r="T664" s="343"/>
      <c r="U664" s="343"/>
      <c r="V664" s="343"/>
      <c r="W664" s="343"/>
      <c r="X664" s="343"/>
      <c r="Y664" s="343"/>
      <c r="Z664" s="343"/>
      <c r="AA664" s="343"/>
      <c r="AB664" s="343"/>
      <c r="AC664" s="343"/>
      <c r="AD664" s="343"/>
      <c r="AE664" s="343"/>
      <c r="AF664" s="343"/>
      <c r="AG664" s="343"/>
      <c r="AH664" s="343"/>
      <c r="AI664" s="343"/>
      <c r="AJ664" s="343"/>
      <c r="AK664" s="343"/>
      <c r="AL664" s="343"/>
      <c r="AM664" s="343"/>
      <c r="AN664" s="343"/>
      <c r="AO664" s="343"/>
      <c r="AP664" s="343"/>
      <c r="AQ664" s="343"/>
      <c r="AR664" s="343"/>
      <c r="AS664" s="343"/>
      <c r="AT664" s="343"/>
      <c r="AU664" s="343"/>
      <c r="AV664" s="343"/>
      <c r="AW664" s="343"/>
      <c r="AX664" s="343"/>
      <c r="AY664" s="343"/>
      <c r="AZ664" s="343"/>
      <c r="BA664" s="343"/>
      <c r="BB664" s="343"/>
      <c r="BC664" s="343"/>
      <c r="BD664" s="343"/>
      <c r="BE664" s="343"/>
      <c r="BF664" s="343"/>
      <c r="BG664" s="343"/>
      <c r="BH664" s="343"/>
    </row>
    <row r="665" spans="1:60" ht="13.5" customHeight="1">
      <c r="A665" s="473">
        <v>2017</v>
      </c>
      <c r="B665" s="410">
        <v>1</v>
      </c>
      <c r="C665" s="422">
        <v>810</v>
      </c>
      <c r="D665" s="422">
        <v>1613</v>
      </c>
      <c r="E665" s="422">
        <v>51</v>
      </c>
      <c r="F665" s="422">
        <v>88</v>
      </c>
      <c r="G665" s="422">
        <v>112</v>
      </c>
      <c r="H665" s="422">
        <v>187</v>
      </c>
      <c r="I665" s="422">
        <v>95</v>
      </c>
      <c r="J665" s="422">
        <v>179</v>
      </c>
      <c r="K665" s="422"/>
      <c r="L665" s="432"/>
      <c r="M665" s="424">
        <f t="shared" si="93"/>
        <v>1068</v>
      </c>
      <c r="N665" s="425">
        <f t="shared" si="94"/>
        <v>2067</v>
      </c>
      <c r="O665" s="430">
        <f>M665/31</f>
        <v>34.451612903225808</v>
      </c>
      <c r="P665" s="427">
        <f>N665/31</f>
        <v>66.677419354838705</v>
      </c>
    </row>
    <row r="666" spans="1:60" ht="13.5" customHeight="1">
      <c r="A666" s="474"/>
      <c r="B666" s="127">
        <v>2</v>
      </c>
      <c r="C666" s="147">
        <v>864</v>
      </c>
      <c r="D666" s="147">
        <v>1722</v>
      </c>
      <c r="E666" s="147">
        <v>54</v>
      </c>
      <c r="F666" s="147">
        <v>106</v>
      </c>
      <c r="G666" s="147">
        <v>163</v>
      </c>
      <c r="H666" s="147">
        <v>330</v>
      </c>
      <c r="I666" s="147">
        <v>90</v>
      </c>
      <c r="J666" s="147">
        <v>173</v>
      </c>
      <c r="K666" s="147"/>
      <c r="L666" s="174"/>
      <c r="M666" s="149">
        <f t="shared" si="93"/>
        <v>1171</v>
      </c>
      <c r="N666" s="150">
        <f t="shared" si="94"/>
        <v>2331</v>
      </c>
      <c r="O666" s="151">
        <f>M666/28</f>
        <v>41.821428571428569</v>
      </c>
      <c r="P666" s="152">
        <f>N666/28</f>
        <v>83.25</v>
      </c>
    </row>
    <row r="667" spans="1:60" ht="13.5" customHeight="1">
      <c r="A667" s="474"/>
      <c r="B667" s="127">
        <v>3</v>
      </c>
      <c r="C667" s="147">
        <v>1754</v>
      </c>
      <c r="D667" s="147">
        <v>2702</v>
      </c>
      <c r="E667" s="147">
        <v>53</v>
      </c>
      <c r="F667" s="147">
        <v>61</v>
      </c>
      <c r="G667" s="147">
        <v>279</v>
      </c>
      <c r="H667" s="147">
        <v>424</v>
      </c>
      <c r="I667" s="147">
        <v>112</v>
      </c>
      <c r="J667" s="147">
        <v>147</v>
      </c>
      <c r="K667" s="147"/>
      <c r="L667" s="174"/>
      <c r="M667" s="149">
        <f t="shared" si="93"/>
        <v>2198</v>
      </c>
      <c r="N667" s="150">
        <f t="shared" si="94"/>
        <v>3334</v>
      </c>
      <c r="O667" s="151">
        <f>M667/31</f>
        <v>70.903225806451616</v>
      </c>
      <c r="P667" s="152">
        <f>N667/31</f>
        <v>107.54838709677419</v>
      </c>
    </row>
    <row r="668" spans="1:60" ht="13.5" customHeight="1">
      <c r="A668" s="474"/>
      <c r="B668" s="127">
        <v>4</v>
      </c>
      <c r="C668" s="158">
        <v>1698</v>
      </c>
      <c r="D668" s="158">
        <v>3344</v>
      </c>
      <c r="E668" s="158">
        <v>49</v>
      </c>
      <c r="F668" s="158">
        <v>54</v>
      </c>
      <c r="G668" s="158">
        <v>161</v>
      </c>
      <c r="H668" s="158">
        <v>329</v>
      </c>
      <c r="I668" s="158">
        <v>80</v>
      </c>
      <c r="J668" s="158">
        <v>123</v>
      </c>
      <c r="K668" s="158"/>
      <c r="L668" s="159"/>
      <c r="M668" s="154">
        <f t="shared" si="93"/>
        <v>1988</v>
      </c>
      <c r="N668" s="155">
        <f t="shared" si="94"/>
        <v>3850</v>
      </c>
      <c r="O668" s="151">
        <f>M668/30</f>
        <v>66.266666666666666</v>
      </c>
      <c r="P668" s="152">
        <f>N668/30</f>
        <v>128.33333333333334</v>
      </c>
    </row>
    <row r="669" spans="1:60" ht="13.5" customHeight="1">
      <c r="A669" s="474"/>
      <c r="B669" s="127">
        <v>5</v>
      </c>
      <c r="C669" s="158">
        <v>1036</v>
      </c>
      <c r="D669" s="158">
        <v>2599</v>
      </c>
      <c r="E669" s="158">
        <v>54</v>
      </c>
      <c r="F669" s="158">
        <v>104</v>
      </c>
      <c r="G669" s="158">
        <v>133</v>
      </c>
      <c r="H669" s="158">
        <v>262</v>
      </c>
      <c r="I669" s="158">
        <v>36</v>
      </c>
      <c r="J669" s="158">
        <v>63</v>
      </c>
      <c r="K669" s="158">
        <v>2</v>
      </c>
      <c r="L669" s="159">
        <v>0</v>
      </c>
      <c r="M669" s="154">
        <f t="shared" si="93"/>
        <v>1261</v>
      </c>
      <c r="N669" s="155">
        <f t="shared" si="94"/>
        <v>3028</v>
      </c>
      <c r="O669" s="156">
        <f>M669/31</f>
        <v>40.677419354838712</v>
      </c>
      <c r="P669" s="157">
        <f>N669/31</f>
        <v>97.677419354838705</v>
      </c>
    </row>
    <row r="670" spans="1:60" ht="13.5" customHeight="1">
      <c r="A670" s="474"/>
      <c r="B670" s="127">
        <v>6</v>
      </c>
      <c r="C670" s="158">
        <v>355</v>
      </c>
      <c r="D670" s="158">
        <v>718</v>
      </c>
      <c r="E670" s="158">
        <v>20</v>
      </c>
      <c r="F670" s="158">
        <v>40</v>
      </c>
      <c r="G670" s="158">
        <v>53</v>
      </c>
      <c r="H670" s="158">
        <v>147</v>
      </c>
      <c r="I670" s="158">
        <v>11</v>
      </c>
      <c r="J670" s="158">
        <v>27</v>
      </c>
      <c r="K670" s="158">
        <v>18</v>
      </c>
      <c r="L670" s="159">
        <v>52</v>
      </c>
      <c r="M670" s="154">
        <f t="shared" si="93"/>
        <v>457</v>
      </c>
      <c r="N670" s="155">
        <f t="shared" si="94"/>
        <v>984</v>
      </c>
      <c r="O670" s="156">
        <f>M670/30</f>
        <v>15.233333333333333</v>
      </c>
      <c r="P670" s="157">
        <f>N670/30</f>
        <v>32.799999999999997</v>
      </c>
    </row>
    <row r="671" spans="1:60" ht="13.5" customHeight="1">
      <c r="A671" s="474"/>
      <c r="B671" s="127">
        <v>7</v>
      </c>
      <c r="C671" s="158">
        <v>564</v>
      </c>
      <c r="D671" s="158">
        <v>1159</v>
      </c>
      <c r="E671" s="158">
        <v>40</v>
      </c>
      <c r="F671" s="158">
        <v>55</v>
      </c>
      <c r="G671" s="158">
        <v>85</v>
      </c>
      <c r="H671" s="158">
        <v>189</v>
      </c>
      <c r="I671" s="158">
        <v>21</v>
      </c>
      <c r="J671" s="158">
        <v>33</v>
      </c>
      <c r="K671" s="158">
        <v>15</v>
      </c>
      <c r="L671" s="158">
        <v>37</v>
      </c>
      <c r="M671" s="154">
        <f t="shared" si="93"/>
        <v>725</v>
      </c>
      <c r="N671" s="155">
        <f t="shared" si="94"/>
        <v>1473</v>
      </c>
      <c r="O671" s="156">
        <f>M671/31</f>
        <v>23.387096774193548</v>
      </c>
      <c r="P671" s="157">
        <f>N671/31</f>
        <v>47.516129032258064</v>
      </c>
    </row>
    <row r="672" spans="1:60" ht="13.5" customHeight="1">
      <c r="A672" s="474"/>
      <c r="B672" s="127">
        <v>8</v>
      </c>
      <c r="C672" s="158">
        <v>460</v>
      </c>
      <c r="D672" s="158">
        <v>1205</v>
      </c>
      <c r="E672" s="158">
        <v>55</v>
      </c>
      <c r="F672" s="158">
        <v>163</v>
      </c>
      <c r="G672" s="158">
        <v>101</v>
      </c>
      <c r="H672" s="158">
        <v>350</v>
      </c>
      <c r="I672" s="158">
        <v>29</v>
      </c>
      <c r="J672" s="158">
        <v>116</v>
      </c>
      <c r="K672" s="158">
        <v>4</v>
      </c>
      <c r="L672" s="159">
        <v>17</v>
      </c>
      <c r="M672" s="154">
        <f t="shared" si="93"/>
        <v>649</v>
      </c>
      <c r="N672" s="155">
        <f t="shared" si="94"/>
        <v>1851</v>
      </c>
      <c r="O672" s="156">
        <f>M672/31</f>
        <v>20.93548387096774</v>
      </c>
      <c r="P672" s="157">
        <f>N672/31</f>
        <v>59.70967741935484</v>
      </c>
    </row>
    <row r="673" spans="1:16" ht="13.5" customHeight="1">
      <c r="A673" s="474"/>
      <c r="B673" s="127">
        <v>9</v>
      </c>
      <c r="C673" s="147">
        <v>197</v>
      </c>
      <c r="D673" s="147">
        <v>483</v>
      </c>
      <c r="E673" s="147">
        <v>3</v>
      </c>
      <c r="F673" s="147">
        <v>3</v>
      </c>
      <c r="G673" s="147">
        <v>54</v>
      </c>
      <c r="H673" s="147">
        <v>145</v>
      </c>
      <c r="I673" s="147">
        <v>10</v>
      </c>
      <c r="J673" s="147">
        <v>15</v>
      </c>
      <c r="K673" s="147">
        <v>16</v>
      </c>
      <c r="L673" s="148">
        <v>18</v>
      </c>
      <c r="M673" s="154">
        <f t="shared" si="93"/>
        <v>280</v>
      </c>
      <c r="N673" s="155">
        <f t="shared" si="94"/>
        <v>664</v>
      </c>
      <c r="O673" s="156">
        <f>M673/30</f>
        <v>9.3333333333333339</v>
      </c>
      <c r="P673" s="157">
        <f>N673/30</f>
        <v>22.133333333333333</v>
      </c>
    </row>
    <row r="674" spans="1:16" ht="13.5" customHeight="1">
      <c r="A674" s="474"/>
      <c r="B674" s="127">
        <v>10</v>
      </c>
      <c r="C674" s="147">
        <v>235</v>
      </c>
      <c r="D674" s="147">
        <v>556</v>
      </c>
      <c r="E674" s="147">
        <v>8</v>
      </c>
      <c r="F674" s="181">
        <v>23</v>
      </c>
      <c r="G674" s="147">
        <v>45</v>
      </c>
      <c r="H674" s="147">
        <v>86</v>
      </c>
      <c r="I674" s="147">
        <v>17</v>
      </c>
      <c r="J674" s="147">
        <v>34</v>
      </c>
      <c r="K674" s="147">
        <v>45</v>
      </c>
      <c r="L674" s="148">
        <v>74</v>
      </c>
      <c r="M674" s="154">
        <f t="shared" si="93"/>
        <v>350</v>
      </c>
      <c r="N674" s="155">
        <f t="shared" si="94"/>
        <v>773</v>
      </c>
      <c r="O674" s="156">
        <f>M674/31</f>
        <v>11.290322580645162</v>
      </c>
      <c r="P674" s="157">
        <f>N674/31</f>
        <v>24.93548387096774</v>
      </c>
    </row>
    <row r="675" spans="1:16" ht="13.5" customHeight="1">
      <c r="A675" s="474"/>
      <c r="B675" s="127">
        <v>11</v>
      </c>
      <c r="C675" s="367">
        <v>417</v>
      </c>
      <c r="D675" s="367">
        <v>1140</v>
      </c>
      <c r="E675" s="367">
        <v>11</v>
      </c>
      <c r="F675" s="367">
        <v>24</v>
      </c>
      <c r="G675" s="367">
        <v>82</v>
      </c>
      <c r="H675" s="367">
        <v>252</v>
      </c>
      <c r="I675" s="367">
        <v>10</v>
      </c>
      <c r="J675" s="367">
        <v>48</v>
      </c>
      <c r="K675" s="367">
        <v>60</v>
      </c>
      <c r="L675" s="368">
        <v>212</v>
      </c>
      <c r="M675" s="154">
        <f t="shared" si="93"/>
        <v>580</v>
      </c>
      <c r="N675" s="155">
        <f t="shared" si="94"/>
        <v>1676</v>
      </c>
      <c r="O675" s="156">
        <f>M675/30</f>
        <v>19.333333333333332</v>
      </c>
      <c r="P675" s="157">
        <f>N675/30</f>
        <v>55.866666666666667</v>
      </c>
    </row>
    <row r="676" spans="1:16" ht="13.5" customHeight="1" thickBot="1">
      <c r="A676" s="475"/>
      <c r="B676" s="127">
        <v>12</v>
      </c>
      <c r="C676" s="187">
        <v>279</v>
      </c>
      <c r="D676" s="187">
        <v>805</v>
      </c>
      <c r="E676" s="187">
        <v>9</v>
      </c>
      <c r="F676" s="188">
        <v>25</v>
      </c>
      <c r="G676" s="187">
        <v>56</v>
      </c>
      <c r="H676" s="187">
        <v>136</v>
      </c>
      <c r="I676" s="187">
        <v>11</v>
      </c>
      <c r="J676" s="187">
        <v>13</v>
      </c>
      <c r="K676" s="187">
        <v>28</v>
      </c>
      <c r="L676" s="189">
        <v>121</v>
      </c>
      <c r="M676" s="154">
        <f t="shared" si="93"/>
        <v>383</v>
      </c>
      <c r="N676" s="155">
        <f t="shared" si="94"/>
        <v>1100</v>
      </c>
      <c r="O676" s="156">
        <f>M676/31</f>
        <v>12.35483870967742</v>
      </c>
      <c r="P676" s="157">
        <f>N676/31</f>
        <v>35.483870967741936</v>
      </c>
    </row>
    <row r="677" spans="1:16" ht="13.5" customHeight="1">
      <c r="A677" s="473">
        <v>2018</v>
      </c>
      <c r="B677" s="410">
        <v>1</v>
      </c>
      <c r="C677" s="422">
        <v>157</v>
      </c>
      <c r="D677" s="422">
        <v>455</v>
      </c>
      <c r="E677" s="422">
        <v>7</v>
      </c>
      <c r="F677" s="422">
        <v>11</v>
      </c>
      <c r="G677" s="422">
        <v>56</v>
      </c>
      <c r="H677" s="422">
        <v>121</v>
      </c>
      <c r="I677" s="422">
        <v>16</v>
      </c>
      <c r="J677" s="422">
        <v>39</v>
      </c>
      <c r="K677" s="422">
        <v>32</v>
      </c>
      <c r="L677" s="432">
        <v>93</v>
      </c>
      <c r="M677" s="424">
        <f t="shared" si="93"/>
        <v>268</v>
      </c>
      <c r="N677" s="425">
        <f t="shared" si="94"/>
        <v>719</v>
      </c>
      <c r="O677" s="430">
        <f>M677/31</f>
        <v>8.6451612903225801</v>
      </c>
      <c r="P677" s="427">
        <f>N677/31</f>
        <v>23.193548387096776</v>
      </c>
    </row>
    <row r="678" spans="1:16" ht="13.5" customHeight="1">
      <c r="A678" s="474"/>
      <c r="B678" s="127">
        <v>2</v>
      </c>
      <c r="C678" s="147">
        <v>142</v>
      </c>
      <c r="D678" s="147">
        <v>352</v>
      </c>
      <c r="E678" s="147">
        <v>12</v>
      </c>
      <c r="F678" s="147">
        <v>25</v>
      </c>
      <c r="G678" s="147">
        <v>39</v>
      </c>
      <c r="H678" s="147">
        <v>155</v>
      </c>
      <c r="I678" s="147">
        <v>16</v>
      </c>
      <c r="J678" s="147">
        <v>51</v>
      </c>
      <c r="K678" s="147">
        <v>16</v>
      </c>
      <c r="L678" s="174">
        <v>44</v>
      </c>
      <c r="M678" s="149">
        <f t="shared" si="93"/>
        <v>225</v>
      </c>
      <c r="N678" s="150">
        <f t="shared" si="94"/>
        <v>627</v>
      </c>
      <c r="O678" s="151">
        <f>M678/28</f>
        <v>8.0357142857142865</v>
      </c>
      <c r="P678" s="152">
        <f>N678/28</f>
        <v>22.392857142857142</v>
      </c>
    </row>
    <row r="679" spans="1:16" ht="13.5" customHeight="1">
      <c r="A679" s="474"/>
      <c r="B679" s="127">
        <v>3</v>
      </c>
      <c r="C679" s="147">
        <v>467</v>
      </c>
      <c r="D679" s="147">
        <v>905</v>
      </c>
      <c r="E679" s="147">
        <v>5</v>
      </c>
      <c r="F679" s="147">
        <v>3</v>
      </c>
      <c r="G679" s="147">
        <v>87</v>
      </c>
      <c r="H679" s="147">
        <v>112</v>
      </c>
      <c r="I679" s="147">
        <v>23</v>
      </c>
      <c r="J679" s="147">
        <v>36</v>
      </c>
      <c r="K679" s="147">
        <v>80</v>
      </c>
      <c r="L679" s="174">
        <v>165</v>
      </c>
      <c r="M679" s="149">
        <f t="shared" si="93"/>
        <v>662</v>
      </c>
      <c r="N679" s="150">
        <f t="shared" si="94"/>
        <v>1221</v>
      </c>
      <c r="O679" s="151">
        <f>M679/31</f>
        <v>21.35483870967742</v>
      </c>
      <c r="P679" s="152">
        <f>N679/31</f>
        <v>39.387096774193552</v>
      </c>
    </row>
    <row r="680" spans="1:16" ht="13.5" customHeight="1">
      <c r="A680" s="474"/>
      <c r="B680" s="127">
        <v>4</v>
      </c>
      <c r="C680" s="158">
        <v>709</v>
      </c>
      <c r="D680" s="158">
        <v>2033</v>
      </c>
      <c r="E680" s="158">
        <v>15</v>
      </c>
      <c r="F680" s="158">
        <v>33</v>
      </c>
      <c r="G680" s="158">
        <v>112</v>
      </c>
      <c r="H680" s="158">
        <v>328</v>
      </c>
      <c r="I680" s="158">
        <v>45</v>
      </c>
      <c r="J680" s="158">
        <v>109</v>
      </c>
      <c r="K680" s="158">
        <v>109</v>
      </c>
      <c r="L680" s="159">
        <v>416</v>
      </c>
      <c r="M680" s="154">
        <f t="shared" si="93"/>
        <v>990</v>
      </c>
      <c r="N680" s="155">
        <f t="shared" si="94"/>
        <v>2919</v>
      </c>
      <c r="O680" s="151">
        <f>M680/30</f>
        <v>33</v>
      </c>
      <c r="P680" s="152">
        <f>N680/30</f>
        <v>97.3</v>
      </c>
    </row>
    <row r="681" spans="1:16" ht="13.5" customHeight="1">
      <c r="A681" s="474"/>
      <c r="B681" s="127">
        <v>5</v>
      </c>
      <c r="C681" s="158">
        <v>433</v>
      </c>
      <c r="D681" s="158">
        <v>1314</v>
      </c>
      <c r="E681" s="158">
        <v>10</v>
      </c>
      <c r="F681" s="158">
        <v>24</v>
      </c>
      <c r="G681" s="158">
        <v>104</v>
      </c>
      <c r="H681" s="158">
        <v>265</v>
      </c>
      <c r="I681" s="158">
        <v>18</v>
      </c>
      <c r="J681" s="158">
        <v>50</v>
      </c>
      <c r="K681" s="158">
        <v>78</v>
      </c>
      <c r="L681" s="159">
        <v>305</v>
      </c>
      <c r="M681" s="154">
        <f t="shared" si="93"/>
        <v>643</v>
      </c>
      <c r="N681" s="155">
        <f t="shared" si="94"/>
        <v>1958</v>
      </c>
      <c r="O681" s="156">
        <f>M681/31</f>
        <v>20.741935483870968</v>
      </c>
      <c r="P681" s="157">
        <f>N681/31</f>
        <v>63.161290322580648</v>
      </c>
    </row>
    <row r="682" spans="1:16" ht="13.5" customHeight="1">
      <c r="A682" s="474"/>
      <c r="B682" s="127">
        <v>6</v>
      </c>
      <c r="C682" s="158">
        <v>223</v>
      </c>
      <c r="D682" s="158">
        <v>556</v>
      </c>
      <c r="E682" s="158">
        <v>12</v>
      </c>
      <c r="F682" s="158">
        <v>7</v>
      </c>
      <c r="G682" s="158">
        <v>73</v>
      </c>
      <c r="H682" s="158">
        <v>188</v>
      </c>
      <c r="I682" s="158">
        <v>14</v>
      </c>
      <c r="J682" s="158">
        <v>31</v>
      </c>
      <c r="K682" s="158">
        <v>13</v>
      </c>
      <c r="L682" s="159">
        <v>67</v>
      </c>
      <c r="M682" s="154">
        <f t="shared" si="93"/>
        <v>335</v>
      </c>
      <c r="N682" s="155">
        <f t="shared" si="94"/>
        <v>849</v>
      </c>
      <c r="O682" s="156">
        <f>M682/30</f>
        <v>11.166666666666666</v>
      </c>
      <c r="P682" s="157">
        <f>N682/30</f>
        <v>28.3</v>
      </c>
    </row>
    <row r="683" spans="1:16" ht="13.5" customHeight="1">
      <c r="A683" s="474"/>
      <c r="B683" s="127">
        <v>7</v>
      </c>
      <c r="C683" s="158">
        <v>310</v>
      </c>
      <c r="D683" s="158">
        <v>864</v>
      </c>
      <c r="E683" s="158">
        <v>38</v>
      </c>
      <c r="F683" s="158">
        <v>91</v>
      </c>
      <c r="G683" s="158">
        <v>90</v>
      </c>
      <c r="H683" s="158">
        <v>210</v>
      </c>
      <c r="I683" s="158">
        <v>30</v>
      </c>
      <c r="J683" s="158">
        <v>70</v>
      </c>
      <c r="K683" s="158">
        <v>34</v>
      </c>
      <c r="L683" s="158">
        <v>111</v>
      </c>
      <c r="M683" s="154">
        <f t="shared" si="93"/>
        <v>502</v>
      </c>
      <c r="N683" s="155">
        <f t="shared" si="94"/>
        <v>1346</v>
      </c>
      <c r="O683" s="156">
        <f>M683/31</f>
        <v>16.193548387096776</v>
      </c>
      <c r="P683" s="157">
        <f>N683/31</f>
        <v>43.41935483870968</v>
      </c>
    </row>
    <row r="684" spans="1:16" ht="13.5" customHeight="1">
      <c r="A684" s="474"/>
      <c r="B684" s="127">
        <v>8</v>
      </c>
      <c r="C684" s="158">
        <v>329</v>
      </c>
      <c r="D684" s="158">
        <v>872</v>
      </c>
      <c r="E684" s="158">
        <v>46</v>
      </c>
      <c r="F684" s="158">
        <v>83</v>
      </c>
      <c r="G684" s="158">
        <v>101</v>
      </c>
      <c r="H684" s="158">
        <v>288</v>
      </c>
      <c r="I684" s="158">
        <v>25</v>
      </c>
      <c r="J684" s="158">
        <v>86</v>
      </c>
      <c r="K684" s="158">
        <v>11</v>
      </c>
      <c r="L684" s="159">
        <v>49</v>
      </c>
      <c r="M684" s="154">
        <f t="shared" si="93"/>
        <v>512</v>
      </c>
      <c r="N684" s="155">
        <f t="shared" si="94"/>
        <v>1378</v>
      </c>
      <c r="O684" s="156">
        <f>M684/31</f>
        <v>16.516129032258064</v>
      </c>
      <c r="P684" s="157">
        <f>N684/31</f>
        <v>44.451612903225808</v>
      </c>
    </row>
    <row r="685" spans="1:16" ht="13.5" customHeight="1">
      <c r="A685" s="474"/>
      <c r="B685" s="127">
        <v>9</v>
      </c>
      <c r="C685" s="147">
        <v>231</v>
      </c>
      <c r="D685" s="147">
        <v>505</v>
      </c>
      <c r="E685" s="147">
        <v>20</v>
      </c>
      <c r="F685" s="147">
        <v>23</v>
      </c>
      <c r="G685" s="147">
        <v>52</v>
      </c>
      <c r="H685" s="147">
        <v>105</v>
      </c>
      <c r="I685" s="147">
        <v>23</v>
      </c>
      <c r="J685" s="147">
        <v>41</v>
      </c>
      <c r="K685" s="147">
        <v>24</v>
      </c>
      <c r="L685" s="148">
        <v>43</v>
      </c>
      <c r="M685" s="154">
        <f t="shared" si="93"/>
        <v>350</v>
      </c>
      <c r="N685" s="155">
        <f t="shared" si="94"/>
        <v>717</v>
      </c>
      <c r="O685" s="156">
        <f>M685/30</f>
        <v>11.666666666666666</v>
      </c>
      <c r="P685" s="157">
        <f>N685/30</f>
        <v>23.9</v>
      </c>
    </row>
    <row r="686" spans="1:16" ht="13.5" customHeight="1">
      <c r="A686" s="474"/>
      <c r="B686" s="127">
        <v>10</v>
      </c>
      <c r="C686" s="147">
        <v>345</v>
      </c>
      <c r="D686" s="147">
        <v>659</v>
      </c>
      <c r="E686" s="147">
        <v>20</v>
      </c>
      <c r="F686" s="181">
        <v>34</v>
      </c>
      <c r="G686" s="147">
        <v>62</v>
      </c>
      <c r="H686" s="147">
        <v>171</v>
      </c>
      <c r="I686" s="147">
        <v>17</v>
      </c>
      <c r="J686" s="147">
        <v>74</v>
      </c>
      <c r="K686" s="147">
        <v>81</v>
      </c>
      <c r="L686" s="148">
        <v>136</v>
      </c>
      <c r="M686" s="154">
        <f t="shared" si="93"/>
        <v>525</v>
      </c>
      <c r="N686" s="155">
        <f t="shared" si="94"/>
        <v>1074</v>
      </c>
      <c r="O686" s="156">
        <f>M686/31</f>
        <v>16.93548387096774</v>
      </c>
      <c r="P686" s="157">
        <f>N686/31</f>
        <v>34.645161290322584</v>
      </c>
    </row>
    <row r="687" spans="1:16" ht="13.5" customHeight="1">
      <c r="A687" s="474"/>
      <c r="B687" s="127">
        <v>11</v>
      </c>
      <c r="C687" s="367">
        <v>372</v>
      </c>
      <c r="D687" s="367">
        <v>1070</v>
      </c>
      <c r="E687" s="367">
        <v>21</v>
      </c>
      <c r="F687" s="367">
        <v>45</v>
      </c>
      <c r="G687" s="367">
        <v>92</v>
      </c>
      <c r="H687" s="367">
        <v>205</v>
      </c>
      <c r="I687" s="367">
        <v>19</v>
      </c>
      <c r="J687" s="367">
        <v>60</v>
      </c>
      <c r="K687" s="367">
        <v>82</v>
      </c>
      <c r="L687" s="368">
        <v>323</v>
      </c>
      <c r="M687" s="154">
        <f t="shared" si="93"/>
        <v>586</v>
      </c>
      <c r="N687" s="155">
        <f t="shared" si="94"/>
        <v>1703</v>
      </c>
      <c r="O687" s="156">
        <f>M687/30</f>
        <v>19.533333333333335</v>
      </c>
      <c r="P687" s="157">
        <f>N687/30</f>
        <v>56.766666666666666</v>
      </c>
    </row>
    <row r="688" spans="1:16" ht="13.5" customHeight="1" thickBot="1">
      <c r="A688" s="475"/>
      <c r="B688" s="127">
        <v>12</v>
      </c>
      <c r="C688" s="187">
        <v>284</v>
      </c>
      <c r="D688" s="187">
        <v>809</v>
      </c>
      <c r="E688" s="187">
        <v>20</v>
      </c>
      <c r="F688" s="188">
        <v>30</v>
      </c>
      <c r="G688" s="187">
        <v>70</v>
      </c>
      <c r="H688" s="187">
        <v>167</v>
      </c>
      <c r="I688" s="187">
        <v>22</v>
      </c>
      <c r="J688" s="187">
        <v>38</v>
      </c>
      <c r="K688" s="187">
        <v>36</v>
      </c>
      <c r="L688" s="189">
        <v>122</v>
      </c>
      <c r="M688" s="154">
        <f t="shared" si="93"/>
        <v>432</v>
      </c>
      <c r="N688" s="155">
        <f t="shared" si="94"/>
        <v>1166</v>
      </c>
      <c r="O688" s="156">
        <f>M688/31</f>
        <v>13.935483870967742</v>
      </c>
      <c r="P688" s="157">
        <f>N688/31</f>
        <v>37.612903225806448</v>
      </c>
    </row>
    <row r="689" spans="1:60" ht="13.5" customHeight="1">
      <c r="A689" s="473">
        <v>2019</v>
      </c>
      <c r="B689" s="410">
        <v>1</v>
      </c>
      <c r="C689" s="422">
        <v>203</v>
      </c>
      <c r="D689" s="422">
        <v>559</v>
      </c>
      <c r="E689" s="422">
        <v>22</v>
      </c>
      <c r="F689" s="422">
        <v>49</v>
      </c>
      <c r="G689" s="422">
        <v>79</v>
      </c>
      <c r="H689" s="422">
        <v>180</v>
      </c>
      <c r="I689" s="422">
        <v>33</v>
      </c>
      <c r="J689" s="422">
        <v>82</v>
      </c>
      <c r="K689" s="422">
        <v>31</v>
      </c>
      <c r="L689" s="432">
        <v>78</v>
      </c>
      <c r="M689" s="424">
        <f t="shared" si="93"/>
        <v>368</v>
      </c>
      <c r="N689" s="425">
        <f t="shared" si="94"/>
        <v>948</v>
      </c>
      <c r="O689" s="430">
        <f>M689/31</f>
        <v>11.870967741935484</v>
      </c>
      <c r="P689" s="427">
        <f>N689/31</f>
        <v>30.580645161290324</v>
      </c>
    </row>
    <row r="690" spans="1:60" ht="13.5" customHeight="1">
      <c r="A690" s="474"/>
      <c r="B690" s="127">
        <v>2</v>
      </c>
      <c r="C690" s="147">
        <v>188</v>
      </c>
      <c r="D690" s="147">
        <v>378</v>
      </c>
      <c r="E690" s="147">
        <v>18</v>
      </c>
      <c r="F690" s="147">
        <v>21</v>
      </c>
      <c r="G690" s="147">
        <v>46</v>
      </c>
      <c r="H690" s="147">
        <v>170</v>
      </c>
      <c r="I690" s="147">
        <v>22</v>
      </c>
      <c r="J690" s="147">
        <v>75</v>
      </c>
      <c r="K690" s="147">
        <v>28</v>
      </c>
      <c r="L690" s="174">
        <v>92</v>
      </c>
      <c r="M690" s="149">
        <f t="shared" si="93"/>
        <v>302</v>
      </c>
      <c r="N690" s="150">
        <f t="shared" si="94"/>
        <v>736</v>
      </c>
      <c r="O690" s="151">
        <f>M690/28</f>
        <v>10.785714285714286</v>
      </c>
      <c r="P690" s="152">
        <f>N690/28</f>
        <v>26.285714285714285</v>
      </c>
    </row>
    <row r="691" spans="1:60" ht="13.5" customHeight="1">
      <c r="A691" s="474"/>
      <c r="B691" s="127">
        <v>3</v>
      </c>
      <c r="C691" s="147">
        <v>382</v>
      </c>
      <c r="D691" s="147">
        <v>877</v>
      </c>
      <c r="E691" s="147">
        <v>11</v>
      </c>
      <c r="F691" s="147">
        <v>21</v>
      </c>
      <c r="G691" s="147">
        <v>77</v>
      </c>
      <c r="H691" s="147">
        <v>159</v>
      </c>
      <c r="I691" s="147">
        <v>28</v>
      </c>
      <c r="J691" s="147">
        <v>66</v>
      </c>
      <c r="K691" s="147">
        <v>83</v>
      </c>
      <c r="L691" s="174">
        <v>194</v>
      </c>
      <c r="M691" s="149">
        <f t="shared" si="93"/>
        <v>581</v>
      </c>
      <c r="N691" s="150">
        <f t="shared" si="94"/>
        <v>1317</v>
      </c>
      <c r="O691" s="151">
        <f>M691/31</f>
        <v>18.741935483870968</v>
      </c>
      <c r="P691" s="152">
        <f>N691/31</f>
        <v>42.483870967741936</v>
      </c>
    </row>
    <row r="692" spans="1:60" ht="13.5" customHeight="1">
      <c r="A692" s="474"/>
      <c r="B692" s="127">
        <v>4</v>
      </c>
      <c r="C692" s="158">
        <v>606</v>
      </c>
      <c r="D692" s="158">
        <v>1515</v>
      </c>
      <c r="E692" s="158">
        <v>31</v>
      </c>
      <c r="F692" s="158">
        <v>39</v>
      </c>
      <c r="G692" s="158">
        <v>109</v>
      </c>
      <c r="H692" s="158">
        <v>248</v>
      </c>
      <c r="I692" s="158">
        <v>44</v>
      </c>
      <c r="J692" s="158">
        <v>76</v>
      </c>
      <c r="K692" s="158">
        <v>107</v>
      </c>
      <c r="L692" s="159">
        <v>310</v>
      </c>
      <c r="M692" s="154">
        <f t="shared" si="93"/>
        <v>897</v>
      </c>
      <c r="N692" s="155">
        <f t="shared" si="94"/>
        <v>2188</v>
      </c>
      <c r="O692" s="151">
        <f>M692/30</f>
        <v>29.9</v>
      </c>
      <c r="P692" s="152">
        <f>N692/30</f>
        <v>72.933333333333337</v>
      </c>
    </row>
    <row r="693" spans="1:60" ht="13.5" customHeight="1">
      <c r="A693" s="474"/>
      <c r="B693" s="127">
        <v>5</v>
      </c>
      <c r="C693" s="158">
        <v>437</v>
      </c>
      <c r="D693" s="158">
        <v>1186</v>
      </c>
      <c r="E693" s="158">
        <v>24</v>
      </c>
      <c r="F693" s="158">
        <v>51</v>
      </c>
      <c r="G693" s="158">
        <v>87</v>
      </c>
      <c r="H693" s="158">
        <v>223</v>
      </c>
      <c r="I693" s="158">
        <v>51</v>
      </c>
      <c r="J693" s="158">
        <v>108</v>
      </c>
      <c r="K693" s="158">
        <v>44</v>
      </c>
      <c r="L693" s="159">
        <v>237</v>
      </c>
      <c r="M693" s="154">
        <f t="shared" si="93"/>
        <v>643</v>
      </c>
      <c r="N693" s="155">
        <f t="shared" si="94"/>
        <v>1805</v>
      </c>
      <c r="O693" s="156">
        <f>M693/31</f>
        <v>20.741935483870968</v>
      </c>
      <c r="P693" s="157">
        <f>N693/31</f>
        <v>58.225806451612904</v>
      </c>
    </row>
    <row r="694" spans="1:60" ht="13.5" customHeight="1">
      <c r="A694" s="474"/>
      <c r="B694" s="127">
        <v>6</v>
      </c>
      <c r="C694" s="158">
        <v>209</v>
      </c>
      <c r="D694" s="158">
        <v>606</v>
      </c>
      <c r="E694" s="158">
        <v>16</v>
      </c>
      <c r="F694" s="158">
        <v>29</v>
      </c>
      <c r="G694" s="158">
        <v>48</v>
      </c>
      <c r="H694" s="158">
        <v>146</v>
      </c>
      <c r="I694" s="158">
        <v>29</v>
      </c>
      <c r="J694" s="158">
        <v>94</v>
      </c>
      <c r="K694" s="158">
        <v>11</v>
      </c>
      <c r="L694" s="159">
        <v>66</v>
      </c>
      <c r="M694" s="154">
        <f t="shared" si="93"/>
        <v>313</v>
      </c>
      <c r="N694" s="155">
        <f t="shared" si="94"/>
        <v>941</v>
      </c>
      <c r="O694" s="156">
        <f>M694/30</f>
        <v>10.433333333333334</v>
      </c>
      <c r="P694" s="157">
        <f>N694/30</f>
        <v>31.366666666666667</v>
      </c>
    </row>
    <row r="695" spans="1:60" ht="13.5" customHeight="1">
      <c r="A695" s="474"/>
      <c r="B695" s="127">
        <v>7</v>
      </c>
      <c r="C695" s="158">
        <v>242</v>
      </c>
      <c r="D695" s="158">
        <v>479</v>
      </c>
      <c r="E695" s="158">
        <v>3</v>
      </c>
      <c r="F695" s="158">
        <v>7</v>
      </c>
      <c r="G695" s="158">
        <v>59</v>
      </c>
      <c r="H695" s="158">
        <v>167</v>
      </c>
      <c r="I695" s="158">
        <v>35</v>
      </c>
      <c r="J695" s="158">
        <v>95</v>
      </c>
      <c r="K695" s="158">
        <v>9</v>
      </c>
      <c r="L695" s="158">
        <v>16</v>
      </c>
      <c r="M695" s="154">
        <f t="shared" si="93"/>
        <v>348</v>
      </c>
      <c r="N695" s="155">
        <f t="shared" si="94"/>
        <v>764</v>
      </c>
      <c r="O695" s="156">
        <f>M695/31</f>
        <v>11.225806451612904</v>
      </c>
      <c r="P695" s="157">
        <f>N695/31</f>
        <v>24.64516129032258</v>
      </c>
    </row>
    <row r="696" spans="1:60" ht="13.5" customHeight="1">
      <c r="A696" s="474"/>
      <c r="B696" s="127">
        <v>8</v>
      </c>
      <c r="C696" s="158">
        <v>235</v>
      </c>
      <c r="D696" s="158">
        <v>616</v>
      </c>
      <c r="E696" s="158">
        <v>5</v>
      </c>
      <c r="F696" s="158">
        <v>6</v>
      </c>
      <c r="G696" s="158">
        <v>71</v>
      </c>
      <c r="H696" s="158">
        <v>189</v>
      </c>
      <c r="I696" s="158">
        <v>36</v>
      </c>
      <c r="J696" s="158">
        <v>108</v>
      </c>
      <c r="K696" s="158">
        <v>10</v>
      </c>
      <c r="L696" s="159">
        <v>16</v>
      </c>
      <c r="M696" s="154">
        <f t="shared" si="93"/>
        <v>357</v>
      </c>
      <c r="N696" s="155">
        <f t="shared" si="94"/>
        <v>935</v>
      </c>
      <c r="O696" s="156">
        <f>M696/31</f>
        <v>11.516129032258064</v>
      </c>
      <c r="P696" s="157">
        <f>N696/31</f>
        <v>30.161290322580644</v>
      </c>
    </row>
    <row r="697" spans="1:60" ht="13.5" customHeight="1">
      <c r="A697" s="474"/>
      <c r="B697" s="127">
        <v>9</v>
      </c>
      <c r="C697" s="147">
        <v>173</v>
      </c>
      <c r="D697" s="147">
        <v>372</v>
      </c>
      <c r="E697" s="147">
        <v>2</v>
      </c>
      <c r="F697" s="147">
        <v>0</v>
      </c>
      <c r="G697" s="147">
        <v>52</v>
      </c>
      <c r="H697" s="147">
        <v>149</v>
      </c>
      <c r="I697" s="147">
        <v>14</v>
      </c>
      <c r="J697" s="147">
        <v>33</v>
      </c>
      <c r="K697" s="147">
        <v>23</v>
      </c>
      <c r="L697" s="148">
        <v>34</v>
      </c>
      <c r="M697" s="154">
        <v>264</v>
      </c>
      <c r="N697" s="155">
        <v>588</v>
      </c>
      <c r="O697" s="156">
        <v>8.8000000000000007</v>
      </c>
      <c r="P697" s="157">
        <v>19.600000000000001</v>
      </c>
    </row>
    <row r="698" spans="1:60" ht="13.5" customHeight="1">
      <c r="A698" s="474"/>
      <c r="B698" s="127">
        <v>10</v>
      </c>
      <c r="C698" s="147">
        <v>587</v>
      </c>
      <c r="D698" s="147">
        <v>1324</v>
      </c>
      <c r="E698" s="147">
        <v>5</v>
      </c>
      <c r="F698" s="181">
        <v>8</v>
      </c>
      <c r="G698" s="147">
        <v>149</v>
      </c>
      <c r="H698" s="147">
        <v>264</v>
      </c>
      <c r="I698" s="147">
        <v>32</v>
      </c>
      <c r="J698" s="147">
        <v>96</v>
      </c>
      <c r="K698" s="147">
        <v>196</v>
      </c>
      <c r="L698" s="148">
        <v>561</v>
      </c>
      <c r="M698" s="154">
        <f t="shared" ref="M698:M700" si="97">+C698+E698+G698+I698+K698</f>
        <v>969</v>
      </c>
      <c r="N698" s="155">
        <f t="shared" ref="N698:N700" si="98">+D698+F698+H698+J698+L698</f>
        <v>2253</v>
      </c>
      <c r="O698" s="156">
        <f>M698/30</f>
        <v>32.299999999999997</v>
      </c>
      <c r="P698" s="157">
        <f>N698/30</f>
        <v>75.099999999999994</v>
      </c>
    </row>
    <row r="699" spans="1:60" ht="13.5" customHeight="1">
      <c r="A699" s="474"/>
      <c r="B699" s="127">
        <v>11</v>
      </c>
      <c r="C699" s="367">
        <v>453</v>
      </c>
      <c r="D699" s="367">
        <v>1088</v>
      </c>
      <c r="E699" s="367">
        <v>2</v>
      </c>
      <c r="F699" s="367">
        <v>8</v>
      </c>
      <c r="G699" s="367">
        <v>96</v>
      </c>
      <c r="H699" s="367">
        <v>251</v>
      </c>
      <c r="I699" s="367">
        <v>23</v>
      </c>
      <c r="J699" s="367">
        <v>75</v>
      </c>
      <c r="K699" s="367">
        <v>189</v>
      </c>
      <c r="L699" s="368">
        <v>566</v>
      </c>
      <c r="M699" s="154">
        <f t="shared" si="97"/>
        <v>763</v>
      </c>
      <c r="N699" s="155">
        <f t="shared" si="98"/>
        <v>1988</v>
      </c>
      <c r="O699" s="156">
        <f>M699/30</f>
        <v>25.433333333333334</v>
      </c>
      <c r="P699" s="157">
        <f>N699/30</f>
        <v>66.266666666666666</v>
      </c>
    </row>
    <row r="700" spans="1:60" ht="13.5" customHeight="1" thickBot="1">
      <c r="A700" s="475"/>
      <c r="B700" s="127">
        <v>12</v>
      </c>
      <c r="C700" s="367">
        <v>305</v>
      </c>
      <c r="D700" s="367">
        <v>936</v>
      </c>
      <c r="E700" s="367">
        <v>7</v>
      </c>
      <c r="F700" s="367">
        <v>5</v>
      </c>
      <c r="G700" s="367">
        <v>82</v>
      </c>
      <c r="H700" s="367">
        <v>176</v>
      </c>
      <c r="I700" s="367">
        <v>27</v>
      </c>
      <c r="J700" s="367">
        <v>32</v>
      </c>
      <c r="K700" s="367">
        <v>96</v>
      </c>
      <c r="L700" s="368">
        <v>439</v>
      </c>
      <c r="M700" s="154">
        <f t="shared" si="97"/>
        <v>517</v>
      </c>
      <c r="N700" s="155">
        <f t="shared" si="98"/>
        <v>1588</v>
      </c>
      <c r="O700" s="156">
        <f>M700/31</f>
        <v>16.677419354838708</v>
      </c>
      <c r="P700" s="157">
        <f>N700/31</f>
        <v>51.225806451612904</v>
      </c>
    </row>
    <row r="701" spans="1:60" ht="13.5" customHeight="1">
      <c r="A701" s="473">
        <v>2020</v>
      </c>
      <c r="B701" s="410">
        <v>1</v>
      </c>
      <c r="C701" s="434">
        <v>176</v>
      </c>
      <c r="D701" s="434">
        <v>545</v>
      </c>
      <c r="E701" s="434">
        <v>14</v>
      </c>
      <c r="F701" s="434">
        <v>23</v>
      </c>
      <c r="G701" s="434">
        <v>81</v>
      </c>
      <c r="H701" s="434">
        <v>213</v>
      </c>
      <c r="I701" s="434">
        <v>29</v>
      </c>
      <c r="J701" s="434">
        <v>97</v>
      </c>
      <c r="K701" s="434">
        <v>48</v>
      </c>
      <c r="L701" s="436">
        <v>125</v>
      </c>
      <c r="M701" s="424">
        <f t="shared" ref="M701:M712" si="99">+C701+E701+G701+I701+K701</f>
        <v>348</v>
      </c>
      <c r="N701" s="425">
        <f t="shared" ref="N701:N712" si="100">+D701+F701+H701+J701+L701</f>
        <v>1003</v>
      </c>
      <c r="O701" s="430">
        <f>M701/31</f>
        <v>11.225806451612904</v>
      </c>
      <c r="P701" s="427">
        <f>N701/31</f>
        <v>32.354838709677416</v>
      </c>
    </row>
    <row r="702" spans="1:60" ht="13.5" customHeight="1">
      <c r="A702" s="474"/>
      <c r="B702" s="127">
        <v>2</v>
      </c>
      <c r="C702" s="147">
        <v>159</v>
      </c>
      <c r="D702" s="147">
        <v>320</v>
      </c>
      <c r="E702" s="147">
        <v>4</v>
      </c>
      <c r="F702" s="147">
        <v>9</v>
      </c>
      <c r="G702" s="147">
        <v>18</v>
      </c>
      <c r="H702" s="147">
        <v>118</v>
      </c>
      <c r="I702" s="147">
        <v>8</v>
      </c>
      <c r="J702" s="147">
        <v>18</v>
      </c>
      <c r="K702" s="147">
        <v>25</v>
      </c>
      <c r="L702" s="148">
        <v>125</v>
      </c>
      <c r="M702" s="149">
        <f t="shared" si="99"/>
        <v>214</v>
      </c>
      <c r="N702" s="150">
        <f t="shared" si="100"/>
        <v>590</v>
      </c>
      <c r="O702" s="151">
        <f>M702/28</f>
        <v>7.6428571428571432</v>
      </c>
      <c r="P702" s="152">
        <f>N702/28</f>
        <v>21.071428571428573</v>
      </c>
    </row>
    <row r="703" spans="1:60" ht="13.5" customHeight="1">
      <c r="A703" s="474"/>
      <c r="B703" s="127">
        <v>3</v>
      </c>
      <c r="C703" s="147">
        <v>39</v>
      </c>
      <c r="D703" s="147">
        <v>130</v>
      </c>
      <c r="E703" s="147">
        <v>0</v>
      </c>
      <c r="F703" s="147">
        <v>0</v>
      </c>
      <c r="G703" s="147">
        <v>0</v>
      </c>
      <c r="H703" s="147">
        <v>6</v>
      </c>
      <c r="I703" s="147">
        <v>0</v>
      </c>
      <c r="J703" s="147">
        <v>0</v>
      </c>
      <c r="K703" s="147">
        <v>3</v>
      </c>
      <c r="L703" s="148">
        <v>8</v>
      </c>
      <c r="M703" s="149">
        <f t="shared" si="99"/>
        <v>42</v>
      </c>
      <c r="N703" s="150">
        <f t="shared" si="100"/>
        <v>144</v>
      </c>
      <c r="O703" s="151">
        <f>M703/31</f>
        <v>1.3548387096774193</v>
      </c>
      <c r="P703" s="152">
        <f>N703/31</f>
        <v>4.645161290322581</v>
      </c>
    </row>
    <row r="704" spans="1:60" ht="13.5" customHeight="1">
      <c r="A704" s="474"/>
      <c r="B704" s="127">
        <v>4</v>
      </c>
      <c r="C704" s="147">
        <v>17</v>
      </c>
      <c r="D704" s="147">
        <v>38</v>
      </c>
      <c r="E704" s="147">
        <v>2</v>
      </c>
      <c r="F704" s="147">
        <v>2</v>
      </c>
      <c r="G704" s="147">
        <v>0</v>
      </c>
      <c r="H704" s="147">
        <v>0</v>
      </c>
      <c r="I704" s="147">
        <v>0</v>
      </c>
      <c r="J704" s="147">
        <v>0</v>
      </c>
      <c r="K704" s="147">
        <v>0</v>
      </c>
      <c r="L704" s="148">
        <v>0</v>
      </c>
      <c r="M704" s="154">
        <f t="shared" si="99"/>
        <v>19</v>
      </c>
      <c r="N704" s="155">
        <f t="shared" si="100"/>
        <v>40</v>
      </c>
      <c r="O704" s="151">
        <f>M704/30</f>
        <v>0.6333333333333333</v>
      </c>
      <c r="P704" s="152">
        <f>N704/30</f>
        <v>1.3333333333333333</v>
      </c>
      <c r="Q704" s="459"/>
      <c r="R704" s="459"/>
      <c r="S704" s="459"/>
      <c r="T704" s="459"/>
      <c r="U704" s="459"/>
      <c r="V704" s="459"/>
      <c r="W704" s="459"/>
      <c r="X704" s="459"/>
      <c r="Y704" s="459"/>
      <c r="Z704" s="459"/>
      <c r="AA704" s="459"/>
      <c r="AB704" s="459"/>
      <c r="AC704" s="459"/>
      <c r="AD704" s="459"/>
      <c r="AE704" s="459"/>
      <c r="AF704" s="459"/>
      <c r="AG704" s="459"/>
      <c r="AH704" s="459"/>
      <c r="AI704" s="459"/>
      <c r="AJ704" s="459"/>
      <c r="AK704" s="459"/>
      <c r="AL704" s="459"/>
      <c r="AM704" s="459"/>
      <c r="AN704" s="459"/>
      <c r="AO704" s="459"/>
      <c r="AP704" s="459"/>
      <c r="AQ704" s="459"/>
      <c r="AR704" s="459"/>
      <c r="AS704" s="459"/>
      <c r="AT704" s="459"/>
      <c r="AU704" s="459"/>
      <c r="AV704" s="459"/>
      <c r="AW704" s="459"/>
      <c r="AX704" s="459"/>
      <c r="AY704" s="459"/>
      <c r="AZ704" s="459"/>
      <c r="BA704" s="459"/>
      <c r="BB704" s="459"/>
      <c r="BC704" s="459"/>
      <c r="BD704" s="459"/>
      <c r="BE704" s="459"/>
      <c r="BF704" s="459"/>
      <c r="BG704" s="459"/>
      <c r="BH704" s="459"/>
    </row>
    <row r="705" spans="1:16" ht="13.5" customHeight="1">
      <c r="A705" s="474"/>
      <c r="B705" s="127">
        <v>5</v>
      </c>
      <c r="C705" s="147">
        <v>4</v>
      </c>
      <c r="D705" s="147">
        <v>6</v>
      </c>
      <c r="E705" s="147">
        <v>0</v>
      </c>
      <c r="F705" s="147">
        <v>0</v>
      </c>
      <c r="G705" s="147">
        <v>0</v>
      </c>
      <c r="H705" s="147">
        <v>0</v>
      </c>
      <c r="I705" s="147">
        <v>0</v>
      </c>
      <c r="J705" s="147">
        <v>0</v>
      </c>
      <c r="K705" s="147">
        <v>0</v>
      </c>
      <c r="L705" s="148">
        <v>0</v>
      </c>
      <c r="M705" s="154">
        <f t="shared" si="99"/>
        <v>4</v>
      </c>
      <c r="N705" s="155">
        <f t="shared" si="100"/>
        <v>6</v>
      </c>
      <c r="O705" s="156">
        <f>M705/31</f>
        <v>0.12903225806451613</v>
      </c>
      <c r="P705" s="157">
        <f>N705/31</f>
        <v>0.19354838709677419</v>
      </c>
    </row>
    <row r="706" spans="1:16" ht="13.5" customHeight="1">
      <c r="A706" s="474"/>
      <c r="B706" s="127">
        <v>6</v>
      </c>
      <c r="C706" s="147">
        <f>集計用!C26+集計用!C35</f>
        <v>16</v>
      </c>
      <c r="D706" s="147">
        <f>集計用!S26+集計用!S35</f>
        <v>36</v>
      </c>
      <c r="E706" s="147">
        <f>集計用!E26+集計用!E35</f>
        <v>0</v>
      </c>
      <c r="F706" s="147">
        <f>集計用!U26+集計用!U35</f>
        <v>0</v>
      </c>
      <c r="G706" s="147">
        <f>集計用!G26+集計用!G35</f>
        <v>0</v>
      </c>
      <c r="H706" s="147">
        <f>集計用!W26+集計用!W35</f>
        <v>0</v>
      </c>
      <c r="I706" s="147">
        <f>集計用!I26+集計用!I35</f>
        <v>0</v>
      </c>
      <c r="J706" s="147">
        <f>集計用!Y26+集計用!Y35</f>
        <v>0</v>
      </c>
      <c r="K706" s="147">
        <f>集計用!K35</f>
        <v>0</v>
      </c>
      <c r="L706" s="148">
        <f>集計用!AA35</f>
        <v>0</v>
      </c>
      <c r="M706" s="154">
        <f t="shared" si="99"/>
        <v>16</v>
      </c>
      <c r="N706" s="155">
        <f t="shared" si="100"/>
        <v>36</v>
      </c>
      <c r="O706" s="156">
        <f>M706/30</f>
        <v>0.53333333333333333</v>
      </c>
      <c r="P706" s="157">
        <f>N706/30</f>
        <v>1.2</v>
      </c>
    </row>
    <row r="707" spans="1:16" ht="13.5" customHeight="1">
      <c r="A707" s="474"/>
      <c r="B707" s="127">
        <v>7</v>
      </c>
      <c r="C707" s="158"/>
      <c r="D707" s="158"/>
      <c r="E707" s="158"/>
      <c r="F707" s="158"/>
      <c r="G707" s="158"/>
      <c r="H707" s="158"/>
      <c r="I707" s="158"/>
      <c r="J707" s="158"/>
      <c r="K707" s="158"/>
      <c r="L707" s="158"/>
      <c r="M707" s="154">
        <f t="shared" si="99"/>
        <v>0</v>
      </c>
      <c r="N707" s="155">
        <f t="shared" si="100"/>
        <v>0</v>
      </c>
      <c r="O707" s="156">
        <f>M707/31</f>
        <v>0</v>
      </c>
      <c r="P707" s="157">
        <f>N707/31</f>
        <v>0</v>
      </c>
    </row>
    <row r="708" spans="1:16" ht="13.5" customHeight="1">
      <c r="A708" s="474"/>
      <c r="B708" s="127">
        <v>8</v>
      </c>
      <c r="C708" s="158"/>
      <c r="D708" s="158"/>
      <c r="E708" s="158"/>
      <c r="F708" s="158"/>
      <c r="G708" s="158"/>
      <c r="H708" s="158"/>
      <c r="I708" s="158"/>
      <c r="J708" s="158"/>
      <c r="K708" s="158"/>
      <c r="L708" s="159"/>
      <c r="M708" s="154">
        <f t="shared" si="99"/>
        <v>0</v>
      </c>
      <c r="N708" s="155">
        <f t="shared" si="100"/>
        <v>0</v>
      </c>
      <c r="O708" s="156">
        <f>M708/31</f>
        <v>0</v>
      </c>
      <c r="P708" s="157">
        <f>N708/31</f>
        <v>0</v>
      </c>
    </row>
    <row r="709" spans="1:16" ht="13.5" customHeight="1">
      <c r="A709" s="474"/>
      <c r="B709" s="127">
        <v>9</v>
      </c>
      <c r="C709" s="147"/>
      <c r="D709" s="147"/>
      <c r="E709" s="147"/>
      <c r="F709" s="147"/>
      <c r="G709" s="147"/>
      <c r="H709" s="147"/>
      <c r="I709" s="147"/>
      <c r="J709" s="147"/>
      <c r="K709" s="147"/>
      <c r="L709" s="148"/>
      <c r="M709" s="154">
        <f t="shared" ref="M709" si="101">+C709+E709+G709+I709+K709</f>
        <v>0</v>
      </c>
      <c r="N709" s="155">
        <f t="shared" ref="N709" si="102">+D709+F709+H709+J709+L709</f>
        <v>0</v>
      </c>
      <c r="O709" s="156">
        <f t="shared" ref="O709:P711" si="103">M709/30</f>
        <v>0</v>
      </c>
      <c r="P709" s="157">
        <f t="shared" si="103"/>
        <v>0</v>
      </c>
    </row>
    <row r="710" spans="1:16" ht="13.5" customHeight="1">
      <c r="A710" s="474"/>
      <c r="B710" s="127">
        <v>10</v>
      </c>
      <c r="C710" s="147"/>
      <c r="D710" s="147"/>
      <c r="E710" s="147"/>
      <c r="F710" s="181"/>
      <c r="G710" s="147"/>
      <c r="H710" s="147"/>
      <c r="I710" s="147"/>
      <c r="J710" s="147"/>
      <c r="K710" s="147"/>
      <c r="L710" s="148"/>
      <c r="M710" s="154">
        <f t="shared" ref="M710" si="104">+C710+E710+G710+I710+K710</f>
        <v>0</v>
      </c>
      <c r="N710" s="155">
        <f t="shared" ref="N710" si="105">+D710+F710+H710+J710+L710</f>
        <v>0</v>
      </c>
      <c r="O710" s="156">
        <f t="shared" si="103"/>
        <v>0</v>
      </c>
      <c r="P710" s="157">
        <f t="shared" si="103"/>
        <v>0</v>
      </c>
    </row>
    <row r="711" spans="1:16" ht="13.5" customHeight="1">
      <c r="A711" s="474"/>
      <c r="B711" s="127">
        <v>11</v>
      </c>
      <c r="C711" s="367"/>
      <c r="D711" s="367"/>
      <c r="E711" s="367"/>
      <c r="F711" s="367"/>
      <c r="G711" s="367"/>
      <c r="H711" s="367"/>
      <c r="I711" s="367"/>
      <c r="J711" s="367"/>
      <c r="K711" s="367"/>
      <c r="L711" s="368"/>
      <c r="M711" s="154">
        <f t="shared" si="99"/>
        <v>0</v>
      </c>
      <c r="N711" s="155">
        <f t="shared" si="100"/>
        <v>0</v>
      </c>
      <c r="O711" s="156">
        <f t="shared" si="103"/>
        <v>0</v>
      </c>
      <c r="P711" s="157">
        <f t="shared" si="103"/>
        <v>0</v>
      </c>
    </row>
    <row r="712" spans="1:16" ht="13.5" customHeight="1" thickBot="1">
      <c r="A712" s="475"/>
      <c r="B712" s="127">
        <v>12</v>
      </c>
      <c r="C712" s="187"/>
      <c r="D712" s="187"/>
      <c r="E712" s="187"/>
      <c r="F712" s="188"/>
      <c r="G712" s="187"/>
      <c r="H712" s="187"/>
      <c r="I712" s="187"/>
      <c r="J712" s="187"/>
      <c r="K712" s="187"/>
      <c r="L712" s="189"/>
      <c r="M712" s="154">
        <f t="shared" si="99"/>
        <v>0</v>
      </c>
      <c r="N712" s="155">
        <f t="shared" si="100"/>
        <v>0</v>
      </c>
      <c r="O712" s="156">
        <f>M712/31</f>
        <v>0</v>
      </c>
      <c r="P712" s="157">
        <f>N712/31</f>
        <v>0</v>
      </c>
    </row>
    <row r="713" spans="1:16" ht="18.75" customHeight="1" thickBot="1">
      <c r="A713" s="180"/>
      <c r="B713" s="160" t="s">
        <v>5</v>
      </c>
      <c r="C713" s="161">
        <f>SUM(C641:C712)</f>
        <v>30209</v>
      </c>
      <c r="D713" s="161">
        <f t="shared" ref="D713:K713" si="106">SUM(D641:D712)</f>
        <v>63484</v>
      </c>
      <c r="E713" s="161">
        <f t="shared" si="106"/>
        <v>1515</v>
      </c>
      <c r="F713" s="161">
        <f t="shared" si="106"/>
        <v>2515</v>
      </c>
      <c r="G713" s="161">
        <f t="shared" si="106"/>
        <v>4974</v>
      </c>
      <c r="H713" s="161">
        <f t="shared" si="106"/>
        <v>10444</v>
      </c>
      <c r="I713" s="161">
        <f t="shared" si="106"/>
        <v>1864</v>
      </c>
      <c r="J713" s="161">
        <f t="shared" si="106"/>
        <v>3708</v>
      </c>
      <c r="K713" s="161">
        <f t="shared" si="106"/>
        <v>1687</v>
      </c>
      <c r="L713" s="161">
        <f>SUM(L641:L712)</f>
        <v>5272</v>
      </c>
      <c r="M713" s="162">
        <f>SUM(M641:M712)</f>
        <v>40249</v>
      </c>
      <c r="N713" s="161">
        <f>SUM(N641:N712)</f>
        <v>85423</v>
      </c>
      <c r="O713" s="161">
        <f>SUM(O641:O712)</f>
        <v>1320.8110387202717</v>
      </c>
      <c r="P713" s="161">
        <f>SUM(P641:P712)</f>
        <v>2804.2885428253603</v>
      </c>
    </row>
    <row r="714" spans="1:16" ht="7.5" customHeight="1"/>
    <row r="715" spans="1:16" ht="11.25" customHeight="1">
      <c r="B715" s="467" t="s">
        <v>159</v>
      </c>
      <c r="C715" s="469" t="s">
        <v>29</v>
      </c>
      <c r="D715" s="470"/>
      <c r="E715" s="469" t="s">
        <v>47</v>
      </c>
      <c r="F715" s="470"/>
      <c r="G715" s="469" t="s">
        <v>31</v>
      </c>
      <c r="H715" s="470"/>
      <c r="I715" s="469" t="s">
        <v>58</v>
      </c>
      <c r="J715" s="470"/>
      <c r="K715" s="469" t="s">
        <v>57</v>
      </c>
      <c r="L715" s="471"/>
      <c r="M715" s="470" t="s">
        <v>5</v>
      </c>
      <c r="N715" s="472"/>
      <c r="O715" s="472" t="s">
        <v>33</v>
      </c>
      <c r="P715" s="472"/>
    </row>
    <row r="716" spans="1:16" ht="11.25" customHeight="1" thickBot="1">
      <c r="B716" s="468"/>
      <c r="C716" s="13" t="s">
        <v>34</v>
      </c>
      <c r="D716" s="13" t="s">
        <v>35</v>
      </c>
      <c r="E716" s="13" t="s">
        <v>34</v>
      </c>
      <c r="F716" s="13" t="s">
        <v>35</v>
      </c>
      <c r="G716" s="13" t="s">
        <v>34</v>
      </c>
      <c r="H716" s="13" t="s">
        <v>35</v>
      </c>
      <c r="I716" s="13" t="s">
        <v>59</v>
      </c>
      <c r="J716" s="13" t="s">
        <v>60</v>
      </c>
      <c r="K716" s="13" t="s">
        <v>34</v>
      </c>
      <c r="L716" s="14" t="s">
        <v>35</v>
      </c>
      <c r="M716" s="15" t="s">
        <v>34</v>
      </c>
      <c r="N716" s="13" t="s">
        <v>35</v>
      </c>
      <c r="O716" s="163" t="s">
        <v>34</v>
      </c>
      <c r="P716" s="163" t="s">
        <v>35</v>
      </c>
    </row>
    <row r="717" spans="1:16" ht="13.5" customHeight="1">
      <c r="A717" s="473">
        <v>2017</v>
      </c>
      <c r="B717" s="410">
        <v>1</v>
      </c>
      <c r="C717" s="422"/>
      <c r="D717" s="422"/>
      <c r="E717" s="422"/>
      <c r="F717" s="422"/>
      <c r="G717" s="422"/>
      <c r="H717" s="422"/>
      <c r="I717" s="422"/>
      <c r="J717" s="422"/>
      <c r="K717" s="422"/>
      <c r="L717" s="432"/>
      <c r="M717" s="424">
        <f t="shared" ref="M717:M748" si="107">+C717+E717+G717+I717+K717</f>
        <v>0</v>
      </c>
      <c r="N717" s="425">
        <f t="shared" ref="N717:N748" si="108">+D717+F717+H717+J717+L717</f>
        <v>0</v>
      </c>
      <c r="O717" s="430">
        <f t="shared" ref="O717:P721" si="109">M717/31</f>
        <v>0</v>
      </c>
      <c r="P717" s="427">
        <f t="shared" si="109"/>
        <v>0</v>
      </c>
    </row>
    <row r="718" spans="1:16" ht="13.5" customHeight="1">
      <c r="A718" s="474"/>
      <c r="B718" s="127">
        <v>2</v>
      </c>
      <c r="C718" s="147"/>
      <c r="D718" s="147"/>
      <c r="E718" s="147"/>
      <c r="F718" s="147"/>
      <c r="G718" s="147"/>
      <c r="H718" s="147"/>
      <c r="I718" s="147"/>
      <c r="J718" s="147"/>
      <c r="K718" s="147"/>
      <c r="L718" s="174"/>
      <c r="M718" s="149">
        <f t="shared" si="107"/>
        <v>0</v>
      </c>
      <c r="N718" s="150">
        <f t="shared" si="108"/>
        <v>0</v>
      </c>
      <c r="O718" s="167">
        <f t="shared" si="109"/>
        <v>0</v>
      </c>
      <c r="P718" s="152">
        <f t="shared" si="109"/>
        <v>0</v>
      </c>
    </row>
    <row r="719" spans="1:16" ht="13.5" customHeight="1">
      <c r="A719" s="474"/>
      <c r="B719" s="127">
        <v>3</v>
      </c>
      <c r="C719" s="147"/>
      <c r="D719" s="147"/>
      <c r="E719" s="147"/>
      <c r="F719" s="147"/>
      <c r="G719" s="147"/>
      <c r="H719" s="147"/>
      <c r="I719" s="147"/>
      <c r="J719" s="147"/>
      <c r="K719" s="147"/>
      <c r="L719" s="174"/>
      <c r="M719" s="149">
        <f t="shared" si="107"/>
        <v>0</v>
      </c>
      <c r="N719" s="150">
        <f t="shared" si="108"/>
        <v>0</v>
      </c>
      <c r="O719" s="167">
        <f t="shared" si="109"/>
        <v>0</v>
      </c>
      <c r="P719" s="152">
        <f t="shared" si="109"/>
        <v>0</v>
      </c>
    </row>
    <row r="720" spans="1:16" ht="13.5" customHeight="1">
      <c r="A720" s="474"/>
      <c r="B720" s="127">
        <v>4</v>
      </c>
      <c r="C720" s="158"/>
      <c r="D720" s="158"/>
      <c r="E720" s="158"/>
      <c r="F720" s="158"/>
      <c r="G720" s="158"/>
      <c r="H720" s="158"/>
      <c r="I720" s="158"/>
      <c r="J720" s="158"/>
      <c r="K720" s="158"/>
      <c r="L720" s="159"/>
      <c r="M720" s="154">
        <f t="shared" si="107"/>
        <v>0</v>
      </c>
      <c r="N720" s="155">
        <f t="shared" si="108"/>
        <v>0</v>
      </c>
      <c r="O720" s="168">
        <f t="shared" si="109"/>
        <v>0</v>
      </c>
      <c r="P720" s="157">
        <f t="shared" si="109"/>
        <v>0</v>
      </c>
    </row>
    <row r="721" spans="1:16" ht="13.5" customHeight="1">
      <c r="A721" s="474"/>
      <c r="B721" s="127">
        <v>5</v>
      </c>
      <c r="C721" s="158">
        <v>1</v>
      </c>
      <c r="D721" s="158">
        <v>0</v>
      </c>
      <c r="E721" s="158">
        <v>0</v>
      </c>
      <c r="F721" s="158">
        <v>0</v>
      </c>
      <c r="G721" s="158">
        <v>0</v>
      </c>
      <c r="H721" s="158">
        <v>0</v>
      </c>
      <c r="I721" s="158">
        <v>0</v>
      </c>
      <c r="J721" s="158">
        <v>0</v>
      </c>
      <c r="K721" s="158">
        <v>0</v>
      </c>
      <c r="L721" s="159">
        <v>0</v>
      </c>
      <c r="M721" s="154">
        <f t="shared" si="107"/>
        <v>1</v>
      </c>
      <c r="N721" s="155">
        <f t="shared" si="108"/>
        <v>0</v>
      </c>
      <c r="O721" s="168">
        <f t="shared" si="109"/>
        <v>3.2258064516129031E-2</v>
      </c>
      <c r="P721" s="157">
        <f t="shared" si="109"/>
        <v>0</v>
      </c>
    </row>
    <row r="722" spans="1:16" ht="13.5" customHeight="1">
      <c r="A722" s="474"/>
      <c r="B722" s="127">
        <v>6</v>
      </c>
      <c r="C722" s="158">
        <v>5</v>
      </c>
      <c r="D722" s="158">
        <v>4</v>
      </c>
      <c r="E722" s="158">
        <v>0</v>
      </c>
      <c r="F722" s="158">
        <v>0</v>
      </c>
      <c r="G722" s="158">
        <v>0</v>
      </c>
      <c r="H722" s="158">
        <v>0</v>
      </c>
      <c r="I722" s="158">
        <v>0</v>
      </c>
      <c r="J722" s="158">
        <v>0</v>
      </c>
      <c r="K722" s="158">
        <v>0</v>
      </c>
      <c r="L722" s="158">
        <v>0</v>
      </c>
      <c r="M722" s="154">
        <f t="shared" si="107"/>
        <v>5</v>
      </c>
      <c r="N722" s="155">
        <f t="shared" si="108"/>
        <v>4</v>
      </c>
      <c r="O722" s="168">
        <f>M722/30</f>
        <v>0.16666666666666666</v>
      </c>
      <c r="P722" s="157">
        <f>N722/30</f>
        <v>0.13333333333333333</v>
      </c>
    </row>
    <row r="723" spans="1:16" ht="13.5" customHeight="1">
      <c r="A723" s="474"/>
      <c r="B723" s="127">
        <v>7</v>
      </c>
      <c r="C723" s="158">
        <v>0</v>
      </c>
      <c r="D723" s="158">
        <v>8</v>
      </c>
      <c r="E723" s="158">
        <v>0</v>
      </c>
      <c r="F723" s="158">
        <v>0</v>
      </c>
      <c r="G723" s="158">
        <v>0</v>
      </c>
      <c r="H723" s="158">
        <v>0</v>
      </c>
      <c r="I723" s="158">
        <v>0</v>
      </c>
      <c r="J723" s="158">
        <v>0</v>
      </c>
      <c r="K723" s="158">
        <v>0</v>
      </c>
      <c r="L723" s="158">
        <v>0</v>
      </c>
      <c r="M723" s="154">
        <f t="shared" si="107"/>
        <v>0</v>
      </c>
      <c r="N723" s="155">
        <f t="shared" si="108"/>
        <v>8</v>
      </c>
      <c r="O723" s="168">
        <f t="shared" ref="O723:O733" si="110">M723/31</f>
        <v>0</v>
      </c>
      <c r="P723" s="157">
        <f t="shared" ref="P723:P733" si="111">N723/31</f>
        <v>0.25806451612903225</v>
      </c>
    </row>
    <row r="724" spans="1:16" ht="13.5" customHeight="1">
      <c r="A724" s="474"/>
      <c r="B724" s="127">
        <v>8</v>
      </c>
      <c r="C724" s="158">
        <v>7</v>
      </c>
      <c r="D724" s="158">
        <v>10</v>
      </c>
      <c r="E724" s="158">
        <v>0</v>
      </c>
      <c r="F724" s="158">
        <v>0</v>
      </c>
      <c r="G724" s="158">
        <v>0</v>
      </c>
      <c r="H724" s="158">
        <v>0</v>
      </c>
      <c r="I724" s="158">
        <v>0</v>
      </c>
      <c r="J724" s="158">
        <v>0</v>
      </c>
      <c r="K724" s="158">
        <v>0</v>
      </c>
      <c r="L724" s="159">
        <v>0</v>
      </c>
      <c r="M724" s="177">
        <f t="shared" si="107"/>
        <v>7</v>
      </c>
      <c r="N724" s="158">
        <f t="shared" si="108"/>
        <v>10</v>
      </c>
      <c r="O724" s="168">
        <f t="shared" si="110"/>
        <v>0.22580645161290322</v>
      </c>
      <c r="P724" s="157">
        <f t="shared" si="111"/>
        <v>0.32258064516129031</v>
      </c>
    </row>
    <row r="725" spans="1:16" ht="13.5" customHeight="1">
      <c r="A725" s="474"/>
      <c r="B725" s="127">
        <v>9</v>
      </c>
      <c r="C725" s="147">
        <v>4</v>
      </c>
      <c r="D725" s="147">
        <v>5</v>
      </c>
      <c r="E725" s="147">
        <v>0</v>
      </c>
      <c r="F725" s="147">
        <v>0</v>
      </c>
      <c r="G725" s="147">
        <v>0</v>
      </c>
      <c r="H725" s="147">
        <v>0</v>
      </c>
      <c r="I725" s="147">
        <v>0</v>
      </c>
      <c r="J725" s="147">
        <v>0</v>
      </c>
      <c r="K725" s="147">
        <v>0</v>
      </c>
      <c r="L725" s="148">
        <v>0</v>
      </c>
      <c r="M725" s="177">
        <f t="shared" si="107"/>
        <v>4</v>
      </c>
      <c r="N725" s="158">
        <f t="shared" si="108"/>
        <v>5</v>
      </c>
      <c r="O725" s="168">
        <f t="shared" si="110"/>
        <v>0.12903225806451613</v>
      </c>
      <c r="P725" s="157">
        <f t="shared" si="111"/>
        <v>0.16129032258064516</v>
      </c>
    </row>
    <row r="726" spans="1:16" ht="13.5" customHeight="1">
      <c r="A726" s="474"/>
      <c r="B726" s="127">
        <v>10</v>
      </c>
      <c r="C726" s="147">
        <v>2</v>
      </c>
      <c r="D726" s="147">
        <v>2</v>
      </c>
      <c r="E726" s="147">
        <v>0</v>
      </c>
      <c r="F726" s="181">
        <v>0</v>
      </c>
      <c r="G726" s="147">
        <v>0</v>
      </c>
      <c r="H726" s="147">
        <v>0</v>
      </c>
      <c r="I726" s="147">
        <v>0</v>
      </c>
      <c r="J726" s="147">
        <v>0</v>
      </c>
      <c r="K726" s="147">
        <v>0</v>
      </c>
      <c r="L726" s="148">
        <v>0</v>
      </c>
      <c r="M726" s="154">
        <f t="shared" si="107"/>
        <v>2</v>
      </c>
      <c r="N726" s="155">
        <f t="shared" si="108"/>
        <v>2</v>
      </c>
      <c r="O726" s="168">
        <f t="shared" si="110"/>
        <v>6.4516129032258063E-2</v>
      </c>
      <c r="P726" s="157">
        <f t="shared" si="111"/>
        <v>6.4516129032258063E-2</v>
      </c>
    </row>
    <row r="727" spans="1:16" ht="13.5" customHeight="1">
      <c r="A727" s="474"/>
      <c r="B727" s="127">
        <v>11</v>
      </c>
      <c r="C727" s="367">
        <v>2</v>
      </c>
      <c r="D727" s="367">
        <v>3</v>
      </c>
      <c r="E727" s="367">
        <v>0</v>
      </c>
      <c r="F727" s="367">
        <v>0</v>
      </c>
      <c r="G727" s="367">
        <v>0</v>
      </c>
      <c r="H727" s="367">
        <v>0</v>
      </c>
      <c r="I727" s="367">
        <v>0</v>
      </c>
      <c r="J727" s="367">
        <v>0</v>
      </c>
      <c r="K727" s="367">
        <v>0</v>
      </c>
      <c r="L727" s="368">
        <v>0</v>
      </c>
      <c r="M727" s="154">
        <f t="shared" si="107"/>
        <v>2</v>
      </c>
      <c r="N727" s="155">
        <f t="shared" si="108"/>
        <v>3</v>
      </c>
      <c r="O727" s="168">
        <f t="shared" si="110"/>
        <v>6.4516129032258063E-2</v>
      </c>
      <c r="P727" s="157">
        <f t="shared" si="111"/>
        <v>9.6774193548387094E-2</v>
      </c>
    </row>
    <row r="728" spans="1:16" ht="13.5" customHeight="1" thickBot="1">
      <c r="A728" s="475"/>
      <c r="B728" s="127">
        <v>12</v>
      </c>
      <c r="C728" s="187">
        <v>3</v>
      </c>
      <c r="D728" s="187">
        <v>1</v>
      </c>
      <c r="E728" s="187">
        <v>0</v>
      </c>
      <c r="F728" s="188">
        <v>0</v>
      </c>
      <c r="G728" s="187">
        <v>0</v>
      </c>
      <c r="H728" s="187">
        <v>0</v>
      </c>
      <c r="I728" s="187">
        <v>0</v>
      </c>
      <c r="J728" s="187">
        <v>0</v>
      </c>
      <c r="K728" s="187">
        <v>2</v>
      </c>
      <c r="L728" s="189">
        <v>6</v>
      </c>
      <c r="M728" s="190">
        <f t="shared" si="107"/>
        <v>5</v>
      </c>
      <c r="N728" s="191">
        <f t="shared" si="108"/>
        <v>7</v>
      </c>
      <c r="O728" s="192">
        <f t="shared" si="110"/>
        <v>0.16129032258064516</v>
      </c>
      <c r="P728" s="193">
        <f t="shared" si="111"/>
        <v>0.22580645161290322</v>
      </c>
    </row>
    <row r="729" spans="1:16" ht="13.5" customHeight="1">
      <c r="A729" s="473">
        <v>2018</v>
      </c>
      <c r="B729" s="410">
        <v>1</v>
      </c>
      <c r="C729" s="158">
        <v>5</v>
      </c>
      <c r="D729" s="158">
        <v>14</v>
      </c>
      <c r="E729" s="158">
        <v>0</v>
      </c>
      <c r="F729" s="169">
        <v>0</v>
      </c>
      <c r="G729" s="158">
        <v>0</v>
      </c>
      <c r="H729" s="158">
        <v>0</v>
      </c>
      <c r="I729" s="158">
        <v>0</v>
      </c>
      <c r="J729" s="158">
        <v>0</v>
      </c>
      <c r="K729" s="158">
        <v>0</v>
      </c>
      <c r="L729" s="159">
        <v>0</v>
      </c>
      <c r="M729" s="424">
        <f t="shared" si="107"/>
        <v>5</v>
      </c>
      <c r="N729" s="425">
        <f t="shared" si="108"/>
        <v>14</v>
      </c>
      <c r="O729" s="430">
        <f t="shared" si="110"/>
        <v>0.16129032258064516</v>
      </c>
      <c r="P729" s="427">
        <f t="shared" si="111"/>
        <v>0.45161290322580644</v>
      </c>
    </row>
    <row r="730" spans="1:16" ht="13.5" customHeight="1">
      <c r="A730" s="474"/>
      <c r="B730" s="127">
        <v>2</v>
      </c>
      <c r="C730" s="158">
        <v>6</v>
      </c>
      <c r="D730" s="158">
        <v>5</v>
      </c>
      <c r="E730" s="158">
        <v>0</v>
      </c>
      <c r="F730" s="169">
        <v>0</v>
      </c>
      <c r="G730" s="158">
        <v>0</v>
      </c>
      <c r="H730" s="158">
        <v>0</v>
      </c>
      <c r="I730" s="158">
        <v>0</v>
      </c>
      <c r="J730" s="158">
        <v>0</v>
      </c>
      <c r="K730" s="158">
        <v>0</v>
      </c>
      <c r="L730" s="159">
        <v>0</v>
      </c>
      <c r="M730" s="154">
        <f t="shared" si="107"/>
        <v>6</v>
      </c>
      <c r="N730" s="155">
        <f t="shared" si="108"/>
        <v>5</v>
      </c>
      <c r="O730" s="168">
        <f t="shared" si="110"/>
        <v>0.19354838709677419</v>
      </c>
      <c r="P730" s="157">
        <f t="shared" si="111"/>
        <v>0.16129032258064516</v>
      </c>
    </row>
    <row r="731" spans="1:16" ht="13.5" customHeight="1">
      <c r="A731" s="474"/>
      <c r="B731" s="127">
        <v>3</v>
      </c>
      <c r="C731" s="158">
        <v>4</v>
      </c>
      <c r="D731" s="158">
        <v>3</v>
      </c>
      <c r="E731" s="158">
        <v>0</v>
      </c>
      <c r="F731" s="169">
        <v>0</v>
      </c>
      <c r="G731" s="158">
        <v>4</v>
      </c>
      <c r="H731" s="158">
        <v>0</v>
      </c>
      <c r="I731" s="158">
        <v>2</v>
      </c>
      <c r="J731" s="158">
        <v>0</v>
      </c>
      <c r="K731" s="158">
        <v>0</v>
      </c>
      <c r="L731" s="159">
        <v>0</v>
      </c>
      <c r="M731" s="154">
        <f t="shared" si="107"/>
        <v>10</v>
      </c>
      <c r="N731" s="155">
        <f t="shared" si="108"/>
        <v>3</v>
      </c>
      <c r="O731" s="168">
        <f t="shared" si="110"/>
        <v>0.32258064516129031</v>
      </c>
      <c r="P731" s="157">
        <f t="shared" si="111"/>
        <v>9.6774193548387094E-2</v>
      </c>
    </row>
    <row r="732" spans="1:16" ht="13.5" customHeight="1">
      <c r="A732" s="474"/>
      <c r="B732" s="127">
        <v>4</v>
      </c>
      <c r="C732" s="158">
        <v>9</v>
      </c>
      <c r="D732" s="158">
        <v>17</v>
      </c>
      <c r="E732" s="158">
        <v>0</v>
      </c>
      <c r="F732" s="169">
        <v>0</v>
      </c>
      <c r="G732" s="158">
        <v>0</v>
      </c>
      <c r="H732" s="158">
        <v>8</v>
      </c>
      <c r="I732" s="158">
        <v>0</v>
      </c>
      <c r="J732" s="158">
        <v>4</v>
      </c>
      <c r="K732" s="158">
        <v>0</v>
      </c>
      <c r="L732" s="159">
        <v>0</v>
      </c>
      <c r="M732" s="154">
        <f t="shared" si="107"/>
        <v>9</v>
      </c>
      <c r="N732" s="155">
        <f t="shared" si="108"/>
        <v>29</v>
      </c>
      <c r="O732" s="168">
        <f t="shared" si="110"/>
        <v>0.29032258064516131</v>
      </c>
      <c r="P732" s="157">
        <f t="shared" si="111"/>
        <v>0.93548387096774188</v>
      </c>
    </row>
    <row r="733" spans="1:16" ht="13.5" customHeight="1">
      <c r="A733" s="474"/>
      <c r="B733" s="127">
        <v>5</v>
      </c>
      <c r="C733" s="158">
        <v>6</v>
      </c>
      <c r="D733" s="158">
        <v>7</v>
      </c>
      <c r="E733" s="158">
        <v>0</v>
      </c>
      <c r="F733" s="158">
        <v>0</v>
      </c>
      <c r="G733" s="158">
        <v>0</v>
      </c>
      <c r="H733" s="158">
        <v>0</v>
      </c>
      <c r="I733" s="158">
        <v>0</v>
      </c>
      <c r="J733" s="158">
        <v>0</v>
      </c>
      <c r="K733" s="158">
        <v>0</v>
      </c>
      <c r="L733" s="159">
        <v>0</v>
      </c>
      <c r="M733" s="154">
        <f t="shared" si="107"/>
        <v>6</v>
      </c>
      <c r="N733" s="155">
        <f t="shared" si="108"/>
        <v>7</v>
      </c>
      <c r="O733" s="168">
        <f t="shared" si="110"/>
        <v>0.19354838709677419</v>
      </c>
      <c r="P733" s="157">
        <f t="shared" si="111"/>
        <v>0.22580645161290322</v>
      </c>
    </row>
    <row r="734" spans="1:16" ht="13.5" customHeight="1">
      <c r="A734" s="474"/>
      <c r="B734" s="127">
        <v>6</v>
      </c>
      <c r="C734" s="158">
        <v>9</v>
      </c>
      <c r="D734" s="158">
        <v>11</v>
      </c>
      <c r="E734" s="158">
        <v>0</v>
      </c>
      <c r="F734" s="158">
        <v>0</v>
      </c>
      <c r="G734" s="158">
        <v>0</v>
      </c>
      <c r="H734" s="158">
        <v>0</v>
      </c>
      <c r="I734" s="158">
        <v>0</v>
      </c>
      <c r="J734" s="158">
        <v>0</v>
      </c>
      <c r="K734" s="158">
        <v>0</v>
      </c>
      <c r="L734" s="158">
        <v>0</v>
      </c>
      <c r="M734" s="154">
        <f t="shared" si="107"/>
        <v>9</v>
      </c>
      <c r="N734" s="155">
        <f t="shared" si="108"/>
        <v>11</v>
      </c>
      <c r="O734" s="168">
        <f>M734/30</f>
        <v>0.3</v>
      </c>
      <c r="P734" s="157">
        <f>N734/30</f>
        <v>0.36666666666666664</v>
      </c>
    </row>
    <row r="735" spans="1:16" ht="13.5" customHeight="1">
      <c r="A735" s="474"/>
      <c r="B735" s="127">
        <v>7</v>
      </c>
      <c r="C735" s="158">
        <v>16</v>
      </c>
      <c r="D735" s="158">
        <v>16</v>
      </c>
      <c r="E735" s="158">
        <v>0</v>
      </c>
      <c r="F735" s="158">
        <v>0</v>
      </c>
      <c r="G735" s="158">
        <v>3</v>
      </c>
      <c r="H735" s="158">
        <v>1</v>
      </c>
      <c r="I735" s="158">
        <v>0</v>
      </c>
      <c r="J735" s="158">
        <v>0</v>
      </c>
      <c r="K735" s="158">
        <v>0</v>
      </c>
      <c r="L735" s="158">
        <v>0</v>
      </c>
      <c r="M735" s="154">
        <f t="shared" si="107"/>
        <v>19</v>
      </c>
      <c r="N735" s="155">
        <f t="shared" si="108"/>
        <v>17</v>
      </c>
      <c r="O735" s="168">
        <f t="shared" ref="O735:P757" si="112">M735/31</f>
        <v>0.61290322580645162</v>
      </c>
      <c r="P735" s="157">
        <f t="shared" si="112"/>
        <v>0.54838709677419351</v>
      </c>
    </row>
    <row r="736" spans="1:16" ht="13.5" customHeight="1">
      <c r="A736" s="474"/>
      <c r="B736" s="127">
        <v>8</v>
      </c>
      <c r="C736" s="158">
        <v>12</v>
      </c>
      <c r="D736" s="158">
        <v>21</v>
      </c>
      <c r="E736" s="158">
        <v>0</v>
      </c>
      <c r="F736" s="158">
        <v>0</v>
      </c>
      <c r="G736" s="158">
        <v>2</v>
      </c>
      <c r="H736" s="158">
        <v>6</v>
      </c>
      <c r="I736" s="158">
        <v>0</v>
      </c>
      <c r="J736" s="158">
        <v>0</v>
      </c>
      <c r="K736" s="158">
        <v>0</v>
      </c>
      <c r="L736" s="159">
        <v>0</v>
      </c>
      <c r="M736" s="177">
        <f t="shared" si="107"/>
        <v>14</v>
      </c>
      <c r="N736" s="158">
        <f t="shared" si="108"/>
        <v>27</v>
      </c>
      <c r="O736" s="168">
        <f t="shared" si="112"/>
        <v>0.45161290322580644</v>
      </c>
      <c r="P736" s="157">
        <f t="shared" si="112"/>
        <v>0.87096774193548387</v>
      </c>
    </row>
    <row r="737" spans="1:16" ht="13.5" customHeight="1">
      <c r="A737" s="474"/>
      <c r="B737" s="127">
        <v>9</v>
      </c>
      <c r="C737" s="147">
        <v>10</v>
      </c>
      <c r="D737" s="147">
        <v>6</v>
      </c>
      <c r="E737" s="147">
        <v>2</v>
      </c>
      <c r="F737" s="147">
        <v>0</v>
      </c>
      <c r="G737" s="147">
        <v>2</v>
      </c>
      <c r="H737" s="147">
        <v>4</v>
      </c>
      <c r="I737" s="147">
        <v>0</v>
      </c>
      <c r="J737" s="147">
        <v>0</v>
      </c>
      <c r="K737" s="147">
        <v>0</v>
      </c>
      <c r="L737" s="148">
        <v>0</v>
      </c>
      <c r="M737" s="177">
        <f t="shared" si="107"/>
        <v>14</v>
      </c>
      <c r="N737" s="158">
        <f t="shared" si="108"/>
        <v>10</v>
      </c>
      <c r="O737" s="168">
        <f t="shared" si="112"/>
        <v>0.45161290322580644</v>
      </c>
      <c r="P737" s="157">
        <f t="shared" si="112"/>
        <v>0.32258064516129031</v>
      </c>
    </row>
    <row r="738" spans="1:16" ht="13.5" customHeight="1">
      <c r="A738" s="474"/>
      <c r="B738" s="127">
        <v>10</v>
      </c>
      <c r="C738" s="147">
        <v>13</v>
      </c>
      <c r="D738" s="147">
        <v>21</v>
      </c>
      <c r="E738" s="147">
        <v>5</v>
      </c>
      <c r="F738" s="181">
        <v>24</v>
      </c>
      <c r="G738" s="147">
        <v>3</v>
      </c>
      <c r="H738" s="147">
        <v>6</v>
      </c>
      <c r="I738" s="147">
        <v>0</v>
      </c>
      <c r="J738" s="147">
        <v>0</v>
      </c>
      <c r="K738" s="147">
        <v>0</v>
      </c>
      <c r="L738" s="148">
        <v>0</v>
      </c>
      <c r="M738" s="154">
        <f t="shared" si="107"/>
        <v>21</v>
      </c>
      <c r="N738" s="155">
        <f t="shared" si="108"/>
        <v>51</v>
      </c>
      <c r="O738" s="168">
        <f t="shared" si="112"/>
        <v>0.67741935483870963</v>
      </c>
      <c r="P738" s="157">
        <f t="shared" si="112"/>
        <v>1.6451612903225807</v>
      </c>
    </row>
    <row r="739" spans="1:16" ht="13.5" customHeight="1">
      <c r="A739" s="474"/>
      <c r="B739" s="127">
        <v>11</v>
      </c>
      <c r="C739" s="367">
        <v>9</v>
      </c>
      <c r="D739" s="367">
        <v>13</v>
      </c>
      <c r="E739" s="367">
        <v>2</v>
      </c>
      <c r="F739" s="367">
        <v>2</v>
      </c>
      <c r="G739" s="367">
        <v>0</v>
      </c>
      <c r="H739" s="367">
        <v>0</v>
      </c>
      <c r="I739" s="367">
        <v>0</v>
      </c>
      <c r="J739" s="367">
        <v>0</v>
      </c>
      <c r="K739" s="367">
        <v>0</v>
      </c>
      <c r="L739" s="368">
        <v>0</v>
      </c>
      <c r="M739" s="154">
        <f t="shared" si="107"/>
        <v>11</v>
      </c>
      <c r="N739" s="155">
        <f t="shared" si="108"/>
        <v>15</v>
      </c>
      <c r="O739" s="168">
        <f t="shared" si="112"/>
        <v>0.35483870967741937</v>
      </c>
      <c r="P739" s="157">
        <f t="shared" si="112"/>
        <v>0.4838709677419355</v>
      </c>
    </row>
    <row r="740" spans="1:16" ht="13.5" customHeight="1" thickBot="1">
      <c r="A740" s="475"/>
      <c r="B740" s="127">
        <v>12</v>
      </c>
      <c r="C740" s="187">
        <v>8</v>
      </c>
      <c r="D740" s="187">
        <v>9</v>
      </c>
      <c r="E740" s="187">
        <v>0</v>
      </c>
      <c r="F740" s="188">
        <v>0</v>
      </c>
      <c r="G740" s="187">
        <v>2</v>
      </c>
      <c r="H740" s="187">
        <v>2</v>
      </c>
      <c r="I740" s="187">
        <v>0</v>
      </c>
      <c r="J740" s="187">
        <v>0</v>
      </c>
      <c r="K740" s="187">
        <v>0</v>
      </c>
      <c r="L740" s="189">
        <v>0</v>
      </c>
      <c r="M740" s="190">
        <f t="shared" si="107"/>
        <v>10</v>
      </c>
      <c r="N740" s="191">
        <f t="shared" si="108"/>
        <v>11</v>
      </c>
      <c r="O740" s="192">
        <f t="shared" si="112"/>
        <v>0.32258064516129031</v>
      </c>
      <c r="P740" s="193">
        <f t="shared" si="112"/>
        <v>0.35483870967741937</v>
      </c>
    </row>
    <row r="741" spans="1:16" ht="13.5" customHeight="1">
      <c r="A741" s="473">
        <v>2019</v>
      </c>
      <c r="B741" s="410">
        <v>1</v>
      </c>
      <c r="C741" s="158">
        <v>12</v>
      </c>
      <c r="D741" s="158">
        <v>23</v>
      </c>
      <c r="E741" s="158">
        <v>0</v>
      </c>
      <c r="F741" s="169">
        <v>0</v>
      </c>
      <c r="G741" s="158">
        <v>0</v>
      </c>
      <c r="H741" s="158">
        <v>0</v>
      </c>
      <c r="I741" s="158">
        <v>1</v>
      </c>
      <c r="J741" s="158">
        <v>2</v>
      </c>
      <c r="K741" s="158">
        <v>0</v>
      </c>
      <c r="L741" s="159">
        <v>0</v>
      </c>
      <c r="M741" s="424">
        <f t="shared" si="107"/>
        <v>13</v>
      </c>
      <c r="N741" s="425">
        <f t="shared" si="108"/>
        <v>25</v>
      </c>
      <c r="O741" s="430">
        <f t="shared" ref="O741:O745" si="113">M741/31</f>
        <v>0.41935483870967744</v>
      </c>
      <c r="P741" s="427">
        <f t="shared" ref="P741:P745" si="114">N741/31</f>
        <v>0.80645161290322576</v>
      </c>
    </row>
    <row r="742" spans="1:16" ht="13.5" customHeight="1">
      <c r="A742" s="474"/>
      <c r="B742" s="127">
        <v>2</v>
      </c>
      <c r="C742" s="158">
        <v>4</v>
      </c>
      <c r="D742" s="158">
        <v>11</v>
      </c>
      <c r="E742" s="158">
        <v>0</v>
      </c>
      <c r="F742" s="169">
        <v>0</v>
      </c>
      <c r="G742" s="158">
        <v>2</v>
      </c>
      <c r="H742" s="158">
        <v>0</v>
      </c>
      <c r="I742" s="158">
        <v>0</v>
      </c>
      <c r="J742" s="158">
        <v>0</v>
      </c>
      <c r="K742" s="158">
        <v>0</v>
      </c>
      <c r="L742" s="159">
        <v>0</v>
      </c>
      <c r="M742" s="154">
        <f t="shared" si="107"/>
        <v>6</v>
      </c>
      <c r="N742" s="155">
        <f t="shared" si="108"/>
        <v>11</v>
      </c>
      <c r="O742" s="168">
        <f t="shared" si="113"/>
        <v>0.19354838709677419</v>
      </c>
      <c r="P742" s="157">
        <f t="shared" si="114"/>
        <v>0.35483870967741937</v>
      </c>
    </row>
    <row r="743" spans="1:16" ht="13.5" customHeight="1">
      <c r="A743" s="474"/>
      <c r="B743" s="127">
        <v>3</v>
      </c>
      <c r="C743" s="158">
        <v>15</v>
      </c>
      <c r="D743" s="158">
        <v>10</v>
      </c>
      <c r="E743" s="158">
        <v>4</v>
      </c>
      <c r="F743" s="169">
        <v>6</v>
      </c>
      <c r="G743" s="158">
        <v>2</v>
      </c>
      <c r="H743" s="158">
        <v>0</v>
      </c>
      <c r="I743" s="158">
        <v>2</v>
      </c>
      <c r="J743" s="158">
        <v>0</v>
      </c>
      <c r="K743" s="158">
        <v>0</v>
      </c>
      <c r="L743" s="159">
        <v>0</v>
      </c>
      <c r="M743" s="154">
        <f t="shared" si="107"/>
        <v>23</v>
      </c>
      <c r="N743" s="155">
        <f t="shared" si="108"/>
        <v>16</v>
      </c>
      <c r="O743" s="168">
        <f t="shared" si="113"/>
        <v>0.74193548387096775</v>
      </c>
      <c r="P743" s="157">
        <f t="shared" si="114"/>
        <v>0.5161290322580645</v>
      </c>
    </row>
    <row r="744" spans="1:16" ht="13.5" customHeight="1">
      <c r="A744" s="474"/>
      <c r="B744" s="127">
        <v>4</v>
      </c>
      <c r="C744" s="158">
        <v>10</v>
      </c>
      <c r="D744" s="158">
        <v>31</v>
      </c>
      <c r="E744" s="158">
        <v>0</v>
      </c>
      <c r="F744" s="169">
        <v>0</v>
      </c>
      <c r="G744" s="158">
        <v>1</v>
      </c>
      <c r="H744" s="158">
        <v>1</v>
      </c>
      <c r="I744" s="158">
        <v>1</v>
      </c>
      <c r="J744" s="158">
        <v>6</v>
      </c>
      <c r="K744" s="158">
        <v>1</v>
      </c>
      <c r="L744" s="159">
        <v>3</v>
      </c>
      <c r="M744" s="154">
        <f t="shared" si="107"/>
        <v>13</v>
      </c>
      <c r="N744" s="155">
        <f t="shared" si="108"/>
        <v>41</v>
      </c>
      <c r="O744" s="168">
        <f t="shared" si="113"/>
        <v>0.41935483870967744</v>
      </c>
      <c r="P744" s="157">
        <f t="shared" si="114"/>
        <v>1.3225806451612903</v>
      </c>
    </row>
    <row r="745" spans="1:16" ht="13.5" customHeight="1">
      <c r="A745" s="474"/>
      <c r="B745" s="127">
        <v>5</v>
      </c>
      <c r="C745" s="158">
        <v>9</v>
      </c>
      <c r="D745" s="158">
        <v>11</v>
      </c>
      <c r="E745" s="158">
        <v>0</v>
      </c>
      <c r="F745" s="158">
        <v>0</v>
      </c>
      <c r="G745" s="158">
        <v>0</v>
      </c>
      <c r="H745" s="158">
        <v>0</v>
      </c>
      <c r="I745" s="158">
        <v>0</v>
      </c>
      <c r="J745" s="158">
        <v>0</v>
      </c>
      <c r="K745" s="158">
        <v>0</v>
      </c>
      <c r="L745" s="159">
        <v>0</v>
      </c>
      <c r="M745" s="154">
        <f t="shared" si="107"/>
        <v>9</v>
      </c>
      <c r="N745" s="155">
        <f t="shared" si="108"/>
        <v>11</v>
      </c>
      <c r="O745" s="168">
        <f t="shared" si="113"/>
        <v>0.29032258064516131</v>
      </c>
      <c r="P745" s="157">
        <f t="shared" si="114"/>
        <v>0.35483870967741937</v>
      </c>
    </row>
    <row r="746" spans="1:16" ht="13.5" customHeight="1">
      <c r="A746" s="474"/>
      <c r="B746" s="127">
        <v>6</v>
      </c>
      <c r="C746" s="158">
        <v>15</v>
      </c>
      <c r="D746" s="158">
        <v>22</v>
      </c>
      <c r="E746" s="158">
        <v>0</v>
      </c>
      <c r="F746" s="158">
        <v>0</v>
      </c>
      <c r="G746" s="158">
        <v>0</v>
      </c>
      <c r="H746" s="158">
        <v>7</v>
      </c>
      <c r="I746" s="158">
        <v>1</v>
      </c>
      <c r="J746" s="158">
        <v>0</v>
      </c>
      <c r="K746" s="158">
        <v>0</v>
      </c>
      <c r="L746" s="158">
        <v>0</v>
      </c>
      <c r="M746" s="154">
        <f t="shared" si="107"/>
        <v>16</v>
      </c>
      <c r="N746" s="155">
        <f t="shared" si="108"/>
        <v>29</v>
      </c>
      <c r="O746" s="168">
        <f>M746/30</f>
        <v>0.53333333333333333</v>
      </c>
      <c r="P746" s="157">
        <f>N746/30</f>
        <v>0.96666666666666667</v>
      </c>
    </row>
    <row r="747" spans="1:16" ht="13.5" customHeight="1">
      <c r="A747" s="474"/>
      <c r="B747" s="127">
        <v>7</v>
      </c>
      <c r="C747" s="158">
        <v>23</v>
      </c>
      <c r="D747" s="158">
        <v>27</v>
      </c>
      <c r="E747" s="158">
        <v>3</v>
      </c>
      <c r="F747" s="158">
        <v>3</v>
      </c>
      <c r="G747" s="158">
        <v>0</v>
      </c>
      <c r="H747" s="158">
        <v>0</v>
      </c>
      <c r="I747" s="158">
        <v>1</v>
      </c>
      <c r="J747" s="158">
        <v>2</v>
      </c>
      <c r="K747" s="158">
        <v>0</v>
      </c>
      <c r="L747" s="158">
        <v>0</v>
      </c>
      <c r="M747" s="154">
        <f t="shared" si="107"/>
        <v>27</v>
      </c>
      <c r="N747" s="155">
        <f t="shared" si="108"/>
        <v>32</v>
      </c>
      <c r="O747" s="168">
        <f t="shared" ref="O747:O748" si="115">M747/31</f>
        <v>0.87096774193548387</v>
      </c>
      <c r="P747" s="157">
        <f t="shared" ref="P747:P748" si="116">N747/31</f>
        <v>1.032258064516129</v>
      </c>
    </row>
    <row r="748" spans="1:16" ht="13.5" customHeight="1">
      <c r="A748" s="474"/>
      <c r="B748" s="127">
        <v>8</v>
      </c>
      <c r="C748" s="158">
        <v>19</v>
      </c>
      <c r="D748" s="158">
        <v>37</v>
      </c>
      <c r="E748" s="158">
        <v>0</v>
      </c>
      <c r="F748" s="158">
        <v>0</v>
      </c>
      <c r="G748" s="158">
        <v>1</v>
      </c>
      <c r="H748" s="158">
        <v>3</v>
      </c>
      <c r="I748" s="158">
        <v>2</v>
      </c>
      <c r="J748" s="158">
        <v>4</v>
      </c>
      <c r="K748" s="158">
        <v>0</v>
      </c>
      <c r="L748" s="159">
        <v>0</v>
      </c>
      <c r="M748" s="177">
        <f t="shared" si="107"/>
        <v>22</v>
      </c>
      <c r="N748" s="158">
        <f t="shared" si="108"/>
        <v>44</v>
      </c>
      <c r="O748" s="168">
        <f t="shared" si="115"/>
        <v>0.70967741935483875</v>
      </c>
      <c r="P748" s="157">
        <f t="shared" si="116"/>
        <v>1.4193548387096775</v>
      </c>
    </row>
    <row r="749" spans="1:16" ht="13.5" customHeight="1">
      <c r="A749" s="474"/>
      <c r="B749" s="127">
        <v>9</v>
      </c>
      <c r="C749" s="147">
        <v>13</v>
      </c>
      <c r="D749" s="147">
        <v>20</v>
      </c>
      <c r="E749" s="147">
        <v>2</v>
      </c>
      <c r="F749" s="147">
        <v>2</v>
      </c>
      <c r="G749" s="147">
        <v>4</v>
      </c>
      <c r="H749" s="147">
        <v>5</v>
      </c>
      <c r="I749" s="147">
        <v>0</v>
      </c>
      <c r="J749" s="147">
        <v>0</v>
      </c>
      <c r="K749" s="147">
        <v>0</v>
      </c>
      <c r="L749" s="148">
        <v>0</v>
      </c>
      <c r="M749" s="177">
        <v>19</v>
      </c>
      <c r="N749" s="158">
        <v>27</v>
      </c>
      <c r="O749" s="168">
        <v>0.61290322580645162</v>
      </c>
      <c r="P749" s="157">
        <v>0.87096774193548387</v>
      </c>
    </row>
    <row r="750" spans="1:16" ht="13.5" customHeight="1">
      <c r="A750" s="474"/>
      <c r="B750" s="127">
        <v>10</v>
      </c>
      <c r="C750" s="147">
        <v>32</v>
      </c>
      <c r="D750" s="147">
        <v>37</v>
      </c>
      <c r="E750" s="147">
        <v>0</v>
      </c>
      <c r="F750" s="181">
        <v>0</v>
      </c>
      <c r="G750" s="147">
        <v>3</v>
      </c>
      <c r="H750" s="147">
        <v>4</v>
      </c>
      <c r="I750" s="147">
        <v>0</v>
      </c>
      <c r="J750" s="147">
        <v>0</v>
      </c>
      <c r="K750" s="147">
        <v>2</v>
      </c>
      <c r="L750" s="148">
        <v>2</v>
      </c>
      <c r="M750" s="154">
        <f t="shared" ref="M750:M752" si="117">+C750+E750+G750+I750+K750</f>
        <v>37</v>
      </c>
      <c r="N750" s="155">
        <f t="shared" ref="N750:N752" si="118">+D750+F750+H750+J750+L750</f>
        <v>43</v>
      </c>
      <c r="O750" s="168">
        <f t="shared" ref="O750:O752" si="119">M750/31</f>
        <v>1.1935483870967742</v>
      </c>
      <c r="P750" s="157">
        <f t="shared" ref="P750:P752" si="120">N750/31</f>
        <v>1.3870967741935485</v>
      </c>
    </row>
    <row r="751" spans="1:16" ht="13.5" customHeight="1">
      <c r="A751" s="474"/>
      <c r="B751" s="127">
        <v>11</v>
      </c>
      <c r="C751" s="367">
        <v>22</v>
      </c>
      <c r="D751" s="367">
        <v>24</v>
      </c>
      <c r="E751" s="367">
        <v>0</v>
      </c>
      <c r="F751" s="367">
        <v>0</v>
      </c>
      <c r="G751" s="367">
        <v>0</v>
      </c>
      <c r="H751" s="367">
        <v>2</v>
      </c>
      <c r="I751" s="367">
        <v>1</v>
      </c>
      <c r="J751" s="367">
        <v>1</v>
      </c>
      <c r="K751" s="367">
        <v>0</v>
      </c>
      <c r="L751" s="368">
        <v>0</v>
      </c>
      <c r="M751" s="154">
        <f t="shared" si="117"/>
        <v>23</v>
      </c>
      <c r="N751" s="155">
        <f t="shared" si="118"/>
        <v>27</v>
      </c>
      <c r="O751" s="168">
        <f t="shared" si="119"/>
        <v>0.74193548387096775</v>
      </c>
      <c r="P751" s="157">
        <f t="shared" si="120"/>
        <v>0.87096774193548387</v>
      </c>
    </row>
    <row r="752" spans="1:16" ht="13.5" customHeight="1" thickBot="1">
      <c r="A752" s="475"/>
      <c r="B752" s="127">
        <v>12</v>
      </c>
      <c r="C752" s="374">
        <v>12</v>
      </c>
      <c r="D752" s="374">
        <v>54</v>
      </c>
      <c r="E752" s="374">
        <v>0</v>
      </c>
      <c r="F752" s="374">
        <v>0</v>
      </c>
      <c r="G752" s="374">
        <v>3</v>
      </c>
      <c r="H752" s="374">
        <v>19</v>
      </c>
      <c r="I752" s="374">
        <v>0</v>
      </c>
      <c r="J752" s="374">
        <v>0</v>
      </c>
      <c r="K752" s="374">
        <v>0</v>
      </c>
      <c r="L752" s="375">
        <v>0</v>
      </c>
      <c r="M752" s="190">
        <f t="shared" si="117"/>
        <v>15</v>
      </c>
      <c r="N752" s="155">
        <f t="shared" si="118"/>
        <v>73</v>
      </c>
      <c r="O752" s="168">
        <f t="shared" si="119"/>
        <v>0.4838709677419355</v>
      </c>
      <c r="P752" s="157">
        <f t="shared" si="120"/>
        <v>2.3548387096774195</v>
      </c>
    </row>
    <row r="753" spans="1:16" ht="13.5" customHeight="1">
      <c r="A753" s="473">
        <v>2020</v>
      </c>
      <c r="B753" s="410">
        <v>1</v>
      </c>
      <c r="C753" s="434">
        <v>9</v>
      </c>
      <c r="D753" s="434">
        <v>18</v>
      </c>
      <c r="E753" s="434">
        <v>3</v>
      </c>
      <c r="F753" s="435">
        <v>2</v>
      </c>
      <c r="G753" s="434">
        <v>1</v>
      </c>
      <c r="H753" s="434">
        <v>5</v>
      </c>
      <c r="I753" s="434">
        <v>0</v>
      </c>
      <c r="J753" s="434">
        <v>0</v>
      </c>
      <c r="K753" s="434">
        <v>0</v>
      </c>
      <c r="L753" s="436">
        <v>0</v>
      </c>
      <c r="M753" s="433">
        <f t="shared" ref="M753:M764" si="121">+C753+E753+G753+I753+K753</f>
        <v>13</v>
      </c>
      <c r="N753" s="425">
        <f t="shared" ref="N753:N764" si="122">+D753+F753+H753+J753+L753</f>
        <v>25</v>
      </c>
      <c r="O753" s="430">
        <f t="shared" si="112"/>
        <v>0.41935483870967744</v>
      </c>
      <c r="P753" s="427">
        <f t="shared" si="112"/>
        <v>0.80645161290322576</v>
      </c>
    </row>
    <row r="754" spans="1:16" ht="13.5" customHeight="1">
      <c r="A754" s="474"/>
      <c r="B754" s="127">
        <v>2</v>
      </c>
      <c r="C754" s="147">
        <v>6</v>
      </c>
      <c r="D754" s="147">
        <v>6</v>
      </c>
      <c r="E754" s="147">
        <v>1</v>
      </c>
      <c r="F754" s="181">
        <v>2</v>
      </c>
      <c r="G754" s="147">
        <v>0</v>
      </c>
      <c r="H754" s="147">
        <v>0</v>
      </c>
      <c r="I754" s="147">
        <v>0</v>
      </c>
      <c r="J754" s="147">
        <v>0</v>
      </c>
      <c r="K754" s="147">
        <v>0</v>
      </c>
      <c r="L754" s="148">
        <v>0</v>
      </c>
      <c r="M754" s="154">
        <f t="shared" si="121"/>
        <v>7</v>
      </c>
      <c r="N754" s="155">
        <f t="shared" si="122"/>
        <v>8</v>
      </c>
      <c r="O754" s="168">
        <f t="shared" si="112"/>
        <v>0.22580645161290322</v>
      </c>
      <c r="P754" s="157">
        <f t="shared" si="112"/>
        <v>0.25806451612903225</v>
      </c>
    </row>
    <row r="755" spans="1:16" ht="13.5" customHeight="1">
      <c r="A755" s="474"/>
      <c r="B755" s="127">
        <v>3</v>
      </c>
      <c r="C755" s="147">
        <v>0</v>
      </c>
      <c r="D755" s="147">
        <v>0</v>
      </c>
      <c r="E755" s="147">
        <v>0</v>
      </c>
      <c r="F755" s="181">
        <v>0</v>
      </c>
      <c r="G755" s="147">
        <v>0</v>
      </c>
      <c r="H755" s="147">
        <v>0</v>
      </c>
      <c r="I755" s="147">
        <v>0</v>
      </c>
      <c r="J755" s="147">
        <v>0</v>
      </c>
      <c r="K755" s="147">
        <v>0</v>
      </c>
      <c r="L755" s="148">
        <v>0</v>
      </c>
      <c r="M755" s="154">
        <f t="shared" si="121"/>
        <v>0</v>
      </c>
      <c r="N755" s="155">
        <f t="shared" si="122"/>
        <v>0</v>
      </c>
      <c r="O755" s="168">
        <f t="shared" si="112"/>
        <v>0</v>
      </c>
      <c r="P755" s="157">
        <f t="shared" si="112"/>
        <v>0</v>
      </c>
    </row>
    <row r="756" spans="1:16" ht="13.5" customHeight="1">
      <c r="A756" s="474"/>
      <c r="B756" s="127">
        <v>4</v>
      </c>
      <c r="C756" s="147">
        <v>0</v>
      </c>
      <c r="D756" s="147">
        <v>0</v>
      </c>
      <c r="E756" s="147">
        <v>0</v>
      </c>
      <c r="F756" s="181">
        <v>0</v>
      </c>
      <c r="G756" s="147">
        <v>0</v>
      </c>
      <c r="H756" s="147">
        <v>0</v>
      </c>
      <c r="I756" s="147">
        <v>0</v>
      </c>
      <c r="J756" s="147">
        <v>0</v>
      </c>
      <c r="K756" s="147">
        <v>0</v>
      </c>
      <c r="L756" s="148">
        <v>0</v>
      </c>
      <c r="M756" s="154">
        <f t="shared" si="121"/>
        <v>0</v>
      </c>
      <c r="N756" s="155">
        <f t="shared" si="122"/>
        <v>0</v>
      </c>
      <c r="O756" s="168">
        <f t="shared" si="112"/>
        <v>0</v>
      </c>
      <c r="P756" s="157">
        <f t="shared" si="112"/>
        <v>0</v>
      </c>
    </row>
    <row r="757" spans="1:16" ht="13.5" customHeight="1">
      <c r="A757" s="474"/>
      <c r="B757" s="127">
        <v>5</v>
      </c>
      <c r="C757" s="147">
        <v>0</v>
      </c>
      <c r="D757" s="147">
        <v>0</v>
      </c>
      <c r="E757" s="147">
        <v>0</v>
      </c>
      <c r="F757" s="181">
        <v>0</v>
      </c>
      <c r="G757" s="147">
        <v>0</v>
      </c>
      <c r="H757" s="147">
        <v>0</v>
      </c>
      <c r="I757" s="147">
        <v>0</v>
      </c>
      <c r="J757" s="147">
        <v>0</v>
      </c>
      <c r="K757" s="147">
        <v>0</v>
      </c>
      <c r="L757" s="148">
        <v>0</v>
      </c>
      <c r="M757" s="154">
        <f t="shared" si="121"/>
        <v>0</v>
      </c>
      <c r="N757" s="155">
        <f t="shared" si="122"/>
        <v>0</v>
      </c>
      <c r="O757" s="168">
        <f t="shared" si="112"/>
        <v>0</v>
      </c>
      <c r="P757" s="157">
        <f t="shared" si="112"/>
        <v>0</v>
      </c>
    </row>
    <row r="758" spans="1:16" ht="13.5" customHeight="1">
      <c r="A758" s="474"/>
      <c r="B758" s="127">
        <v>6</v>
      </c>
      <c r="C758" s="147">
        <f>集計用!C51</f>
        <v>1</v>
      </c>
      <c r="D758" s="147">
        <f>集計用!S51</f>
        <v>1</v>
      </c>
      <c r="E758" s="147">
        <f>集計用!E51</f>
        <v>0</v>
      </c>
      <c r="F758" s="181">
        <f>集計用!U51</f>
        <v>0</v>
      </c>
      <c r="G758" s="147">
        <f>集計用!G51</f>
        <v>0</v>
      </c>
      <c r="H758" s="147">
        <f>集計用!W51</f>
        <v>0</v>
      </c>
      <c r="I758" s="147">
        <f>集計用!I51</f>
        <v>0</v>
      </c>
      <c r="J758" s="147">
        <f>集計用!Y51</f>
        <v>0</v>
      </c>
      <c r="K758" s="147">
        <f>集計用!K51</f>
        <v>0</v>
      </c>
      <c r="L758" s="148">
        <f>集計用!AA51</f>
        <v>0</v>
      </c>
      <c r="M758" s="154">
        <f t="shared" si="121"/>
        <v>1</v>
      </c>
      <c r="N758" s="155">
        <f t="shared" si="122"/>
        <v>1</v>
      </c>
      <c r="O758" s="168">
        <f>M758/30</f>
        <v>3.3333333333333333E-2</v>
      </c>
      <c r="P758" s="157">
        <f>N758/30</f>
        <v>3.3333333333333333E-2</v>
      </c>
    </row>
    <row r="759" spans="1:16" ht="13.5" customHeight="1">
      <c r="A759" s="474"/>
      <c r="B759" s="127">
        <v>7</v>
      </c>
      <c r="C759" s="158"/>
      <c r="D759" s="158"/>
      <c r="E759" s="158"/>
      <c r="F759" s="158"/>
      <c r="G759" s="158"/>
      <c r="H759" s="158"/>
      <c r="I759" s="158"/>
      <c r="J759" s="158"/>
      <c r="K759" s="158"/>
      <c r="L759" s="158"/>
      <c r="M759" s="154">
        <f t="shared" si="121"/>
        <v>0</v>
      </c>
      <c r="N759" s="155">
        <f t="shared" si="122"/>
        <v>0</v>
      </c>
      <c r="O759" s="168">
        <f t="shared" ref="O759:O764" si="123">M759/31</f>
        <v>0</v>
      </c>
      <c r="P759" s="157">
        <f t="shared" ref="P759:P764" si="124">N759/31</f>
        <v>0</v>
      </c>
    </row>
    <row r="760" spans="1:16" ht="13.5" customHeight="1">
      <c r="A760" s="474"/>
      <c r="B760" s="127">
        <v>8</v>
      </c>
      <c r="C760" s="158"/>
      <c r="D760" s="158"/>
      <c r="E760" s="158"/>
      <c r="F760" s="158"/>
      <c r="G760" s="158"/>
      <c r="H760" s="158"/>
      <c r="I760" s="158"/>
      <c r="J760" s="158"/>
      <c r="K760" s="158"/>
      <c r="L760" s="159"/>
      <c r="M760" s="177">
        <f t="shared" si="121"/>
        <v>0</v>
      </c>
      <c r="N760" s="158">
        <f t="shared" si="122"/>
        <v>0</v>
      </c>
      <c r="O760" s="168">
        <f t="shared" si="123"/>
        <v>0</v>
      </c>
      <c r="P760" s="157">
        <f t="shared" si="124"/>
        <v>0</v>
      </c>
    </row>
    <row r="761" spans="1:16" ht="13.5" customHeight="1">
      <c r="A761" s="474"/>
      <c r="B761" s="127">
        <v>9</v>
      </c>
      <c r="C761" s="147"/>
      <c r="D761" s="147"/>
      <c r="E761" s="147"/>
      <c r="F761" s="147"/>
      <c r="G761" s="147"/>
      <c r="H761" s="147"/>
      <c r="I761" s="147"/>
      <c r="J761" s="147"/>
      <c r="K761" s="147"/>
      <c r="L761" s="148"/>
      <c r="M761" s="177">
        <f t="shared" ref="M761" si="125">+C761+E761+G761+I761+K761</f>
        <v>0</v>
      </c>
      <c r="N761" s="158">
        <f t="shared" ref="N761" si="126">+D761+F761+H761+J761+L761</f>
        <v>0</v>
      </c>
      <c r="O761" s="168">
        <f>M761/30</f>
        <v>0</v>
      </c>
      <c r="P761" s="157">
        <f>N761/30</f>
        <v>0</v>
      </c>
    </row>
    <row r="762" spans="1:16" ht="13.5" customHeight="1">
      <c r="A762" s="474"/>
      <c r="B762" s="127">
        <v>10</v>
      </c>
      <c r="C762" s="147"/>
      <c r="D762" s="147"/>
      <c r="E762" s="147"/>
      <c r="F762" s="181"/>
      <c r="G762" s="147"/>
      <c r="H762" s="147"/>
      <c r="I762" s="147"/>
      <c r="J762" s="147"/>
      <c r="K762" s="147"/>
      <c r="L762" s="148"/>
      <c r="M762" s="154">
        <f t="shared" ref="M762" si="127">+C762+E762+G762+I762+K762</f>
        <v>0</v>
      </c>
      <c r="N762" s="155">
        <f t="shared" ref="N762" si="128">+D762+F762+H762+J762+L762</f>
        <v>0</v>
      </c>
      <c r="O762" s="168">
        <f t="shared" ref="O762" si="129">M762/31</f>
        <v>0</v>
      </c>
      <c r="P762" s="157">
        <f t="shared" ref="P762" si="130">N762/31</f>
        <v>0</v>
      </c>
    </row>
    <row r="763" spans="1:16" ht="13.5" customHeight="1">
      <c r="A763" s="474"/>
      <c r="B763" s="127">
        <v>11</v>
      </c>
      <c r="C763" s="367"/>
      <c r="D763" s="367"/>
      <c r="E763" s="367"/>
      <c r="F763" s="367"/>
      <c r="G763" s="367"/>
      <c r="H763" s="367"/>
      <c r="I763" s="367"/>
      <c r="J763" s="367"/>
      <c r="K763" s="367"/>
      <c r="L763" s="368"/>
      <c r="M763" s="154">
        <f t="shared" si="121"/>
        <v>0</v>
      </c>
      <c r="N763" s="155">
        <f t="shared" si="122"/>
        <v>0</v>
      </c>
      <c r="O763" s="168">
        <f t="shared" si="123"/>
        <v>0</v>
      </c>
      <c r="P763" s="157">
        <f t="shared" si="124"/>
        <v>0</v>
      </c>
    </row>
    <row r="764" spans="1:16" ht="13.5" customHeight="1" thickBot="1">
      <c r="A764" s="475"/>
      <c r="B764" s="127">
        <v>12</v>
      </c>
      <c r="C764" s="187"/>
      <c r="D764" s="187"/>
      <c r="E764" s="187"/>
      <c r="F764" s="188"/>
      <c r="G764" s="187"/>
      <c r="H764" s="187"/>
      <c r="I764" s="187"/>
      <c r="J764" s="187"/>
      <c r="K764" s="187"/>
      <c r="L764" s="189"/>
      <c r="M764" s="154">
        <f t="shared" si="121"/>
        <v>0</v>
      </c>
      <c r="N764" s="155">
        <f t="shared" si="122"/>
        <v>0</v>
      </c>
      <c r="O764" s="168">
        <f t="shared" si="123"/>
        <v>0</v>
      </c>
      <c r="P764" s="157">
        <f t="shared" si="124"/>
        <v>0</v>
      </c>
    </row>
    <row r="765" spans="1:16" ht="18.75" customHeight="1" thickBot="1">
      <c r="A765" s="180"/>
      <c r="B765" s="160" t="s">
        <v>5</v>
      </c>
      <c r="C765" s="161">
        <f>SUM(C717:C764)</f>
        <v>333</v>
      </c>
      <c r="D765" s="161">
        <f t="shared" ref="D765:K765" si="131">SUM(D717:D764)</f>
        <v>508</v>
      </c>
      <c r="E765" s="161">
        <f t="shared" si="131"/>
        <v>22</v>
      </c>
      <c r="F765" s="161">
        <f t="shared" si="131"/>
        <v>41</v>
      </c>
      <c r="G765" s="161">
        <f t="shared" si="131"/>
        <v>33</v>
      </c>
      <c r="H765" s="161">
        <f t="shared" si="131"/>
        <v>73</v>
      </c>
      <c r="I765" s="161">
        <f t="shared" si="131"/>
        <v>11</v>
      </c>
      <c r="J765" s="161">
        <f t="shared" si="131"/>
        <v>19</v>
      </c>
      <c r="K765" s="161">
        <f t="shared" si="131"/>
        <v>5</v>
      </c>
      <c r="L765" s="161">
        <f>SUM(L717:L764)</f>
        <v>11</v>
      </c>
      <c r="M765" s="162">
        <f>SUM(M717:M764)</f>
        <v>404</v>
      </c>
      <c r="N765" s="161">
        <f>SUM(N717:N764)</f>
        <v>652</v>
      </c>
      <c r="O765" s="161">
        <f>SUM(O717:O764)</f>
        <v>13.065591397849461</v>
      </c>
      <c r="P765" s="171">
        <f>SUM(P717:P764)</f>
        <v>21.080645161290324</v>
      </c>
    </row>
    <row r="767" spans="1:16" ht="11.25" customHeight="1">
      <c r="B767" s="467" t="s">
        <v>160</v>
      </c>
      <c r="C767" s="469" t="s">
        <v>29</v>
      </c>
      <c r="D767" s="470"/>
      <c r="E767" s="469" t="s">
        <v>47</v>
      </c>
      <c r="F767" s="470"/>
      <c r="G767" s="469" t="s">
        <v>31</v>
      </c>
      <c r="H767" s="470"/>
      <c r="I767" s="469" t="s">
        <v>58</v>
      </c>
      <c r="J767" s="470"/>
      <c r="K767" s="469" t="s">
        <v>57</v>
      </c>
      <c r="L767" s="471"/>
      <c r="M767" s="470" t="s">
        <v>5</v>
      </c>
      <c r="N767" s="472"/>
      <c r="O767" s="472" t="s">
        <v>33</v>
      </c>
      <c r="P767" s="472"/>
    </row>
    <row r="768" spans="1:16" ht="11.25" customHeight="1" thickBot="1">
      <c r="B768" s="468"/>
      <c r="C768" s="13" t="s">
        <v>34</v>
      </c>
      <c r="D768" s="13" t="s">
        <v>35</v>
      </c>
      <c r="E768" s="13" t="s">
        <v>34</v>
      </c>
      <c r="F768" s="13" t="s">
        <v>35</v>
      </c>
      <c r="G768" s="13" t="s">
        <v>34</v>
      </c>
      <c r="H768" s="13" t="s">
        <v>35</v>
      </c>
      <c r="I768" s="13" t="s">
        <v>59</v>
      </c>
      <c r="J768" s="13" t="s">
        <v>60</v>
      </c>
      <c r="K768" s="13" t="s">
        <v>34</v>
      </c>
      <c r="L768" s="14" t="s">
        <v>35</v>
      </c>
      <c r="M768" s="15" t="s">
        <v>34</v>
      </c>
      <c r="N768" s="13" t="s">
        <v>35</v>
      </c>
      <c r="O768" s="163" t="s">
        <v>34</v>
      </c>
      <c r="P768" s="163" t="s">
        <v>35</v>
      </c>
    </row>
    <row r="769" spans="1:16" ht="13.5" customHeight="1">
      <c r="A769" s="473">
        <v>2017</v>
      </c>
      <c r="B769" s="410">
        <v>1</v>
      </c>
      <c r="C769" s="422"/>
      <c r="D769" s="422"/>
      <c r="E769" s="422"/>
      <c r="F769" s="422"/>
      <c r="G769" s="422"/>
      <c r="H769" s="422"/>
      <c r="I769" s="422"/>
      <c r="J769" s="422"/>
      <c r="K769" s="422"/>
      <c r="L769" s="432"/>
      <c r="M769" s="424">
        <f t="shared" ref="M769:M800" si="132">+C769+E769+G769+I769+K769</f>
        <v>0</v>
      </c>
      <c r="N769" s="425">
        <f t="shared" ref="N769:N800" si="133">+D769+F769+H769+J769+L769</f>
        <v>0</v>
      </c>
      <c r="O769" s="430">
        <f t="shared" ref="O769:P773" si="134">M769/31</f>
        <v>0</v>
      </c>
      <c r="P769" s="427">
        <f t="shared" si="134"/>
        <v>0</v>
      </c>
    </row>
    <row r="770" spans="1:16" ht="13.5" customHeight="1">
      <c r="A770" s="474"/>
      <c r="B770" s="127">
        <v>2</v>
      </c>
      <c r="C770" s="147"/>
      <c r="D770" s="147"/>
      <c r="E770" s="147"/>
      <c r="F770" s="147"/>
      <c r="G770" s="147"/>
      <c r="H770" s="147"/>
      <c r="I770" s="147"/>
      <c r="J770" s="147"/>
      <c r="K770" s="147"/>
      <c r="L770" s="174"/>
      <c r="M770" s="149">
        <f t="shared" si="132"/>
        <v>0</v>
      </c>
      <c r="N770" s="150">
        <f t="shared" si="133"/>
        <v>0</v>
      </c>
      <c r="O770" s="167">
        <f t="shared" si="134"/>
        <v>0</v>
      </c>
      <c r="P770" s="152">
        <f t="shared" si="134"/>
        <v>0</v>
      </c>
    </row>
    <row r="771" spans="1:16" ht="13.5" customHeight="1">
      <c r="A771" s="474"/>
      <c r="B771" s="127">
        <v>3</v>
      </c>
      <c r="C771" s="147"/>
      <c r="D771" s="147"/>
      <c r="E771" s="147"/>
      <c r="F771" s="147"/>
      <c r="G771" s="147"/>
      <c r="H771" s="147"/>
      <c r="I771" s="147"/>
      <c r="J771" s="147"/>
      <c r="K771" s="147"/>
      <c r="L771" s="174"/>
      <c r="M771" s="149">
        <f t="shared" si="132"/>
        <v>0</v>
      </c>
      <c r="N771" s="150">
        <f t="shared" si="133"/>
        <v>0</v>
      </c>
      <c r="O771" s="167">
        <f t="shared" si="134"/>
        <v>0</v>
      </c>
      <c r="P771" s="152">
        <f t="shared" si="134"/>
        <v>0</v>
      </c>
    </row>
    <row r="772" spans="1:16" ht="13.5" customHeight="1">
      <c r="A772" s="474"/>
      <c r="B772" s="127">
        <v>4</v>
      </c>
      <c r="C772" s="158"/>
      <c r="D772" s="158"/>
      <c r="E772" s="158"/>
      <c r="F772" s="158"/>
      <c r="G772" s="158"/>
      <c r="H772" s="158"/>
      <c r="I772" s="158"/>
      <c r="J772" s="158"/>
      <c r="K772" s="158"/>
      <c r="L772" s="159"/>
      <c r="M772" s="154">
        <f t="shared" si="132"/>
        <v>0</v>
      </c>
      <c r="N772" s="155">
        <f t="shared" si="133"/>
        <v>0</v>
      </c>
      <c r="O772" s="168">
        <f t="shared" si="134"/>
        <v>0</v>
      </c>
      <c r="P772" s="157">
        <f t="shared" si="134"/>
        <v>0</v>
      </c>
    </row>
    <row r="773" spans="1:16" ht="13.5" customHeight="1">
      <c r="A773" s="474"/>
      <c r="B773" s="127">
        <v>5</v>
      </c>
      <c r="C773" s="158">
        <v>0</v>
      </c>
      <c r="D773" s="158">
        <v>0</v>
      </c>
      <c r="E773" s="158">
        <v>0</v>
      </c>
      <c r="F773" s="158">
        <v>0</v>
      </c>
      <c r="G773" s="158">
        <v>1</v>
      </c>
      <c r="H773" s="158">
        <v>0</v>
      </c>
      <c r="I773" s="158">
        <v>0</v>
      </c>
      <c r="J773" s="158">
        <v>0</v>
      </c>
      <c r="K773" s="158">
        <v>0</v>
      </c>
      <c r="L773" s="159">
        <v>0</v>
      </c>
      <c r="M773" s="154">
        <f t="shared" si="132"/>
        <v>1</v>
      </c>
      <c r="N773" s="155">
        <f t="shared" si="133"/>
        <v>0</v>
      </c>
      <c r="O773" s="168">
        <f t="shared" si="134"/>
        <v>3.2258064516129031E-2</v>
      </c>
      <c r="P773" s="157">
        <f t="shared" si="134"/>
        <v>0</v>
      </c>
    </row>
    <row r="774" spans="1:16" ht="13.5" customHeight="1">
      <c r="A774" s="474"/>
      <c r="B774" s="127">
        <v>6</v>
      </c>
      <c r="C774" s="158">
        <v>13</v>
      </c>
      <c r="D774" s="158">
        <v>11</v>
      </c>
      <c r="E774" s="158">
        <v>6</v>
      </c>
      <c r="F774" s="158">
        <v>0</v>
      </c>
      <c r="G774" s="158">
        <v>5</v>
      </c>
      <c r="H774" s="158">
        <v>1</v>
      </c>
      <c r="I774" s="158">
        <v>0</v>
      </c>
      <c r="J774" s="158">
        <v>0</v>
      </c>
      <c r="K774" s="158">
        <v>0</v>
      </c>
      <c r="L774" s="158">
        <v>0</v>
      </c>
      <c r="M774" s="154">
        <f t="shared" si="132"/>
        <v>24</v>
      </c>
      <c r="N774" s="155">
        <f t="shared" si="133"/>
        <v>12</v>
      </c>
      <c r="O774" s="168">
        <f>M774/30</f>
        <v>0.8</v>
      </c>
      <c r="P774" s="157">
        <f>N774/30</f>
        <v>0.4</v>
      </c>
    </row>
    <row r="775" spans="1:16" ht="13.5" customHeight="1">
      <c r="A775" s="474"/>
      <c r="B775" s="127">
        <v>7</v>
      </c>
      <c r="C775" s="158">
        <v>17</v>
      </c>
      <c r="D775" s="158">
        <v>24</v>
      </c>
      <c r="E775" s="158">
        <v>0</v>
      </c>
      <c r="F775" s="158">
        <v>1</v>
      </c>
      <c r="G775" s="158">
        <v>9</v>
      </c>
      <c r="H775" s="158">
        <v>9</v>
      </c>
      <c r="I775" s="158">
        <v>1</v>
      </c>
      <c r="J775" s="158">
        <v>0</v>
      </c>
      <c r="K775" s="158">
        <v>2</v>
      </c>
      <c r="L775" s="158">
        <v>0</v>
      </c>
      <c r="M775" s="154">
        <f t="shared" si="132"/>
        <v>29</v>
      </c>
      <c r="N775" s="155">
        <f t="shared" si="133"/>
        <v>34</v>
      </c>
      <c r="O775" s="168">
        <f t="shared" ref="O775:O785" si="135">M775/31</f>
        <v>0.93548387096774188</v>
      </c>
      <c r="P775" s="157">
        <f t="shared" ref="P775:P785" si="136">N775/31</f>
        <v>1.096774193548387</v>
      </c>
    </row>
    <row r="776" spans="1:16" ht="13.5" customHeight="1">
      <c r="A776" s="474"/>
      <c r="B776" s="127">
        <v>8</v>
      </c>
      <c r="C776" s="158">
        <v>10</v>
      </c>
      <c r="D776" s="158">
        <v>21</v>
      </c>
      <c r="E776" s="158">
        <v>0</v>
      </c>
      <c r="F776" s="158">
        <v>5</v>
      </c>
      <c r="G776" s="158">
        <v>3</v>
      </c>
      <c r="H776" s="158">
        <v>12</v>
      </c>
      <c r="I776" s="158">
        <v>1</v>
      </c>
      <c r="J776" s="158">
        <v>0</v>
      </c>
      <c r="K776" s="158">
        <v>2</v>
      </c>
      <c r="L776" s="159">
        <v>2</v>
      </c>
      <c r="M776" s="177">
        <f t="shared" si="132"/>
        <v>16</v>
      </c>
      <c r="N776" s="158">
        <f t="shared" si="133"/>
        <v>40</v>
      </c>
      <c r="O776" s="168">
        <f t="shared" si="135"/>
        <v>0.5161290322580645</v>
      </c>
      <c r="P776" s="157">
        <f t="shared" si="136"/>
        <v>1.2903225806451613</v>
      </c>
    </row>
    <row r="777" spans="1:16" ht="13.5" customHeight="1">
      <c r="A777" s="474"/>
      <c r="B777" s="127">
        <v>9</v>
      </c>
      <c r="C777" s="147">
        <v>10</v>
      </c>
      <c r="D777" s="147">
        <v>12</v>
      </c>
      <c r="E777" s="147">
        <v>2</v>
      </c>
      <c r="F777" s="147">
        <v>0</v>
      </c>
      <c r="G777" s="147">
        <v>4</v>
      </c>
      <c r="H777" s="147">
        <v>4</v>
      </c>
      <c r="I777" s="147">
        <v>0</v>
      </c>
      <c r="J777" s="147">
        <v>2</v>
      </c>
      <c r="K777" s="147">
        <v>1</v>
      </c>
      <c r="L777" s="148">
        <v>0</v>
      </c>
      <c r="M777" s="177">
        <f t="shared" si="132"/>
        <v>17</v>
      </c>
      <c r="N777" s="158">
        <f t="shared" si="133"/>
        <v>18</v>
      </c>
      <c r="O777" s="168">
        <f t="shared" si="135"/>
        <v>0.54838709677419351</v>
      </c>
      <c r="P777" s="157">
        <f t="shared" si="136"/>
        <v>0.58064516129032262</v>
      </c>
    </row>
    <row r="778" spans="1:16" ht="13.5" customHeight="1">
      <c r="A778" s="474"/>
      <c r="B778" s="127">
        <v>10</v>
      </c>
      <c r="C778" s="147">
        <v>5</v>
      </c>
      <c r="D778" s="147">
        <v>12</v>
      </c>
      <c r="E778" s="147">
        <v>0</v>
      </c>
      <c r="F778" s="181">
        <v>2</v>
      </c>
      <c r="G778" s="147">
        <v>1</v>
      </c>
      <c r="H778" s="147">
        <v>26</v>
      </c>
      <c r="I778" s="147">
        <v>2</v>
      </c>
      <c r="J778" s="147">
        <v>6</v>
      </c>
      <c r="K778" s="147">
        <v>5</v>
      </c>
      <c r="L778" s="148">
        <v>21</v>
      </c>
      <c r="M778" s="154">
        <f t="shared" si="132"/>
        <v>13</v>
      </c>
      <c r="N778" s="155">
        <f t="shared" si="133"/>
        <v>67</v>
      </c>
      <c r="O778" s="168">
        <f t="shared" si="135"/>
        <v>0.41935483870967744</v>
      </c>
      <c r="P778" s="157">
        <f t="shared" si="136"/>
        <v>2.161290322580645</v>
      </c>
    </row>
    <row r="779" spans="1:16" ht="13.5" customHeight="1">
      <c r="A779" s="474"/>
      <c r="B779" s="127">
        <v>11</v>
      </c>
      <c r="C779" s="367">
        <v>0</v>
      </c>
      <c r="D779" s="367">
        <v>4</v>
      </c>
      <c r="E779" s="367">
        <v>0</v>
      </c>
      <c r="F779" s="367">
        <v>0</v>
      </c>
      <c r="G779" s="367">
        <v>0</v>
      </c>
      <c r="H779" s="367">
        <v>0</v>
      </c>
      <c r="I779" s="367">
        <v>0</v>
      </c>
      <c r="J779" s="367">
        <v>0</v>
      </c>
      <c r="K779" s="367">
        <v>0</v>
      </c>
      <c r="L779" s="368">
        <v>0</v>
      </c>
      <c r="M779" s="154">
        <f t="shared" si="132"/>
        <v>0</v>
      </c>
      <c r="N779" s="155">
        <f t="shared" si="133"/>
        <v>4</v>
      </c>
      <c r="O779" s="168">
        <f t="shared" si="135"/>
        <v>0</v>
      </c>
      <c r="P779" s="157">
        <f t="shared" si="136"/>
        <v>0.12903225806451613</v>
      </c>
    </row>
    <row r="780" spans="1:16" ht="13.5" customHeight="1" thickBot="1">
      <c r="A780" s="475"/>
      <c r="B780" s="127">
        <v>12</v>
      </c>
      <c r="C780" s="187">
        <v>0</v>
      </c>
      <c r="D780" s="187">
        <v>0</v>
      </c>
      <c r="E780" s="187">
        <v>0</v>
      </c>
      <c r="F780" s="188">
        <v>0</v>
      </c>
      <c r="G780" s="187">
        <v>0</v>
      </c>
      <c r="H780" s="187">
        <v>0</v>
      </c>
      <c r="I780" s="187">
        <v>0</v>
      </c>
      <c r="J780" s="187">
        <v>0</v>
      </c>
      <c r="K780" s="187">
        <v>0</v>
      </c>
      <c r="L780" s="189">
        <v>0</v>
      </c>
      <c r="M780" s="154">
        <f t="shared" si="132"/>
        <v>0</v>
      </c>
      <c r="N780" s="155">
        <f t="shared" si="133"/>
        <v>0</v>
      </c>
      <c r="O780" s="168">
        <f t="shared" si="135"/>
        <v>0</v>
      </c>
      <c r="P780" s="157">
        <f t="shared" si="136"/>
        <v>0</v>
      </c>
    </row>
    <row r="781" spans="1:16" ht="13.5" customHeight="1">
      <c r="A781" s="473">
        <v>2018</v>
      </c>
      <c r="B781" s="410">
        <v>1</v>
      </c>
      <c r="C781" s="158">
        <v>0</v>
      </c>
      <c r="D781" s="158">
        <v>0</v>
      </c>
      <c r="E781" s="158">
        <v>0</v>
      </c>
      <c r="F781" s="169">
        <v>0</v>
      </c>
      <c r="G781" s="158">
        <v>0</v>
      </c>
      <c r="H781" s="158">
        <v>0</v>
      </c>
      <c r="I781" s="158">
        <v>0</v>
      </c>
      <c r="J781" s="158">
        <v>0</v>
      </c>
      <c r="K781" s="158">
        <v>0</v>
      </c>
      <c r="L781" s="159">
        <v>0</v>
      </c>
      <c r="M781" s="424">
        <f t="shared" si="132"/>
        <v>0</v>
      </c>
      <c r="N781" s="425">
        <f t="shared" si="133"/>
        <v>0</v>
      </c>
      <c r="O781" s="430">
        <f t="shared" si="135"/>
        <v>0</v>
      </c>
      <c r="P781" s="427">
        <f t="shared" si="136"/>
        <v>0</v>
      </c>
    </row>
    <row r="782" spans="1:16" ht="13.5" customHeight="1">
      <c r="A782" s="474"/>
      <c r="B782" s="127">
        <v>2</v>
      </c>
      <c r="C782" s="158">
        <v>0</v>
      </c>
      <c r="D782" s="158">
        <v>0</v>
      </c>
      <c r="E782" s="158">
        <v>0</v>
      </c>
      <c r="F782" s="169">
        <v>0</v>
      </c>
      <c r="G782" s="158">
        <v>0</v>
      </c>
      <c r="H782" s="158">
        <v>0</v>
      </c>
      <c r="I782" s="158">
        <v>0</v>
      </c>
      <c r="J782" s="158">
        <v>0</v>
      </c>
      <c r="K782" s="158">
        <v>0</v>
      </c>
      <c r="L782" s="159">
        <v>0</v>
      </c>
      <c r="M782" s="154">
        <f t="shared" si="132"/>
        <v>0</v>
      </c>
      <c r="N782" s="155">
        <f t="shared" si="133"/>
        <v>0</v>
      </c>
      <c r="O782" s="168">
        <f t="shared" si="135"/>
        <v>0</v>
      </c>
      <c r="P782" s="157">
        <f t="shared" si="136"/>
        <v>0</v>
      </c>
    </row>
    <row r="783" spans="1:16" ht="13.5" customHeight="1">
      <c r="A783" s="474"/>
      <c r="B783" s="127">
        <v>3</v>
      </c>
      <c r="C783" s="158">
        <v>2</v>
      </c>
      <c r="D783" s="158">
        <v>0</v>
      </c>
      <c r="E783" s="158">
        <v>0</v>
      </c>
      <c r="F783" s="169">
        <v>0</v>
      </c>
      <c r="G783" s="158">
        <v>1</v>
      </c>
      <c r="H783" s="158">
        <v>0</v>
      </c>
      <c r="I783" s="158">
        <v>0</v>
      </c>
      <c r="J783" s="158">
        <v>0</v>
      </c>
      <c r="K783" s="158">
        <v>2</v>
      </c>
      <c r="L783" s="159">
        <v>0</v>
      </c>
      <c r="M783" s="154">
        <f t="shared" si="132"/>
        <v>5</v>
      </c>
      <c r="N783" s="155">
        <f t="shared" si="133"/>
        <v>0</v>
      </c>
      <c r="O783" s="168">
        <f t="shared" si="135"/>
        <v>0.16129032258064516</v>
      </c>
      <c r="P783" s="157">
        <f t="shared" si="136"/>
        <v>0</v>
      </c>
    </row>
    <row r="784" spans="1:16" ht="13.5" customHeight="1">
      <c r="A784" s="474"/>
      <c r="B784" s="127">
        <v>4</v>
      </c>
      <c r="C784" s="158">
        <v>21</v>
      </c>
      <c r="D784" s="158">
        <v>17</v>
      </c>
      <c r="E784" s="158">
        <v>0</v>
      </c>
      <c r="F784" s="169">
        <v>0</v>
      </c>
      <c r="G784" s="158">
        <v>4</v>
      </c>
      <c r="H784" s="158">
        <v>3</v>
      </c>
      <c r="I784" s="158">
        <v>0</v>
      </c>
      <c r="J784" s="158">
        <v>0</v>
      </c>
      <c r="K784" s="158">
        <v>8</v>
      </c>
      <c r="L784" s="159">
        <v>8</v>
      </c>
      <c r="M784" s="154">
        <f t="shared" si="132"/>
        <v>33</v>
      </c>
      <c r="N784" s="155">
        <f t="shared" si="133"/>
        <v>28</v>
      </c>
      <c r="O784" s="168">
        <f t="shared" si="135"/>
        <v>1.064516129032258</v>
      </c>
      <c r="P784" s="157">
        <f t="shared" si="136"/>
        <v>0.90322580645161288</v>
      </c>
    </row>
    <row r="785" spans="1:16" ht="13.5" customHeight="1">
      <c r="A785" s="474"/>
      <c r="B785" s="127">
        <v>5</v>
      </c>
      <c r="C785" s="158">
        <v>51</v>
      </c>
      <c r="D785" s="158">
        <v>56</v>
      </c>
      <c r="E785" s="158">
        <v>0</v>
      </c>
      <c r="F785" s="158">
        <v>0</v>
      </c>
      <c r="G785" s="158">
        <v>3</v>
      </c>
      <c r="H785" s="158">
        <v>8</v>
      </c>
      <c r="I785" s="158">
        <v>0</v>
      </c>
      <c r="J785" s="158">
        <v>0</v>
      </c>
      <c r="K785" s="158">
        <v>4</v>
      </c>
      <c r="L785" s="159">
        <v>22</v>
      </c>
      <c r="M785" s="154">
        <f t="shared" si="132"/>
        <v>58</v>
      </c>
      <c r="N785" s="155">
        <f t="shared" si="133"/>
        <v>86</v>
      </c>
      <c r="O785" s="168">
        <f t="shared" si="135"/>
        <v>1.8709677419354838</v>
      </c>
      <c r="P785" s="157">
        <f t="shared" si="136"/>
        <v>2.774193548387097</v>
      </c>
    </row>
    <row r="786" spans="1:16" ht="13.5" customHeight="1">
      <c r="A786" s="474"/>
      <c r="B786" s="127">
        <v>6</v>
      </c>
      <c r="C786" s="158">
        <v>52</v>
      </c>
      <c r="D786" s="158">
        <v>96</v>
      </c>
      <c r="E786" s="158">
        <v>0</v>
      </c>
      <c r="F786" s="158">
        <v>0</v>
      </c>
      <c r="G786" s="158">
        <v>10</v>
      </c>
      <c r="H786" s="158">
        <v>11</v>
      </c>
      <c r="I786" s="158">
        <v>0</v>
      </c>
      <c r="J786" s="158">
        <v>0</v>
      </c>
      <c r="K786" s="158">
        <v>6</v>
      </c>
      <c r="L786" s="158">
        <v>10</v>
      </c>
      <c r="M786" s="154">
        <f t="shared" si="132"/>
        <v>68</v>
      </c>
      <c r="N786" s="155">
        <f t="shared" si="133"/>
        <v>117</v>
      </c>
      <c r="O786" s="168">
        <f>M786/30</f>
        <v>2.2666666666666666</v>
      </c>
      <c r="P786" s="157">
        <f>N786/30</f>
        <v>3.9</v>
      </c>
    </row>
    <row r="787" spans="1:16" ht="13.5" customHeight="1">
      <c r="A787" s="474"/>
      <c r="B787" s="127">
        <v>7</v>
      </c>
      <c r="C787" s="158">
        <v>62</v>
      </c>
      <c r="D787" s="158">
        <v>62</v>
      </c>
      <c r="E787" s="158">
        <v>2</v>
      </c>
      <c r="F787" s="158">
        <v>0</v>
      </c>
      <c r="G787" s="158">
        <v>16</v>
      </c>
      <c r="H787" s="158">
        <v>15</v>
      </c>
      <c r="I787" s="158">
        <v>0</v>
      </c>
      <c r="J787" s="158">
        <v>0</v>
      </c>
      <c r="K787" s="158">
        <v>8</v>
      </c>
      <c r="L787" s="158">
        <v>13</v>
      </c>
      <c r="M787" s="154">
        <f t="shared" si="132"/>
        <v>88</v>
      </c>
      <c r="N787" s="155">
        <f t="shared" si="133"/>
        <v>90</v>
      </c>
      <c r="O787" s="168">
        <f t="shared" ref="O787:P809" si="137">M787/31</f>
        <v>2.838709677419355</v>
      </c>
      <c r="P787" s="157">
        <f t="shared" si="137"/>
        <v>2.903225806451613</v>
      </c>
    </row>
    <row r="788" spans="1:16" ht="13.5" customHeight="1">
      <c r="A788" s="474"/>
      <c r="B788" s="127">
        <v>8</v>
      </c>
      <c r="C788" s="158">
        <v>49</v>
      </c>
      <c r="D788" s="158">
        <v>52</v>
      </c>
      <c r="E788" s="158">
        <v>2</v>
      </c>
      <c r="F788" s="158">
        <v>0</v>
      </c>
      <c r="G788" s="158">
        <v>18</v>
      </c>
      <c r="H788" s="158">
        <v>12</v>
      </c>
      <c r="I788" s="158">
        <v>1</v>
      </c>
      <c r="J788" s="158">
        <v>0</v>
      </c>
      <c r="K788" s="158">
        <v>8</v>
      </c>
      <c r="L788" s="159">
        <v>3</v>
      </c>
      <c r="M788" s="177">
        <f t="shared" si="132"/>
        <v>78</v>
      </c>
      <c r="N788" s="158">
        <f t="shared" si="133"/>
        <v>67</v>
      </c>
      <c r="O788" s="168">
        <f t="shared" si="137"/>
        <v>2.5161290322580645</v>
      </c>
      <c r="P788" s="157">
        <f t="shared" si="137"/>
        <v>2.161290322580645</v>
      </c>
    </row>
    <row r="789" spans="1:16" ht="13.5" customHeight="1">
      <c r="A789" s="474"/>
      <c r="B789" s="127">
        <v>9</v>
      </c>
      <c r="C789" s="147">
        <v>47</v>
      </c>
      <c r="D789" s="147">
        <v>73</v>
      </c>
      <c r="E789" s="147">
        <v>0</v>
      </c>
      <c r="F789" s="147">
        <v>4</v>
      </c>
      <c r="G789" s="147">
        <v>19</v>
      </c>
      <c r="H789" s="147">
        <v>37</v>
      </c>
      <c r="I789" s="147">
        <v>1</v>
      </c>
      <c r="J789" s="147">
        <v>0</v>
      </c>
      <c r="K789" s="147">
        <v>4</v>
      </c>
      <c r="L789" s="148">
        <v>3</v>
      </c>
      <c r="M789" s="177">
        <f t="shared" si="132"/>
        <v>71</v>
      </c>
      <c r="N789" s="158">
        <f t="shared" si="133"/>
        <v>117</v>
      </c>
      <c r="O789" s="168">
        <f t="shared" si="137"/>
        <v>2.2903225806451615</v>
      </c>
      <c r="P789" s="157">
        <f t="shared" si="137"/>
        <v>3.774193548387097</v>
      </c>
    </row>
    <row r="790" spans="1:16" ht="13.5" customHeight="1">
      <c r="A790" s="474"/>
      <c r="B790" s="127">
        <v>10</v>
      </c>
      <c r="C790" s="147">
        <v>72</v>
      </c>
      <c r="D790" s="147">
        <v>209</v>
      </c>
      <c r="E790" s="147">
        <v>0</v>
      </c>
      <c r="F790" s="181">
        <v>0</v>
      </c>
      <c r="G790" s="147">
        <v>17</v>
      </c>
      <c r="H790" s="147">
        <v>83</v>
      </c>
      <c r="I790" s="147">
        <v>1</v>
      </c>
      <c r="J790" s="147">
        <v>2</v>
      </c>
      <c r="K790" s="147">
        <v>13</v>
      </c>
      <c r="L790" s="148">
        <v>51</v>
      </c>
      <c r="M790" s="154">
        <f t="shared" si="132"/>
        <v>103</v>
      </c>
      <c r="N790" s="155">
        <f t="shared" si="133"/>
        <v>345</v>
      </c>
      <c r="O790" s="168">
        <f t="shared" si="137"/>
        <v>3.3225806451612905</v>
      </c>
      <c r="P790" s="157">
        <f t="shared" si="137"/>
        <v>11.129032258064516</v>
      </c>
    </row>
    <row r="791" spans="1:16" ht="13.5" customHeight="1">
      <c r="A791" s="474"/>
      <c r="B791" s="127">
        <v>11</v>
      </c>
      <c r="C791" s="367">
        <v>10</v>
      </c>
      <c r="D791" s="367">
        <v>42</v>
      </c>
      <c r="E791" s="367">
        <v>0</v>
      </c>
      <c r="F791" s="367">
        <v>0</v>
      </c>
      <c r="G791" s="367">
        <v>0</v>
      </c>
      <c r="H791" s="367">
        <v>8</v>
      </c>
      <c r="I791" s="367">
        <v>0</v>
      </c>
      <c r="J791" s="367">
        <v>0</v>
      </c>
      <c r="K791" s="367">
        <v>0</v>
      </c>
      <c r="L791" s="368">
        <v>14</v>
      </c>
      <c r="M791" s="154">
        <f t="shared" si="132"/>
        <v>10</v>
      </c>
      <c r="N791" s="155">
        <f t="shared" si="133"/>
        <v>64</v>
      </c>
      <c r="O791" s="168">
        <f t="shared" si="137"/>
        <v>0.32258064516129031</v>
      </c>
      <c r="P791" s="157">
        <f t="shared" si="137"/>
        <v>2.064516129032258</v>
      </c>
    </row>
    <row r="792" spans="1:16" ht="13.5" customHeight="1" thickBot="1">
      <c r="A792" s="475"/>
      <c r="B792" s="127">
        <v>12</v>
      </c>
      <c r="C792" s="187">
        <v>0</v>
      </c>
      <c r="D792" s="187">
        <v>0</v>
      </c>
      <c r="E792" s="187">
        <v>0</v>
      </c>
      <c r="F792" s="188">
        <v>0</v>
      </c>
      <c r="G792" s="187">
        <v>0</v>
      </c>
      <c r="H792" s="187">
        <v>0</v>
      </c>
      <c r="I792" s="187">
        <v>0</v>
      </c>
      <c r="J792" s="187">
        <v>0</v>
      </c>
      <c r="K792" s="187">
        <v>0</v>
      </c>
      <c r="L792" s="189">
        <v>0</v>
      </c>
      <c r="M792" s="154">
        <f t="shared" si="132"/>
        <v>0</v>
      </c>
      <c r="N792" s="155">
        <f t="shared" si="133"/>
        <v>0</v>
      </c>
      <c r="O792" s="168">
        <f t="shared" si="137"/>
        <v>0</v>
      </c>
      <c r="P792" s="157">
        <f t="shared" si="137"/>
        <v>0</v>
      </c>
    </row>
    <row r="793" spans="1:16" ht="13.5" customHeight="1">
      <c r="A793" s="473">
        <v>2019</v>
      </c>
      <c r="B793" s="410">
        <v>1</v>
      </c>
      <c r="C793" s="158">
        <v>0</v>
      </c>
      <c r="D793" s="158">
        <v>0</v>
      </c>
      <c r="E793" s="158">
        <v>0</v>
      </c>
      <c r="F793" s="169">
        <v>0</v>
      </c>
      <c r="G793" s="158">
        <v>0</v>
      </c>
      <c r="H793" s="158">
        <v>0</v>
      </c>
      <c r="I793" s="158">
        <v>0</v>
      </c>
      <c r="J793" s="158">
        <v>0</v>
      </c>
      <c r="K793" s="158">
        <v>0</v>
      </c>
      <c r="L793" s="159">
        <v>0</v>
      </c>
      <c r="M793" s="424">
        <f t="shared" si="132"/>
        <v>0</v>
      </c>
      <c r="N793" s="425">
        <f t="shared" si="133"/>
        <v>0</v>
      </c>
      <c r="O793" s="430">
        <f t="shared" ref="O793:O797" si="138">M793/31</f>
        <v>0</v>
      </c>
      <c r="P793" s="427">
        <f t="shared" ref="P793:P797" si="139">N793/31</f>
        <v>0</v>
      </c>
    </row>
    <row r="794" spans="1:16" ht="13.5" customHeight="1">
      <c r="A794" s="474"/>
      <c r="B794" s="127">
        <v>2</v>
      </c>
      <c r="C794" s="158">
        <v>0</v>
      </c>
      <c r="D794" s="158">
        <v>0</v>
      </c>
      <c r="E794" s="158">
        <v>0</v>
      </c>
      <c r="F794" s="169">
        <v>0</v>
      </c>
      <c r="G794" s="158">
        <v>0</v>
      </c>
      <c r="H794" s="158">
        <v>0</v>
      </c>
      <c r="I794" s="158">
        <v>0</v>
      </c>
      <c r="J794" s="158">
        <v>0</v>
      </c>
      <c r="K794" s="158">
        <v>0</v>
      </c>
      <c r="L794" s="159">
        <v>0</v>
      </c>
      <c r="M794" s="154">
        <f t="shared" si="132"/>
        <v>0</v>
      </c>
      <c r="N794" s="155">
        <f t="shared" si="133"/>
        <v>0</v>
      </c>
      <c r="O794" s="168">
        <f t="shared" si="138"/>
        <v>0</v>
      </c>
      <c r="P794" s="157">
        <f t="shared" si="139"/>
        <v>0</v>
      </c>
    </row>
    <row r="795" spans="1:16" ht="13.5" customHeight="1">
      <c r="A795" s="474"/>
      <c r="B795" s="127">
        <v>3</v>
      </c>
      <c r="C795" s="158">
        <v>7</v>
      </c>
      <c r="D795" s="158">
        <v>0</v>
      </c>
      <c r="E795" s="158">
        <v>0</v>
      </c>
      <c r="F795" s="169">
        <v>0</v>
      </c>
      <c r="G795" s="158">
        <v>3</v>
      </c>
      <c r="H795" s="158">
        <v>0</v>
      </c>
      <c r="I795" s="158">
        <v>0</v>
      </c>
      <c r="J795" s="158">
        <v>0</v>
      </c>
      <c r="K795" s="158">
        <v>3</v>
      </c>
      <c r="L795" s="159">
        <v>0</v>
      </c>
      <c r="M795" s="154">
        <f t="shared" si="132"/>
        <v>13</v>
      </c>
      <c r="N795" s="155">
        <f t="shared" si="133"/>
        <v>0</v>
      </c>
      <c r="O795" s="168">
        <f t="shared" si="138"/>
        <v>0.41935483870967744</v>
      </c>
      <c r="P795" s="157">
        <f t="shared" si="139"/>
        <v>0</v>
      </c>
    </row>
    <row r="796" spans="1:16" ht="13.5" customHeight="1">
      <c r="A796" s="474"/>
      <c r="B796" s="127">
        <v>4</v>
      </c>
      <c r="C796" s="158">
        <v>40</v>
      </c>
      <c r="D796" s="158">
        <v>16</v>
      </c>
      <c r="E796" s="158">
        <v>0</v>
      </c>
      <c r="F796" s="169">
        <v>0</v>
      </c>
      <c r="G796" s="158">
        <v>13</v>
      </c>
      <c r="H796" s="158">
        <v>0</v>
      </c>
      <c r="I796" s="158">
        <v>0</v>
      </c>
      <c r="J796" s="158">
        <v>0</v>
      </c>
      <c r="K796" s="158">
        <v>26</v>
      </c>
      <c r="L796" s="159">
        <v>25</v>
      </c>
      <c r="M796" s="154">
        <f t="shared" si="132"/>
        <v>79</v>
      </c>
      <c r="N796" s="155">
        <f t="shared" si="133"/>
        <v>41</v>
      </c>
      <c r="O796" s="168">
        <f t="shared" si="138"/>
        <v>2.5483870967741935</v>
      </c>
      <c r="P796" s="157">
        <f t="shared" si="139"/>
        <v>1.3225806451612903</v>
      </c>
    </row>
    <row r="797" spans="1:16" ht="13.5" customHeight="1">
      <c r="A797" s="474"/>
      <c r="B797" s="127">
        <v>5</v>
      </c>
      <c r="C797" s="158">
        <v>52</v>
      </c>
      <c r="D797" s="158">
        <v>118</v>
      </c>
      <c r="E797" s="158">
        <v>2</v>
      </c>
      <c r="F797" s="158">
        <v>0</v>
      </c>
      <c r="G797" s="158">
        <v>10</v>
      </c>
      <c r="H797" s="158">
        <v>19</v>
      </c>
      <c r="I797" s="158">
        <v>1</v>
      </c>
      <c r="J797" s="158">
        <v>0</v>
      </c>
      <c r="K797" s="158">
        <v>16</v>
      </c>
      <c r="L797" s="159">
        <v>51</v>
      </c>
      <c r="M797" s="154">
        <f t="shared" si="132"/>
        <v>81</v>
      </c>
      <c r="N797" s="155">
        <f t="shared" si="133"/>
        <v>188</v>
      </c>
      <c r="O797" s="168">
        <f t="shared" si="138"/>
        <v>2.6129032258064515</v>
      </c>
      <c r="P797" s="157">
        <f t="shared" si="139"/>
        <v>6.064516129032258</v>
      </c>
    </row>
    <row r="798" spans="1:16" ht="13.5" customHeight="1">
      <c r="A798" s="474"/>
      <c r="B798" s="127">
        <v>6</v>
      </c>
      <c r="C798" s="158">
        <v>35</v>
      </c>
      <c r="D798" s="158">
        <v>55</v>
      </c>
      <c r="E798" s="158">
        <v>9</v>
      </c>
      <c r="F798" s="158">
        <v>0</v>
      </c>
      <c r="G798" s="158">
        <v>12</v>
      </c>
      <c r="H798" s="158">
        <v>13</v>
      </c>
      <c r="I798" s="158">
        <v>0</v>
      </c>
      <c r="J798" s="158">
        <v>3</v>
      </c>
      <c r="K798" s="158">
        <v>13</v>
      </c>
      <c r="L798" s="158">
        <v>27</v>
      </c>
      <c r="M798" s="154">
        <f t="shared" si="132"/>
        <v>69</v>
      </c>
      <c r="N798" s="155">
        <f t="shared" si="133"/>
        <v>98</v>
      </c>
      <c r="O798" s="168">
        <f>M798/30</f>
        <v>2.2999999999999998</v>
      </c>
      <c r="P798" s="157">
        <f>N798/30</f>
        <v>3.2666666666666666</v>
      </c>
    </row>
    <row r="799" spans="1:16" ht="13.5" customHeight="1">
      <c r="A799" s="474"/>
      <c r="B799" s="127">
        <v>7</v>
      </c>
      <c r="C799" s="158">
        <v>57</v>
      </c>
      <c r="D799" s="158">
        <v>98</v>
      </c>
      <c r="E799" s="158">
        <v>2</v>
      </c>
      <c r="F799" s="158">
        <v>13</v>
      </c>
      <c r="G799" s="158">
        <v>22</v>
      </c>
      <c r="H799" s="158">
        <v>35</v>
      </c>
      <c r="I799" s="158">
        <v>2</v>
      </c>
      <c r="J799" s="158">
        <v>0</v>
      </c>
      <c r="K799" s="158">
        <v>14</v>
      </c>
      <c r="L799" s="158">
        <v>22</v>
      </c>
      <c r="M799" s="154">
        <f t="shared" si="132"/>
        <v>97</v>
      </c>
      <c r="N799" s="155">
        <f t="shared" si="133"/>
        <v>168</v>
      </c>
      <c r="O799" s="168">
        <f t="shared" ref="O799:O800" si="140">M799/31</f>
        <v>3.129032258064516</v>
      </c>
      <c r="P799" s="157">
        <f t="shared" ref="P799:P800" si="141">N799/31</f>
        <v>5.419354838709677</v>
      </c>
    </row>
    <row r="800" spans="1:16" ht="13.5" customHeight="1">
      <c r="A800" s="474"/>
      <c r="B800" s="127">
        <v>8</v>
      </c>
      <c r="C800" s="158">
        <v>65</v>
      </c>
      <c r="D800" s="158">
        <v>68</v>
      </c>
      <c r="E800" s="158">
        <v>0</v>
      </c>
      <c r="F800" s="158">
        <v>0</v>
      </c>
      <c r="G800" s="158">
        <v>26</v>
      </c>
      <c r="H800" s="158">
        <v>33</v>
      </c>
      <c r="I800" s="158">
        <v>0</v>
      </c>
      <c r="J800" s="158">
        <v>7</v>
      </c>
      <c r="K800" s="158">
        <v>12</v>
      </c>
      <c r="L800" s="159">
        <v>12</v>
      </c>
      <c r="M800" s="177">
        <f t="shared" si="132"/>
        <v>103</v>
      </c>
      <c r="N800" s="158">
        <f t="shared" si="133"/>
        <v>120</v>
      </c>
      <c r="O800" s="168">
        <f t="shared" si="140"/>
        <v>3.3225806451612905</v>
      </c>
      <c r="P800" s="157">
        <f t="shared" si="141"/>
        <v>3.870967741935484</v>
      </c>
    </row>
    <row r="801" spans="1:16" ht="13.5" customHeight="1">
      <c r="A801" s="474"/>
      <c r="B801" s="127">
        <v>9</v>
      </c>
      <c r="C801" s="147">
        <v>87</v>
      </c>
      <c r="D801" s="147">
        <v>87</v>
      </c>
      <c r="E801" s="147">
        <v>0</v>
      </c>
      <c r="F801" s="147">
        <v>0</v>
      </c>
      <c r="G801" s="147">
        <v>32</v>
      </c>
      <c r="H801" s="147">
        <v>45</v>
      </c>
      <c r="I801" s="147">
        <v>0</v>
      </c>
      <c r="J801" s="147">
        <v>0</v>
      </c>
      <c r="K801" s="147">
        <v>15</v>
      </c>
      <c r="L801" s="148">
        <v>5</v>
      </c>
      <c r="M801" s="177">
        <v>134</v>
      </c>
      <c r="N801" s="158">
        <v>137</v>
      </c>
      <c r="O801" s="168">
        <v>4.32258064516129</v>
      </c>
      <c r="P801" s="157">
        <v>4.419354838709677</v>
      </c>
    </row>
    <row r="802" spans="1:16" ht="13.5" customHeight="1">
      <c r="A802" s="474"/>
      <c r="B802" s="127">
        <v>10</v>
      </c>
      <c r="C802" s="147">
        <v>57</v>
      </c>
      <c r="D802" s="147">
        <v>190</v>
      </c>
      <c r="E802" s="147">
        <v>0</v>
      </c>
      <c r="F802" s="181">
        <v>0</v>
      </c>
      <c r="G802" s="147">
        <v>7</v>
      </c>
      <c r="H802" s="147">
        <v>64</v>
      </c>
      <c r="I802" s="147">
        <v>0</v>
      </c>
      <c r="J802" s="147">
        <v>0</v>
      </c>
      <c r="K802" s="147">
        <v>12</v>
      </c>
      <c r="L802" s="148">
        <v>72</v>
      </c>
      <c r="M802" s="154">
        <f t="shared" ref="M802:M804" si="142">+C802+E802+G802+I802+K802</f>
        <v>76</v>
      </c>
      <c r="N802" s="155">
        <f t="shared" ref="N802:N804" si="143">+D802+F802+H802+J802+L802</f>
        <v>326</v>
      </c>
      <c r="O802" s="168">
        <f t="shared" ref="O802:O804" si="144">M802/31</f>
        <v>2.4516129032258065</v>
      </c>
      <c r="P802" s="157">
        <f t="shared" ref="P802:P804" si="145">N802/31</f>
        <v>10.516129032258064</v>
      </c>
    </row>
    <row r="803" spans="1:16" ht="13.5" customHeight="1">
      <c r="A803" s="474"/>
      <c r="B803" s="127">
        <v>11</v>
      </c>
      <c r="C803" s="367">
        <v>21</v>
      </c>
      <c r="D803" s="367">
        <v>115</v>
      </c>
      <c r="E803" s="367">
        <v>0</v>
      </c>
      <c r="F803" s="367">
        <v>0</v>
      </c>
      <c r="G803" s="367">
        <v>3</v>
      </c>
      <c r="H803" s="367">
        <v>22</v>
      </c>
      <c r="I803" s="367">
        <v>0</v>
      </c>
      <c r="J803" s="367">
        <v>0</v>
      </c>
      <c r="K803" s="367">
        <v>5</v>
      </c>
      <c r="L803" s="368">
        <v>29</v>
      </c>
      <c r="M803" s="154">
        <f t="shared" si="142"/>
        <v>29</v>
      </c>
      <c r="N803" s="155">
        <f t="shared" si="143"/>
        <v>166</v>
      </c>
      <c r="O803" s="168">
        <f t="shared" si="144"/>
        <v>0.93548387096774188</v>
      </c>
      <c r="P803" s="157">
        <f t="shared" si="145"/>
        <v>5.354838709677419</v>
      </c>
    </row>
    <row r="804" spans="1:16" ht="13.5" customHeight="1" thickBot="1">
      <c r="A804" s="475"/>
      <c r="B804" s="127">
        <v>12</v>
      </c>
      <c r="C804" s="374">
        <v>0</v>
      </c>
      <c r="D804" s="374">
        <v>0</v>
      </c>
      <c r="E804" s="374">
        <v>0</v>
      </c>
      <c r="F804" s="374">
        <v>0</v>
      </c>
      <c r="G804" s="374">
        <v>0</v>
      </c>
      <c r="H804" s="374">
        <v>0</v>
      </c>
      <c r="I804" s="374">
        <v>0</v>
      </c>
      <c r="J804" s="374">
        <v>0</v>
      </c>
      <c r="K804" s="374">
        <v>0</v>
      </c>
      <c r="L804" s="375">
        <v>0</v>
      </c>
      <c r="M804" s="154">
        <f t="shared" si="142"/>
        <v>0</v>
      </c>
      <c r="N804" s="155">
        <f t="shared" si="143"/>
        <v>0</v>
      </c>
      <c r="O804" s="168">
        <f t="shared" si="144"/>
        <v>0</v>
      </c>
      <c r="P804" s="157">
        <f t="shared" si="145"/>
        <v>0</v>
      </c>
    </row>
    <row r="805" spans="1:16" ht="13.5" customHeight="1">
      <c r="A805" s="473">
        <v>2020</v>
      </c>
      <c r="B805" s="410">
        <v>1</v>
      </c>
      <c r="C805" s="434">
        <v>0</v>
      </c>
      <c r="D805" s="434">
        <v>0</v>
      </c>
      <c r="E805" s="434">
        <v>0</v>
      </c>
      <c r="F805" s="435">
        <v>0</v>
      </c>
      <c r="G805" s="434">
        <v>0</v>
      </c>
      <c r="H805" s="434">
        <v>0</v>
      </c>
      <c r="I805" s="434">
        <v>0</v>
      </c>
      <c r="J805" s="434">
        <v>0</v>
      </c>
      <c r="K805" s="434">
        <v>0</v>
      </c>
      <c r="L805" s="436">
        <v>0</v>
      </c>
      <c r="M805" s="424">
        <f t="shared" ref="M805:M816" si="146">+C805+E805+G805+I805+K805</f>
        <v>0</v>
      </c>
      <c r="N805" s="425">
        <f t="shared" ref="N805:N816" si="147">+D805+F805+H805+J805+L805</f>
        <v>0</v>
      </c>
      <c r="O805" s="430">
        <f t="shared" si="137"/>
        <v>0</v>
      </c>
      <c r="P805" s="427">
        <f t="shared" si="137"/>
        <v>0</v>
      </c>
    </row>
    <row r="806" spans="1:16" ht="13.5" customHeight="1">
      <c r="A806" s="474"/>
      <c r="B806" s="127">
        <v>2</v>
      </c>
      <c r="C806" s="147">
        <v>0</v>
      </c>
      <c r="D806" s="147">
        <v>0</v>
      </c>
      <c r="E806" s="147">
        <v>0</v>
      </c>
      <c r="F806" s="181">
        <v>0</v>
      </c>
      <c r="G806" s="147">
        <v>0</v>
      </c>
      <c r="H806" s="147">
        <v>0</v>
      </c>
      <c r="I806" s="147">
        <v>0</v>
      </c>
      <c r="J806" s="147">
        <v>0</v>
      </c>
      <c r="K806" s="147">
        <v>0</v>
      </c>
      <c r="L806" s="148">
        <v>0</v>
      </c>
      <c r="M806" s="154">
        <f t="shared" si="146"/>
        <v>0</v>
      </c>
      <c r="N806" s="155">
        <f t="shared" si="147"/>
        <v>0</v>
      </c>
      <c r="O806" s="168">
        <f t="shared" si="137"/>
        <v>0</v>
      </c>
      <c r="P806" s="157">
        <f t="shared" si="137"/>
        <v>0</v>
      </c>
    </row>
    <row r="807" spans="1:16" ht="13.5" customHeight="1">
      <c r="A807" s="474"/>
      <c r="B807" s="127">
        <v>3</v>
      </c>
      <c r="C807" s="147">
        <v>1</v>
      </c>
      <c r="D807" s="147">
        <v>0</v>
      </c>
      <c r="E807" s="147">
        <v>0</v>
      </c>
      <c r="F807" s="181">
        <v>0</v>
      </c>
      <c r="G807" s="147">
        <v>0</v>
      </c>
      <c r="H807" s="147">
        <v>0</v>
      </c>
      <c r="I807" s="147">
        <v>0</v>
      </c>
      <c r="J807" s="147">
        <v>0</v>
      </c>
      <c r="K807" s="147">
        <v>0</v>
      </c>
      <c r="L807" s="148">
        <v>0</v>
      </c>
      <c r="M807" s="154">
        <f t="shared" si="146"/>
        <v>1</v>
      </c>
      <c r="N807" s="155">
        <f t="shared" si="147"/>
        <v>0</v>
      </c>
      <c r="O807" s="168">
        <f t="shared" si="137"/>
        <v>3.2258064516129031E-2</v>
      </c>
      <c r="P807" s="157">
        <f t="shared" si="137"/>
        <v>0</v>
      </c>
    </row>
    <row r="808" spans="1:16" ht="13.5" customHeight="1">
      <c r="A808" s="474"/>
      <c r="B808" s="127">
        <v>4</v>
      </c>
      <c r="C808" s="158">
        <v>0</v>
      </c>
      <c r="D808" s="158">
        <v>0</v>
      </c>
      <c r="E808" s="158">
        <v>0</v>
      </c>
      <c r="F808" s="169">
        <v>0</v>
      </c>
      <c r="G808" s="158">
        <v>0</v>
      </c>
      <c r="H808" s="158">
        <v>0</v>
      </c>
      <c r="I808" s="158">
        <v>0</v>
      </c>
      <c r="J808" s="158">
        <v>0</v>
      </c>
      <c r="K808" s="158">
        <v>0</v>
      </c>
      <c r="L808" s="159">
        <v>0</v>
      </c>
      <c r="M808" s="154">
        <f t="shared" si="146"/>
        <v>0</v>
      </c>
      <c r="N808" s="155">
        <f t="shared" si="147"/>
        <v>0</v>
      </c>
      <c r="O808" s="168">
        <f t="shared" si="137"/>
        <v>0</v>
      </c>
      <c r="P808" s="157">
        <f t="shared" si="137"/>
        <v>0</v>
      </c>
    </row>
    <row r="809" spans="1:16" ht="13.5" customHeight="1">
      <c r="A809" s="474"/>
      <c r="B809" s="127">
        <v>5</v>
      </c>
      <c r="C809" s="158">
        <v>2</v>
      </c>
      <c r="D809" s="158">
        <v>0</v>
      </c>
      <c r="E809" s="158">
        <v>0</v>
      </c>
      <c r="F809" s="169">
        <v>0</v>
      </c>
      <c r="G809" s="158">
        <v>0</v>
      </c>
      <c r="H809" s="158">
        <v>0</v>
      </c>
      <c r="I809" s="158">
        <v>0</v>
      </c>
      <c r="J809" s="158">
        <v>0</v>
      </c>
      <c r="K809" s="158">
        <v>0</v>
      </c>
      <c r="L809" s="159">
        <v>0</v>
      </c>
      <c r="M809" s="154">
        <f t="shared" si="146"/>
        <v>2</v>
      </c>
      <c r="N809" s="155">
        <f t="shared" si="147"/>
        <v>0</v>
      </c>
      <c r="O809" s="168">
        <f t="shared" si="137"/>
        <v>6.4516129032258063E-2</v>
      </c>
      <c r="P809" s="157">
        <f t="shared" si="137"/>
        <v>0</v>
      </c>
    </row>
    <row r="810" spans="1:16" ht="13.5" customHeight="1">
      <c r="A810" s="474"/>
      <c r="B810" s="127">
        <v>6</v>
      </c>
      <c r="C810" s="158">
        <f>集計用!C55</f>
        <v>6</v>
      </c>
      <c r="D810" s="158">
        <f>集計用!S55</f>
        <v>0</v>
      </c>
      <c r="E810" s="158">
        <f>集計用!E55</f>
        <v>0</v>
      </c>
      <c r="F810" s="169">
        <f>集計用!U55</f>
        <v>0</v>
      </c>
      <c r="G810" s="158">
        <f>集計用!G55</f>
        <v>0</v>
      </c>
      <c r="H810" s="158">
        <f>集計用!W55</f>
        <v>0</v>
      </c>
      <c r="I810" s="158">
        <f>集計用!I55</f>
        <v>0</v>
      </c>
      <c r="J810" s="158">
        <f>集計用!Y55</f>
        <v>0</v>
      </c>
      <c r="K810" s="158">
        <f>集計用!K55</f>
        <v>0</v>
      </c>
      <c r="L810" s="159">
        <f>集計用!AA55</f>
        <v>0</v>
      </c>
      <c r="M810" s="154">
        <f t="shared" si="146"/>
        <v>6</v>
      </c>
      <c r="N810" s="155">
        <f t="shared" si="147"/>
        <v>0</v>
      </c>
      <c r="O810" s="168">
        <f>M810/30</f>
        <v>0.2</v>
      </c>
      <c r="P810" s="157">
        <f>N810/30</f>
        <v>0</v>
      </c>
    </row>
    <row r="811" spans="1:16" ht="13.5" customHeight="1">
      <c r="A811" s="474"/>
      <c r="B811" s="127">
        <v>7</v>
      </c>
      <c r="C811" s="158"/>
      <c r="D811" s="158"/>
      <c r="E811" s="158"/>
      <c r="F811" s="158"/>
      <c r="G811" s="158"/>
      <c r="H811" s="158"/>
      <c r="I811" s="158"/>
      <c r="J811" s="158"/>
      <c r="K811" s="158"/>
      <c r="L811" s="158"/>
      <c r="M811" s="154">
        <f t="shared" si="146"/>
        <v>0</v>
      </c>
      <c r="N811" s="155">
        <f t="shared" si="147"/>
        <v>0</v>
      </c>
      <c r="O811" s="168">
        <f t="shared" ref="O811:O816" si="148">M811/31</f>
        <v>0</v>
      </c>
      <c r="P811" s="157">
        <f t="shared" ref="P811:P816" si="149">N811/31</f>
        <v>0</v>
      </c>
    </row>
    <row r="812" spans="1:16" ht="13.5" customHeight="1">
      <c r="A812" s="474"/>
      <c r="B812" s="127">
        <v>8</v>
      </c>
      <c r="C812" s="158"/>
      <c r="D812" s="158"/>
      <c r="E812" s="158"/>
      <c r="F812" s="158"/>
      <c r="G812" s="158"/>
      <c r="H812" s="158"/>
      <c r="I812" s="158"/>
      <c r="J812" s="158"/>
      <c r="K812" s="158"/>
      <c r="L812" s="159"/>
      <c r="M812" s="177">
        <f t="shared" si="146"/>
        <v>0</v>
      </c>
      <c r="N812" s="158">
        <f t="shared" si="147"/>
        <v>0</v>
      </c>
      <c r="O812" s="168">
        <f t="shared" si="148"/>
        <v>0</v>
      </c>
      <c r="P812" s="157">
        <f t="shared" si="149"/>
        <v>0</v>
      </c>
    </row>
    <row r="813" spans="1:16" ht="13.5" customHeight="1">
      <c r="A813" s="474"/>
      <c r="B813" s="127">
        <v>9</v>
      </c>
      <c r="C813" s="147"/>
      <c r="D813" s="147"/>
      <c r="E813" s="147"/>
      <c r="F813" s="147"/>
      <c r="G813" s="147"/>
      <c r="H813" s="147"/>
      <c r="I813" s="147"/>
      <c r="J813" s="147"/>
      <c r="K813" s="147"/>
      <c r="L813" s="148"/>
      <c r="M813" s="177">
        <f t="shared" ref="M813" si="150">+C813+E813+G813+I813+K813</f>
        <v>0</v>
      </c>
      <c r="N813" s="158">
        <f t="shared" ref="N813" si="151">+D813+F813+H813+J813+L813</f>
        <v>0</v>
      </c>
      <c r="O813" s="168">
        <f>M813/30</f>
        <v>0</v>
      </c>
      <c r="P813" s="157">
        <f>N813/30</f>
        <v>0</v>
      </c>
    </row>
    <row r="814" spans="1:16" ht="13.5" customHeight="1">
      <c r="A814" s="474"/>
      <c r="B814" s="127">
        <v>10</v>
      </c>
      <c r="C814" s="147"/>
      <c r="D814" s="147"/>
      <c r="E814" s="147"/>
      <c r="F814" s="181"/>
      <c r="G814" s="147"/>
      <c r="H814" s="147"/>
      <c r="I814" s="147"/>
      <c r="J814" s="147"/>
      <c r="K814" s="147"/>
      <c r="L814" s="148"/>
      <c r="M814" s="154">
        <f t="shared" ref="M814" si="152">+C814+E814+G814+I814+K814</f>
        <v>0</v>
      </c>
      <c r="N814" s="155">
        <f t="shared" ref="N814" si="153">+D814+F814+H814+J814+L814</f>
        <v>0</v>
      </c>
      <c r="O814" s="168">
        <f t="shared" ref="O814" si="154">M814/31</f>
        <v>0</v>
      </c>
      <c r="P814" s="157">
        <f t="shared" ref="P814" si="155">N814/31</f>
        <v>0</v>
      </c>
    </row>
    <row r="815" spans="1:16" ht="13.5" customHeight="1">
      <c r="A815" s="474"/>
      <c r="B815" s="127">
        <v>11</v>
      </c>
      <c r="C815" s="367"/>
      <c r="D815" s="367"/>
      <c r="E815" s="367"/>
      <c r="F815" s="367"/>
      <c r="G815" s="367"/>
      <c r="H815" s="367"/>
      <c r="I815" s="367"/>
      <c r="J815" s="367"/>
      <c r="K815" s="367"/>
      <c r="L815" s="368"/>
      <c r="M815" s="154">
        <f t="shared" si="146"/>
        <v>0</v>
      </c>
      <c r="N815" s="155">
        <f t="shared" si="147"/>
        <v>0</v>
      </c>
      <c r="O815" s="168">
        <f t="shared" si="148"/>
        <v>0</v>
      </c>
      <c r="P815" s="157">
        <f t="shared" si="149"/>
        <v>0</v>
      </c>
    </row>
    <row r="816" spans="1:16" ht="13.5" customHeight="1" thickBot="1">
      <c r="A816" s="475"/>
      <c r="B816" s="127">
        <v>12</v>
      </c>
      <c r="C816" s="187"/>
      <c r="D816" s="187"/>
      <c r="E816" s="187"/>
      <c r="F816" s="188"/>
      <c r="G816" s="187"/>
      <c r="H816" s="187"/>
      <c r="I816" s="187"/>
      <c r="J816" s="187"/>
      <c r="K816" s="187"/>
      <c r="L816" s="189"/>
      <c r="M816" s="154">
        <f t="shared" si="146"/>
        <v>0</v>
      </c>
      <c r="N816" s="155">
        <f t="shared" si="147"/>
        <v>0</v>
      </c>
      <c r="O816" s="168">
        <f t="shared" si="148"/>
        <v>0</v>
      </c>
      <c r="P816" s="157">
        <f t="shared" si="149"/>
        <v>0</v>
      </c>
    </row>
    <row r="817" spans="1:16" ht="18.75" customHeight="1" thickBot="1">
      <c r="A817" s="180"/>
      <c r="B817" s="160" t="s">
        <v>5</v>
      </c>
      <c r="C817" s="161">
        <f>SUM(C769:C816)</f>
        <v>851</v>
      </c>
      <c r="D817" s="161">
        <f t="shared" ref="D817:K817" si="156">SUM(D769:D816)</f>
        <v>1438</v>
      </c>
      <c r="E817" s="161">
        <f t="shared" si="156"/>
        <v>25</v>
      </c>
      <c r="F817" s="161">
        <f t="shared" si="156"/>
        <v>25</v>
      </c>
      <c r="G817" s="161">
        <f t="shared" si="156"/>
        <v>239</v>
      </c>
      <c r="H817" s="161">
        <f t="shared" si="156"/>
        <v>460</v>
      </c>
      <c r="I817" s="161">
        <f t="shared" si="156"/>
        <v>10</v>
      </c>
      <c r="J817" s="161">
        <f t="shared" si="156"/>
        <v>20</v>
      </c>
      <c r="K817" s="161">
        <f t="shared" si="156"/>
        <v>179</v>
      </c>
      <c r="L817" s="161">
        <f>SUM(L769:L816)</f>
        <v>390</v>
      </c>
      <c r="M817" s="162">
        <f>SUM(M769:M816)</f>
        <v>1304</v>
      </c>
      <c r="N817" s="161">
        <f>SUM(N769:N816)</f>
        <v>2333</v>
      </c>
      <c r="O817" s="161">
        <f>SUM(O769:O816)</f>
        <v>42.244086021505375</v>
      </c>
      <c r="P817" s="161">
        <f>SUM(P769:P816)</f>
        <v>75.502150537634407</v>
      </c>
    </row>
    <row r="819" spans="1:16" ht="11.25" customHeight="1">
      <c r="B819" s="467" t="s">
        <v>66</v>
      </c>
      <c r="C819" s="469" t="s">
        <v>29</v>
      </c>
      <c r="D819" s="470"/>
      <c r="E819" s="469" t="s">
        <v>30</v>
      </c>
      <c r="F819" s="470"/>
      <c r="G819" s="469" t="s">
        <v>31</v>
      </c>
      <c r="H819" s="470"/>
      <c r="I819" s="469" t="s">
        <v>58</v>
      </c>
      <c r="J819" s="470"/>
      <c r="K819" s="469" t="s">
        <v>57</v>
      </c>
      <c r="L819" s="471"/>
      <c r="M819" s="470" t="s">
        <v>5</v>
      </c>
      <c r="N819" s="472"/>
      <c r="O819" s="472" t="s">
        <v>33</v>
      </c>
      <c r="P819" s="472"/>
    </row>
    <row r="820" spans="1:16" ht="11.25" customHeight="1" thickBot="1">
      <c r="B820" s="468"/>
      <c r="C820" s="13" t="s">
        <v>34</v>
      </c>
      <c r="D820" s="13" t="s">
        <v>35</v>
      </c>
      <c r="E820" s="13" t="s">
        <v>34</v>
      </c>
      <c r="F820" s="13" t="s">
        <v>35</v>
      </c>
      <c r="G820" s="13" t="s">
        <v>34</v>
      </c>
      <c r="H820" s="13" t="s">
        <v>35</v>
      </c>
      <c r="I820" s="13" t="s">
        <v>59</v>
      </c>
      <c r="J820" s="13" t="s">
        <v>60</v>
      </c>
      <c r="K820" s="13" t="s">
        <v>34</v>
      </c>
      <c r="L820" s="14" t="s">
        <v>35</v>
      </c>
      <c r="M820" s="15" t="s">
        <v>34</v>
      </c>
      <c r="N820" s="13" t="s">
        <v>35</v>
      </c>
      <c r="O820" s="163" t="s">
        <v>34</v>
      </c>
      <c r="P820" s="163" t="s">
        <v>35</v>
      </c>
    </row>
    <row r="821" spans="1:16" ht="13.5" customHeight="1">
      <c r="A821" s="473">
        <v>2017</v>
      </c>
      <c r="B821" s="410">
        <v>1</v>
      </c>
      <c r="C821" s="422"/>
      <c r="D821" s="422"/>
      <c r="E821" s="422"/>
      <c r="F821" s="422"/>
      <c r="G821" s="422"/>
      <c r="H821" s="422"/>
      <c r="I821" s="422"/>
      <c r="J821" s="422"/>
      <c r="K821" s="422"/>
      <c r="L821" s="432"/>
      <c r="M821" s="424">
        <f t="shared" ref="M821:M852" si="157">+C821+E821+G821+I821+K821</f>
        <v>0</v>
      </c>
      <c r="N821" s="425">
        <f t="shared" ref="N821:N852" si="158">+D821+F821+H821+J821+L821</f>
        <v>0</v>
      </c>
      <c r="O821" s="430">
        <f t="shared" ref="O821:P825" si="159">M821/31</f>
        <v>0</v>
      </c>
      <c r="P821" s="427">
        <f t="shared" si="159"/>
        <v>0</v>
      </c>
    </row>
    <row r="822" spans="1:16" ht="13.5" customHeight="1">
      <c r="A822" s="474"/>
      <c r="B822" s="127">
        <v>2</v>
      </c>
      <c r="C822" s="147"/>
      <c r="D822" s="147"/>
      <c r="E822" s="147"/>
      <c r="F822" s="147"/>
      <c r="G822" s="147"/>
      <c r="H822" s="147"/>
      <c r="I822" s="147"/>
      <c r="J822" s="147"/>
      <c r="K822" s="147"/>
      <c r="L822" s="174"/>
      <c r="M822" s="149">
        <f t="shared" si="157"/>
        <v>0</v>
      </c>
      <c r="N822" s="150">
        <f t="shared" si="158"/>
        <v>0</v>
      </c>
      <c r="O822" s="167">
        <f t="shared" si="159"/>
        <v>0</v>
      </c>
      <c r="P822" s="152">
        <f t="shared" si="159"/>
        <v>0</v>
      </c>
    </row>
    <row r="823" spans="1:16" ht="13.5" customHeight="1">
      <c r="A823" s="474"/>
      <c r="B823" s="127">
        <v>3</v>
      </c>
      <c r="C823" s="147"/>
      <c r="D823" s="147"/>
      <c r="E823" s="147"/>
      <c r="F823" s="147"/>
      <c r="G823" s="147"/>
      <c r="H823" s="147"/>
      <c r="I823" s="147"/>
      <c r="J823" s="147"/>
      <c r="K823" s="147"/>
      <c r="L823" s="174"/>
      <c r="M823" s="149">
        <f t="shared" si="157"/>
        <v>0</v>
      </c>
      <c r="N823" s="150">
        <f t="shared" si="158"/>
        <v>0</v>
      </c>
      <c r="O823" s="167">
        <f t="shared" si="159"/>
        <v>0</v>
      </c>
      <c r="P823" s="152">
        <f t="shared" si="159"/>
        <v>0</v>
      </c>
    </row>
    <row r="824" spans="1:16" ht="13.5" customHeight="1">
      <c r="A824" s="474"/>
      <c r="B824" s="127">
        <v>4</v>
      </c>
      <c r="C824" s="158"/>
      <c r="D824" s="158"/>
      <c r="E824" s="158"/>
      <c r="F824" s="158"/>
      <c r="G824" s="158"/>
      <c r="H824" s="158"/>
      <c r="I824" s="158"/>
      <c r="J824" s="158"/>
      <c r="K824" s="158"/>
      <c r="L824" s="159"/>
      <c r="M824" s="154">
        <f t="shared" si="157"/>
        <v>0</v>
      </c>
      <c r="N824" s="155">
        <f t="shared" si="158"/>
        <v>0</v>
      </c>
      <c r="O824" s="168">
        <f t="shared" si="159"/>
        <v>0</v>
      </c>
      <c r="P824" s="157">
        <f t="shared" si="159"/>
        <v>0</v>
      </c>
    </row>
    <row r="825" spans="1:16" ht="13.5" customHeight="1">
      <c r="A825" s="474"/>
      <c r="B825" s="127">
        <v>5</v>
      </c>
      <c r="C825" s="158"/>
      <c r="D825" s="158"/>
      <c r="E825" s="158"/>
      <c r="F825" s="158"/>
      <c r="G825" s="158"/>
      <c r="H825" s="158"/>
      <c r="I825" s="158"/>
      <c r="J825" s="158"/>
      <c r="K825" s="158"/>
      <c r="L825" s="159"/>
      <c r="M825" s="154">
        <f t="shared" si="157"/>
        <v>0</v>
      </c>
      <c r="N825" s="155">
        <f t="shared" si="158"/>
        <v>0</v>
      </c>
      <c r="O825" s="168">
        <f t="shared" si="159"/>
        <v>0</v>
      </c>
      <c r="P825" s="157">
        <f t="shared" si="159"/>
        <v>0</v>
      </c>
    </row>
    <row r="826" spans="1:16" ht="13.5" customHeight="1">
      <c r="A826" s="474"/>
      <c r="B826" s="127">
        <v>6</v>
      </c>
      <c r="C826" s="158">
        <v>3</v>
      </c>
      <c r="D826" s="158">
        <v>2</v>
      </c>
      <c r="E826" s="158">
        <v>2</v>
      </c>
      <c r="F826" s="158">
        <v>4</v>
      </c>
      <c r="G826" s="158">
        <v>1</v>
      </c>
      <c r="H826" s="158">
        <v>0</v>
      </c>
      <c r="I826" s="158">
        <v>0</v>
      </c>
      <c r="J826" s="158">
        <v>0</v>
      </c>
      <c r="K826" s="158">
        <v>0</v>
      </c>
      <c r="L826" s="158">
        <v>0</v>
      </c>
      <c r="M826" s="154">
        <f t="shared" si="157"/>
        <v>6</v>
      </c>
      <c r="N826" s="155">
        <f t="shared" si="158"/>
        <v>6</v>
      </c>
      <c r="O826" s="168">
        <f>M826/30</f>
        <v>0.2</v>
      </c>
      <c r="P826" s="157">
        <f>N826/30</f>
        <v>0.2</v>
      </c>
    </row>
    <row r="827" spans="1:16" ht="13.5" customHeight="1">
      <c r="A827" s="474"/>
      <c r="B827" s="127">
        <v>7</v>
      </c>
      <c r="C827" s="158">
        <v>5</v>
      </c>
      <c r="D827" s="158">
        <v>9</v>
      </c>
      <c r="E827" s="158">
        <v>1</v>
      </c>
      <c r="F827" s="158">
        <v>1</v>
      </c>
      <c r="G827" s="158">
        <v>1</v>
      </c>
      <c r="H827" s="158">
        <v>5</v>
      </c>
      <c r="I827" s="158">
        <v>1</v>
      </c>
      <c r="J827" s="158">
        <v>1</v>
      </c>
      <c r="K827" s="158">
        <v>0</v>
      </c>
      <c r="L827" s="158">
        <v>0</v>
      </c>
      <c r="M827" s="154">
        <f t="shared" si="157"/>
        <v>8</v>
      </c>
      <c r="N827" s="155">
        <f t="shared" si="158"/>
        <v>16</v>
      </c>
      <c r="O827" s="168">
        <f t="shared" ref="O827:O837" si="160">M827/31</f>
        <v>0.25806451612903225</v>
      </c>
      <c r="P827" s="157">
        <f t="shared" ref="P827:P837" si="161">N827/31</f>
        <v>0.5161290322580645</v>
      </c>
    </row>
    <row r="828" spans="1:16" ht="13.5" customHeight="1">
      <c r="A828" s="474"/>
      <c r="B828" s="127">
        <v>8</v>
      </c>
      <c r="C828" s="158">
        <v>8</v>
      </c>
      <c r="D828" s="158">
        <v>10</v>
      </c>
      <c r="E828" s="158">
        <v>0</v>
      </c>
      <c r="F828" s="158">
        <v>0</v>
      </c>
      <c r="G828" s="158">
        <v>2</v>
      </c>
      <c r="H828" s="158">
        <v>5</v>
      </c>
      <c r="I828" s="158">
        <v>0</v>
      </c>
      <c r="J828" s="158">
        <v>0</v>
      </c>
      <c r="K828" s="158">
        <v>0</v>
      </c>
      <c r="L828" s="159">
        <v>0</v>
      </c>
      <c r="M828" s="177">
        <f t="shared" si="157"/>
        <v>10</v>
      </c>
      <c r="N828" s="158">
        <f t="shared" si="158"/>
        <v>15</v>
      </c>
      <c r="O828" s="168">
        <f t="shared" si="160"/>
        <v>0.32258064516129031</v>
      </c>
      <c r="P828" s="157">
        <f t="shared" si="161"/>
        <v>0.4838709677419355</v>
      </c>
    </row>
    <row r="829" spans="1:16" ht="13.5" customHeight="1">
      <c r="A829" s="474"/>
      <c r="B829" s="127">
        <v>9</v>
      </c>
      <c r="C829" s="147">
        <v>14</v>
      </c>
      <c r="D829" s="147">
        <v>14</v>
      </c>
      <c r="E829" s="147">
        <v>0</v>
      </c>
      <c r="F829" s="147">
        <v>0</v>
      </c>
      <c r="G829" s="147">
        <v>3</v>
      </c>
      <c r="H829" s="147">
        <v>5</v>
      </c>
      <c r="I829" s="147">
        <v>0</v>
      </c>
      <c r="J829" s="147">
        <v>0</v>
      </c>
      <c r="K829" s="147">
        <v>0</v>
      </c>
      <c r="L829" s="148">
        <v>0</v>
      </c>
      <c r="M829" s="177">
        <f t="shared" si="157"/>
        <v>17</v>
      </c>
      <c r="N829" s="158">
        <f t="shared" si="158"/>
        <v>19</v>
      </c>
      <c r="O829" s="168">
        <f t="shared" si="160"/>
        <v>0.54838709677419351</v>
      </c>
      <c r="P829" s="157">
        <f t="shared" si="161"/>
        <v>0.61290322580645162</v>
      </c>
    </row>
    <row r="830" spans="1:16" ht="13.5" customHeight="1">
      <c r="A830" s="474"/>
      <c r="B830" s="127">
        <v>10</v>
      </c>
      <c r="C830" s="147">
        <v>25</v>
      </c>
      <c r="D830" s="147">
        <v>42</v>
      </c>
      <c r="E830" s="147">
        <v>0</v>
      </c>
      <c r="F830" s="181">
        <v>0</v>
      </c>
      <c r="G830" s="147">
        <v>1</v>
      </c>
      <c r="H830" s="147">
        <v>5</v>
      </c>
      <c r="I830" s="147">
        <v>0</v>
      </c>
      <c r="J830" s="147">
        <v>0</v>
      </c>
      <c r="K830" s="147">
        <v>0</v>
      </c>
      <c r="L830" s="148">
        <v>0</v>
      </c>
      <c r="M830" s="154">
        <f t="shared" si="157"/>
        <v>26</v>
      </c>
      <c r="N830" s="155">
        <f t="shared" si="158"/>
        <v>47</v>
      </c>
      <c r="O830" s="168">
        <f t="shared" si="160"/>
        <v>0.83870967741935487</v>
      </c>
      <c r="P830" s="157">
        <f t="shared" si="161"/>
        <v>1.5161290322580645</v>
      </c>
    </row>
    <row r="831" spans="1:16" ht="13.5" customHeight="1">
      <c r="A831" s="474"/>
      <c r="B831" s="127">
        <v>11</v>
      </c>
      <c r="C831" s="367">
        <v>26</v>
      </c>
      <c r="D831" s="367">
        <v>36</v>
      </c>
      <c r="E831" s="367">
        <v>0</v>
      </c>
      <c r="F831" s="367">
        <v>0</v>
      </c>
      <c r="G831" s="367">
        <v>2</v>
      </c>
      <c r="H831" s="367">
        <v>6</v>
      </c>
      <c r="I831" s="367">
        <v>0</v>
      </c>
      <c r="J831" s="367">
        <v>0</v>
      </c>
      <c r="K831" s="367">
        <v>0</v>
      </c>
      <c r="L831" s="368">
        <v>0</v>
      </c>
      <c r="M831" s="154">
        <f t="shared" si="157"/>
        <v>28</v>
      </c>
      <c r="N831" s="155">
        <f t="shared" si="158"/>
        <v>42</v>
      </c>
      <c r="O831" s="168">
        <f t="shared" si="160"/>
        <v>0.90322580645161288</v>
      </c>
      <c r="P831" s="157">
        <f t="shared" si="161"/>
        <v>1.3548387096774193</v>
      </c>
    </row>
    <row r="832" spans="1:16" ht="13.5" customHeight="1" thickBot="1">
      <c r="A832" s="475"/>
      <c r="B832" s="127">
        <v>12</v>
      </c>
      <c r="C832" s="187">
        <v>14</v>
      </c>
      <c r="D832" s="187">
        <v>22</v>
      </c>
      <c r="E832" s="187">
        <v>0</v>
      </c>
      <c r="F832" s="188">
        <v>0</v>
      </c>
      <c r="G832" s="187">
        <v>3</v>
      </c>
      <c r="H832" s="187">
        <v>5</v>
      </c>
      <c r="I832" s="187">
        <v>0</v>
      </c>
      <c r="J832" s="187">
        <v>0</v>
      </c>
      <c r="K832" s="187">
        <v>0</v>
      </c>
      <c r="L832" s="189">
        <v>0</v>
      </c>
      <c r="M832" s="154">
        <f t="shared" si="157"/>
        <v>17</v>
      </c>
      <c r="N832" s="155">
        <f t="shared" si="158"/>
        <v>27</v>
      </c>
      <c r="O832" s="168">
        <f t="shared" si="160"/>
        <v>0.54838709677419351</v>
      </c>
      <c r="P832" s="157">
        <f t="shared" si="161"/>
        <v>0.87096774193548387</v>
      </c>
    </row>
    <row r="833" spans="1:16" ht="13.5" customHeight="1">
      <c r="A833" s="473">
        <v>2018</v>
      </c>
      <c r="B833" s="410">
        <v>1</v>
      </c>
      <c r="C833" s="158">
        <v>9</v>
      </c>
      <c r="D833" s="158">
        <v>10</v>
      </c>
      <c r="E833" s="158">
        <v>0</v>
      </c>
      <c r="F833" s="169">
        <v>0</v>
      </c>
      <c r="G833" s="158">
        <v>0</v>
      </c>
      <c r="H833" s="158">
        <v>0</v>
      </c>
      <c r="I833" s="158">
        <v>0</v>
      </c>
      <c r="J833" s="158">
        <v>0</v>
      </c>
      <c r="K833" s="158">
        <v>0</v>
      </c>
      <c r="L833" s="159">
        <v>0</v>
      </c>
      <c r="M833" s="424">
        <f t="shared" si="157"/>
        <v>9</v>
      </c>
      <c r="N833" s="425">
        <f t="shared" si="158"/>
        <v>10</v>
      </c>
      <c r="O833" s="430">
        <f t="shared" si="160"/>
        <v>0.29032258064516131</v>
      </c>
      <c r="P833" s="427">
        <f t="shared" si="161"/>
        <v>0.32258064516129031</v>
      </c>
    </row>
    <row r="834" spans="1:16" ht="13.5" customHeight="1">
      <c r="A834" s="474"/>
      <c r="B834" s="127">
        <v>2</v>
      </c>
      <c r="C834" s="158">
        <v>8</v>
      </c>
      <c r="D834" s="158">
        <v>14</v>
      </c>
      <c r="E834" s="158">
        <v>0</v>
      </c>
      <c r="F834" s="169">
        <v>0</v>
      </c>
      <c r="G834" s="158">
        <v>3</v>
      </c>
      <c r="H834" s="158">
        <v>1</v>
      </c>
      <c r="I834" s="158">
        <v>0</v>
      </c>
      <c r="J834" s="158">
        <v>0</v>
      </c>
      <c r="K834" s="158">
        <v>0</v>
      </c>
      <c r="L834" s="159">
        <v>0</v>
      </c>
      <c r="M834" s="154">
        <f t="shared" si="157"/>
        <v>11</v>
      </c>
      <c r="N834" s="155">
        <f t="shared" si="158"/>
        <v>15</v>
      </c>
      <c r="O834" s="168">
        <f t="shared" si="160"/>
        <v>0.35483870967741937</v>
      </c>
      <c r="P834" s="157">
        <f t="shared" si="161"/>
        <v>0.4838709677419355</v>
      </c>
    </row>
    <row r="835" spans="1:16" ht="13.5" customHeight="1">
      <c r="A835" s="474"/>
      <c r="B835" s="127">
        <v>3</v>
      </c>
      <c r="C835" s="158">
        <v>17</v>
      </c>
      <c r="D835" s="158">
        <v>24</v>
      </c>
      <c r="E835" s="158">
        <v>0</v>
      </c>
      <c r="F835" s="169">
        <v>0</v>
      </c>
      <c r="G835" s="158">
        <v>5</v>
      </c>
      <c r="H835" s="158">
        <v>11</v>
      </c>
      <c r="I835" s="158">
        <v>0</v>
      </c>
      <c r="J835" s="158">
        <v>0</v>
      </c>
      <c r="K835" s="158">
        <v>0</v>
      </c>
      <c r="L835" s="159">
        <v>0</v>
      </c>
      <c r="M835" s="154">
        <f t="shared" si="157"/>
        <v>22</v>
      </c>
      <c r="N835" s="155">
        <f t="shared" si="158"/>
        <v>35</v>
      </c>
      <c r="O835" s="168">
        <f t="shared" si="160"/>
        <v>0.70967741935483875</v>
      </c>
      <c r="P835" s="157">
        <f t="shared" si="161"/>
        <v>1.1290322580645162</v>
      </c>
    </row>
    <row r="836" spans="1:16" ht="13.5" customHeight="1">
      <c r="A836" s="474"/>
      <c r="B836" s="127">
        <v>4</v>
      </c>
      <c r="C836" s="158">
        <v>14</v>
      </c>
      <c r="D836" s="158">
        <v>28</v>
      </c>
      <c r="E836" s="158">
        <v>0</v>
      </c>
      <c r="F836" s="169">
        <v>0</v>
      </c>
      <c r="G836" s="158">
        <v>6</v>
      </c>
      <c r="H836" s="158">
        <v>10</v>
      </c>
      <c r="I836" s="158">
        <v>0</v>
      </c>
      <c r="J836" s="158">
        <v>0</v>
      </c>
      <c r="K836" s="158">
        <v>0</v>
      </c>
      <c r="L836" s="159">
        <v>0</v>
      </c>
      <c r="M836" s="154">
        <f t="shared" si="157"/>
        <v>20</v>
      </c>
      <c r="N836" s="155">
        <f t="shared" si="158"/>
        <v>38</v>
      </c>
      <c r="O836" s="168">
        <f t="shared" si="160"/>
        <v>0.64516129032258063</v>
      </c>
      <c r="P836" s="157">
        <f t="shared" si="161"/>
        <v>1.2258064516129032</v>
      </c>
    </row>
    <row r="837" spans="1:16" ht="13.5" customHeight="1">
      <c r="A837" s="474"/>
      <c r="B837" s="127">
        <v>5</v>
      </c>
      <c r="C837" s="158">
        <v>15</v>
      </c>
      <c r="D837" s="158">
        <v>20</v>
      </c>
      <c r="E837" s="158">
        <v>4</v>
      </c>
      <c r="F837" s="169">
        <v>4</v>
      </c>
      <c r="G837" s="158">
        <v>3</v>
      </c>
      <c r="H837" s="158">
        <v>8</v>
      </c>
      <c r="I837" s="158">
        <v>0</v>
      </c>
      <c r="J837" s="158">
        <v>0</v>
      </c>
      <c r="K837" s="158">
        <v>0</v>
      </c>
      <c r="L837" s="159">
        <v>0</v>
      </c>
      <c r="M837" s="154">
        <f t="shared" si="157"/>
        <v>22</v>
      </c>
      <c r="N837" s="155">
        <f t="shared" si="158"/>
        <v>32</v>
      </c>
      <c r="O837" s="168">
        <f t="shared" si="160"/>
        <v>0.70967741935483875</v>
      </c>
      <c r="P837" s="157">
        <f t="shared" si="161"/>
        <v>1.032258064516129</v>
      </c>
    </row>
    <row r="838" spans="1:16" ht="13.5" customHeight="1">
      <c r="A838" s="474"/>
      <c r="B838" s="127">
        <v>6</v>
      </c>
      <c r="C838" s="158">
        <v>19</v>
      </c>
      <c r="D838" s="158">
        <v>29</v>
      </c>
      <c r="E838" s="158">
        <v>10</v>
      </c>
      <c r="F838" s="158">
        <v>12</v>
      </c>
      <c r="G838" s="158">
        <v>2</v>
      </c>
      <c r="H838" s="158">
        <v>1</v>
      </c>
      <c r="I838" s="158">
        <v>0</v>
      </c>
      <c r="J838" s="158">
        <v>0</v>
      </c>
      <c r="K838" s="158">
        <v>1</v>
      </c>
      <c r="L838" s="158">
        <v>0</v>
      </c>
      <c r="M838" s="154">
        <f t="shared" si="157"/>
        <v>32</v>
      </c>
      <c r="N838" s="155">
        <f t="shared" si="158"/>
        <v>42</v>
      </c>
      <c r="O838" s="168">
        <f>M838/30</f>
        <v>1.0666666666666667</v>
      </c>
      <c r="P838" s="157">
        <f>N838/30</f>
        <v>1.4</v>
      </c>
    </row>
    <row r="839" spans="1:16" ht="13.5" customHeight="1">
      <c r="A839" s="474"/>
      <c r="B839" s="127">
        <v>7</v>
      </c>
      <c r="C839" s="158">
        <v>22</v>
      </c>
      <c r="D839" s="158">
        <v>25</v>
      </c>
      <c r="E839" s="158">
        <v>6</v>
      </c>
      <c r="F839" s="158">
        <v>8</v>
      </c>
      <c r="G839" s="158">
        <v>6</v>
      </c>
      <c r="H839" s="158">
        <v>10</v>
      </c>
      <c r="I839" s="158">
        <v>0</v>
      </c>
      <c r="J839" s="158">
        <v>0</v>
      </c>
      <c r="K839" s="158">
        <v>1</v>
      </c>
      <c r="L839" s="158">
        <v>1</v>
      </c>
      <c r="M839" s="154">
        <f t="shared" si="157"/>
        <v>35</v>
      </c>
      <c r="N839" s="155">
        <f t="shared" si="158"/>
        <v>44</v>
      </c>
      <c r="O839" s="168">
        <f t="shared" ref="O839:P861" si="162">M839/31</f>
        <v>1.1290322580645162</v>
      </c>
      <c r="P839" s="157">
        <f t="shared" si="162"/>
        <v>1.4193548387096775</v>
      </c>
    </row>
    <row r="840" spans="1:16" ht="13.5" customHeight="1">
      <c r="A840" s="474"/>
      <c r="B840" s="127">
        <v>8</v>
      </c>
      <c r="C840" s="158">
        <v>28</v>
      </c>
      <c r="D840" s="158">
        <v>42</v>
      </c>
      <c r="E840" s="158">
        <v>4</v>
      </c>
      <c r="F840" s="158">
        <v>3</v>
      </c>
      <c r="G840" s="158">
        <v>4</v>
      </c>
      <c r="H840" s="158">
        <v>13</v>
      </c>
      <c r="I840" s="158">
        <v>0</v>
      </c>
      <c r="J840" s="158">
        <v>0</v>
      </c>
      <c r="K840" s="158">
        <v>0</v>
      </c>
      <c r="L840" s="159">
        <v>1</v>
      </c>
      <c r="M840" s="177">
        <f t="shared" si="157"/>
        <v>36</v>
      </c>
      <c r="N840" s="158">
        <f t="shared" si="158"/>
        <v>59</v>
      </c>
      <c r="O840" s="168">
        <f t="shared" si="162"/>
        <v>1.1612903225806452</v>
      </c>
      <c r="P840" s="157">
        <f t="shared" si="162"/>
        <v>1.903225806451613</v>
      </c>
    </row>
    <row r="841" spans="1:16" ht="13.5" customHeight="1">
      <c r="A841" s="474"/>
      <c r="B841" s="127">
        <v>9</v>
      </c>
      <c r="C841" s="147">
        <v>24</v>
      </c>
      <c r="D841" s="147">
        <v>35</v>
      </c>
      <c r="E841" s="147">
        <v>0</v>
      </c>
      <c r="F841" s="147">
        <v>1</v>
      </c>
      <c r="G841" s="147">
        <v>0</v>
      </c>
      <c r="H841" s="147">
        <v>0</v>
      </c>
      <c r="I841" s="147">
        <v>2</v>
      </c>
      <c r="J841" s="147">
        <v>7</v>
      </c>
      <c r="K841" s="147">
        <v>3</v>
      </c>
      <c r="L841" s="148">
        <v>2</v>
      </c>
      <c r="M841" s="177">
        <f t="shared" si="157"/>
        <v>29</v>
      </c>
      <c r="N841" s="158">
        <f t="shared" si="158"/>
        <v>45</v>
      </c>
      <c r="O841" s="168">
        <f t="shared" si="162"/>
        <v>0.93548387096774188</v>
      </c>
      <c r="P841" s="157">
        <f t="shared" si="162"/>
        <v>1.4516129032258065</v>
      </c>
    </row>
    <row r="842" spans="1:16" ht="13.5" customHeight="1">
      <c r="A842" s="474"/>
      <c r="B842" s="127">
        <v>10</v>
      </c>
      <c r="C842" s="147">
        <v>45</v>
      </c>
      <c r="D842" s="147">
        <v>33</v>
      </c>
      <c r="E842" s="147">
        <v>1</v>
      </c>
      <c r="F842" s="181">
        <v>1</v>
      </c>
      <c r="G842" s="147">
        <v>4</v>
      </c>
      <c r="H842" s="147">
        <v>2</v>
      </c>
      <c r="I842" s="147">
        <v>0</v>
      </c>
      <c r="J842" s="147">
        <v>0</v>
      </c>
      <c r="K842" s="147">
        <v>0</v>
      </c>
      <c r="L842" s="148">
        <v>3</v>
      </c>
      <c r="M842" s="154">
        <f t="shared" si="157"/>
        <v>50</v>
      </c>
      <c r="N842" s="155">
        <f t="shared" si="158"/>
        <v>39</v>
      </c>
      <c r="O842" s="168">
        <f t="shared" si="162"/>
        <v>1.6129032258064515</v>
      </c>
      <c r="P842" s="157">
        <f t="shared" si="162"/>
        <v>1.2580645161290323</v>
      </c>
    </row>
    <row r="843" spans="1:16" ht="13.5" customHeight="1">
      <c r="A843" s="474"/>
      <c r="B843" s="127">
        <v>11</v>
      </c>
      <c r="C843" s="367">
        <v>33</v>
      </c>
      <c r="D843" s="367">
        <v>81</v>
      </c>
      <c r="E843" s="367">
        <v>0</v>
      </c>
      <c r="F843" s="367">
        <v>0</v>
      </c>
      <c r="G843" s="367">
        <v>2</v>
      </c>
      <c r="H843" s="367">
        <v>6</v>
      </c>
      <c r="I843" s="367">
        <v>1</v>
      </c>
      <c r="J843" s="367">
        <v>0</v>
      </c>
      <c r="K843" s="367">
        <v>0</v>
      </c>
      <c r="L843" s="368">
        <v>0</v>
      </c>
      <c r="M843" s="154">
        <f t="shared" si="157"/>
        <v>36</v>
      </c>
      <c r="N843" s="155">
        <f t="shared" si="158"/>
        <v>87</v>
      </c>
      <c r="O843" s="168">
        <f t="shared" si="162"/>
        <v>1.1612903225806452</v>
      </c>
      <c r="P843" s="157">
        <f t="shared" si="162"/>
        <v>2.806451612903226</v>
      </c>
    </row>
    <row r="844" spans="1:16" ht="13.5" customHeight="1" thickBot="1">
      <c r="A844" s="475"/>
      <c r="B844" s="127">
        <v>12</v>
      </c>
      <c r="C844" s="187">
        <v>38</v>
      </c>
      <c r="D844" s="187">
        <v>47</v>
      </c>
      <c r="E844" s="187">
        <v>0</v>
      </c>
      <c r="F844" s="188">
        <v>0</v>
      </c>
      <c r="G844" s="187">
        <v>0</v>
      </c>
      <c r="H844" s="187">
        <v>0</v>
      </c>
      <c r="I844" s="187">
        <v>0</v>
      </c>
      <c r="J844" s="187">
        <v>1</v>
      </c>
      <c r="K844" s="187">
        <v>2</v>
      </c>
      <c r="L844" s="189">
        <v>5</v>
      </c>
      <c r="M844" s="154">
        <f t="shared" si="157"/>
        <v>40</v>
      </c>
      <c r="N844" s="155">
        <f t="shared" si="158"/>
        <v>53</v>
      </c>
      <c r="O844" s="168">
        <f t="shared" si="162"/>
        <v>1.2903225806451613</v>
      </c>
      <c r="P844" s="157">
        <f t="shared" si="162"/>
        <v>1.7096774193548387</v>
      </c>
    </row>
    <row r="845" spans="1:16" ht="13.5" customHeight="1">
      <c r="A845" s="473">
        <v>2019</v>
      </c>
      <c r="B845" s="410">
        <v>1</v>
      </c>
      <c r="C845" s="158">
        <v>22</v>
      </c>
      <c r="D845" s="158">
        <v>26</v>
      </c>
      <c r="E845" s="158">
        <v>1</v>
      </c>
      <c r="F845" s="169">
        <v>1</v>
      </c>
      <c r="G845" s="158">
        <v>2</v>
      </c>
      <c r="H845" s="158">
        <v>2</v>
      </c>
      <c r="I845" s="158">
        <v>0</v>
      </c>
      <c r="J845" s="158">
        <v>0</v>
      </c>
      <c r="K845" s="158">
        <v>1</v>
      </c>
      <c r="L845" s="159">
        <v>0</v>
      </c>
      <c r="M845" s="424">
        <f t="shared" si="157"/>
        <v>26</v>
      </c>
      <c r="N845" s="425">
        <f t="shared" si="158"/>
        <v>29</v>
      </c>
      <c r="O845" s="430">
        <f t="shared" ref="O845:O849" si="163">M845/31</f>
        <v>0.83870967741935487</v>
      </c>
      <c r="P845" s="427">
        <f t="shared" ref="P845:P849" si="164">N845/31</f>
        <v>0.93548387096774188</v>
      </c>
    </row>
    <row r="846" spans="1:16" ht="13.5" customHeight="1">
      <c r="A846" s="474"/>
      <c r="B846" s="127">
        <v>2</v>
      </c>
      <c r="C846" s="158">
        <v>26</v>
      </c>
      <c r="D846" s="158">
        <v>43</v>
      </c>
      <c r="E846" s="158">
        <v>0</v>
      </c>
      <c r="F846" s="169">
        <v>0</v>
      </c>
      <c r="G846" s="158">
        <v>1</v>
      </c>
      <c r="H846" s="158">
        <v>1</v>
      </c>
      <c r="I846" s="158">
        <v>0</v>
      </c>
      <c r="J846" s="158">
        <v>0</v>
      </c>
      <c r="K846" s="158">
        <v>0</v>
      </c>
      <c r="L846" s="159">
        <v>2</v>
      </c>
      <c r="M846" s="154">
        <f t="shared" si="157"/>
        <v>27</v>
      </c>
      <c r="N846" s="155">
        <f t="shared" si="158"/>
        <v>46</v>
      </c>
      <c r="O846" s="168">
        <f t="shared" si="163"/>
        <v>0.87096774193548387</v>
      </c>
      <c r="P846" s="157">
        <f t="shared" si="164"/>
        <v>1.4838709677419355</v>
      </c>
    </row>
    <row r="847" spans="1:16" ht="13.5" customHeight="1">
      <c r="A847" s="474"/>
      <c r="B847" s="127">
        <v>3</v>
      </c>
      <c r="C847" s="158">
        <v>35</v>
      </c>
      <c r="D847" s="158">
        <v>44</v>
      </c>
      <c r="E847" s="158">
        <v>3</v>
      </c>
      <c r="F847" s="169">
        <v>5</v>
      </c>
      <c r="G847" s="158">
        <v>5</v>
      </c>
      <c r="H847" s="158">
        <v>0</v>
      </c>
      <c r="I847" s="158">
        <v>0</v>
      </c>
      <c r="J847" s="158">
        <v>0</v>
      </c>
      <c r="K847" s="158">
        <v>1</v>
      </c>
      <c r="L847" s="159">
        <v>2</v>
      </c>
      <c r="M847" s="154">
        <f t="shared" si="157"/>
        <v>44</v>
      </c>
      <c r="N847" s="155">
        <f t="shared" si="158"/>
        <v>51</v>
      </c>
      <c r="O847" s="168">
        <f t="shared" si="163"/>
        <v>1.4193548387096775</v>
      </c>
      <c r="P847" s="157">
        <f t="shared" si="164"/>
        <v>1.6451612903225807</v>
      </c>
    </row>
    <row r="848" spans="1:16" ht="13.5" customHeight="1">
      <c r="A848" s="474"/>
      <c r="B848" s="127">
        <v>4</v>
      </c>
      <c r="C848" s="158">
        <v>41</v>
      </c>
      <c r="D848" s="158">
        <v>51</v>
      </c>
      <c r="E848" s="158">
        <v>3</v>
      </c>
      <c r="F848" s="169">
        <v>2</v>
      </c>
      <c r="G848" s="158">
        <v>1</v>
      </c>
      <c r="H848" s="158">
        <v>12</v>
      </c>
      <c r="I848" s="158">
        <v>0</v>
      </c>
      <c r="J848" s="158">
        <v>0</v>
      </c>
      <c r="K848" s="158">
        <v>0</v>
      </c>
      <c r="L848" s="159">
        <v>0</v>
      </c>
      <c r="M848" s="154">
        <f t="shared" si="157"/>
        <v>45</v>
      </c>
      <c r="N848" s="155">
        <f t="shared" si="158"/>
        <v>65</v>
      </c>
      <c r="O848" s="168">
        <f t="shared" si="163"/>
        <v>1.4516129032258065</v>
      </c>
      <c r="P848" s="157">
        <f t="shared" si="164"/>
        <v>2.096774193548387</v>
      </c>
    </row>
    <row r="849" spans="1:16" ht="13.5" customHeight="1">
      <c r="A849" s="474"/>
      <c r="B849" s="127">
        <v>5</v>
      </c>
      <c r="C849" s="158">
        <v>39</v>
      </c>
      <c r="D849" s="158">
        <v>57</v>
      </c>
      <c r="E849" s="158">
        <v>5</v>
      </c>
      <c r="F849" s="169">
        <v>4</v>
      </c>
      <c r="G849" s="158">
        <v>0</v>
      </c>
      <c r="H849" s="158">
        <v>0</v>
      </c>
      <c r="I849" s="158">
        <v>1</v>
      </c>
      <c r="J849" s="158">
        <v>0</v>
      </c>
      <c r="K849" s="158">
        <v>1</v>
      </c>
      <c r="L849" s="159">
        <v>1</v>
      </c>
      <c r="M849" s="154">
        <f t="shared" si="157"/>
        <v>46</v>
      </c>
      <c r="N849" s="155">
        <f t="shared" si="158"/>
        <v>62</v>
      </c>
      <c r="O849" s="168">
        <f t="shared" si="163"/>
        <v>1.4838709677419355</v>
      </c>
      <c r="P849" s="157">
        <f t="shared" si="164"/>
        <v>2</v>
      </c>
    </row>
    <row r="850" spans="1:16" ht="13.5" customHeight="1">
      <c r="A850" s="474"/>
      <c r="B850" s="127">
        <v>6</v>
      </c>
      <c r="C850" s="158">
        <v>31</v>
      </c>
      <c r="D850" s="158">
        <v>45</v>
      </c>
      <c r="E850" s="158">
        <v>9</v>
      </c>
      <c r="F850" s="158">
        <v>10</v>
      </c>
      <c r="G850" s="158">
        <v>3</v>
      </c>
      <c r="H850" s="158">
        <v>4</v>
      </c>
      <c r="I850" s="158">
        <v>0</v>
      </c>
      <c r="J850" s="158">
        <v>1</v>
      </c>
      <c r="K850" s="158">
        <v>0</v>
      </c>
      <c r="L850" s="158">
        <v>0</v>
      </c>
      <c r="M850" s="154">
        <f t="shared" si="157"/>
        <v>43</v>
      </c>
      <c r="N850" s="155">
        <f t="shared" si="158"/>
        <v>60</v>
      </c>
      <c r="O850" s="168">
        <f>M850/30</f>
        <v>1.4333333333333333</v>
      </c>
      <c r="P850" s="157">
        <f>N850/30</f>
        <v>2</v>
      </c>
    </row>
    <row r="851" spans="1:16" ht="13.5" customHeight="1">
      <c r="A851" s="474"/>
      <c r="B851" s="127">
        <v>7</v>
      </c>
      <c r="C851" s="158">
        <v>40</v>
      </c>
      <c r="D851" s="158">
        <v>51</v>
      </c>
      <c r="E851" s="158">
        <v>5</v>
      </c>
      <c r="F851" s="158">
        <v>6</v>
      </c>
      <c r="G851" s="158">
        <v>2</v>
      </c>
      <c r="H851" s="158">
        <v>0</v>
      </c>
      <c r="I851" s="158">
        <v>0</v>
      </c>
      <c r="J851" s="158">
        <v>0</v>
      </c>
      <c r="K851" s="158">
        <v>0</v>
      </c>
      <c r="L851" s="158">
        <v>0</v>
      </c>
      <c r="M851" s="154">
        <f t="shared" si="157"/>
        <v>47</v>
      </c>
      <c r="N851" s="155">
        <f t="shared" si="158"/>
        <v>57</v>
      </c>
      <c r="O851" s="168">
        <f t="shared" ref="O851:O852" si="165">M851/31</f>
        <v>1.5161290322580645</v>
      </c>
      <c r="P851" s="157">
        <f t="shared" ref="P851:P852" si="166">N851/31</f>
        <v>1.8387096774193548</v>
      </c>
    </row>
    <row r="852" spans="1:16" ht="13.5" customHeight="1">
      <c r="A852" s="474"/>
      <c r="B852" s="127">
        <v>8</v>
      </c>
      <c r="C852" s="158">
        <v>40</v>
      </c>
      <c r="D852" s="158">
        <v>93</v>
      </c>
      <c r="E852" s="158">
        <v>2</v>
      </c>
      <c r="F852" s="158">
        <v>2</v>
      </c>
      <c r="G852" s="158">
        <v>4</v>
      </c>
      <c r="H852" s="158">
        <v>12</v>
      </c>
      <c r="I852" s="158">
        <v>0</v>
      </c>
      <c r="J852" s="158">
        <v>0</v>
      </c>
      <c r="K852" s="158">
        <v>0</v>
      </c>
      <c r="L852" s="159">
        <v>0</v>
      </c>
      <c r="M852" s="177">
        <f t="shared" si="157"/>
        <v>46</v>
      </c>
      <c r="N852" s="158">
        <f t="shared" si="158"/>
        <v>107</v>
      </c>
      <c r="O852" s="168">
        <f t="shared" si="165"/>
        <v>1.4838709677419355</v>
      </c>
      <c r="P852" s="157">
        <f t="shared" si="166"/>
        <v>3.4516129032258065</v>
      </c>
    </row>
    <row r="853" spans="1:16" ht="13.5" customHeight="1">
      <c r="A853" s="474"/>
      <c r="B853" s="127">
        <v>9</v>
      </c>
      <c r="C853" s="147">
        <v>32</v>
      </c>
      <c r="D853" s="147">
        <v>46</v>
      </c>
      <c r="E853" s="147">
        <v>1</v>
      </c>
      <c r="F853" s="147">
        <v>1</v>
      </c>
      <c r="G853" s="147">
        <v>1</v>
      </c>
      <c r="H853" s="147">
        <v>5</v>
      </c>
      <c r="I853" s="147">
        <v>0</v>
      </c>
      <c r="J853" s="147">
        <v>0</v>
      </c>
      <c r="K853" s="147">
        <v>4</v>
      </c>
      <c r="L853" s="148">
        <v>4</v>
      </c>
      <c r="M853" s="177">
        <v>38</v>
      </c>
      <c r="N853" s="158">
        <v>56</v>
      </c>
      <c r="O853" s="168">
        <v>1.2258064516129032</v>
      </c>
      <c r="P853" s="157">
        <v>1.8064516129032258</v>
      </c>
    </row>
    <row r="854" spans="1:16" ht="13.5" customHeight="1">
      <c r="A854" s="474"/>
      <c r="B854" s="127">
        <v>10</v>
      </c>
      <c r="C854" s="147">
        <v>47</v>
      </c>
      <c r="D854" s="147">
        <v>39</v>
      </c>
      <c r="E854" s="147">
        <v>7</v>
      </c>
      <c r="F854" s="181">
        <v>2</v>
      </c>
      <c r="G854" s="147">
        <v>3</v>
      </c>
      <c r="H854" s="147">
        <v>8</v>
      </c>
      <c r="I854" s="147">
        <v>0</v>
      </c>
      <c r="J854" s="147">
        <v>0</v>
      </c>
      <c r="K854" s="147">
        <v>0</v>
      </c>
      <c r="L854" s="148">
        <v>0</v>
      </c>
      <c r="M854" s="154">
        <f t="shared" ref="M854:M856" si="167">+C854+E854+G854+I854+K854</f>
        <v>57</v>
      </c>
      <c r="N854" s="155">
        <f t="shared" ref="N854:N856" si="168">+D854+F854+H854+J854+L854</f>
        <v>49</v>
      </c>
      <c r="O854" s="168">
        <f t="shared" ref="O854:O856" si="169">M854/31</f>
        <v>1.8387096774193548</v>
      </c>
      <c r="P854" s="157">
        <f t="shared" ref="P854:P856" si="170">N854/31</f>
        <v>1.5806451612903225</v>
      </c>
    </row>
    <row r="855" spans="1:16" ht="13.5" customHeight="1">
      <c r="A855" s="474"/>
      <c r="B855" s="127">
        <v>11</v>
      </c>
      <c r="C855" s="367">
        <v>49</v>
      </c>
      <c r="D855" s="367">
        <v>75</v>
      </c>
      <c r="E855" s="367">
        <v>9</v>
      </c>
      <c r="F855" s="367">
        <v>11</v>
      </c>
      <c r="G855" s="367">
        <v>1</v>
      </c>
      <c r="H855" s="367">
        <v>2</v>
      </c>
      <c r="I855" s="367">
        <v>1</v>
      </c>
      <c r="J855" s="367">
        <v>1</v>
      </c>
      <c r="K855" s="367">
        <v>2</v>
      </c>
      <c r="L855" s="368">
        <v>2</v>
      </c>
      <c r="M855" s="154">
        <f t="shared" si="167"/>
        <v>62</v>
      </c>
      <c r="N855" s="155">
        <f t="shared" si="168"/>
        <v>91</v>
      </c>
      <c r="O855" s="168">
        <f t="shared" si="169"/>
        <v>2</v>
      </c>
      <c r="P855" s="157">
        <f t="shared" si="170"/>
        <v>2.935483870967742</v>
      </c>
    </row>
    <row r="856" spans="1:16" ht="13.5" customHeight="1" thickBot="1">
      <c r="A856" s="475"/>
      <c r="B856" s="127">
        <v>12</v>
      </c>
      <c r="C856" s="374">
        <v>48</v>
      </c>
      <c r="D856" s="374">
        <v>60</v>
      </c>
      <c r="E856" s="374">
        <v>13</v>
      </c>
      <c r="F856" s="374">
        <v>14</v>
      </c>
      <c r="G856" s="374">
        <v>0</v>
      </c>
      <c r="H856" s="374">
        <v>0</v>
      </c>
      <c r="I856" s="374">
        <v>0</v>
      </c>
      <c r="J856" s="374">
        <v>0</v>
      </c>
      <c r="K856" s="374">
        <v>2</v>
      </c>
      <c r="L856" s="375">
        <v>0</v>
      </c>
      <c r="M856" s="154">
        <f t="shared" si="167"/>
        <v>63</v>
      </c>
      <c r="N856" s="155">
        <f t="shared" si="168"/>
        <v>74</v>
      </c>
      <c r="O856" s="168">
        <f t="shared" si="169"/>
        <v>2.032258064516129</v>
      </c>
      <c r="P856" s="157">
        <f t="shared" si="170"/>
        <v>2.3870967741935485</v>
      </c>
    </row>
    <row r="857" spans="1:16" ht="13.5" customHeight="1">
      <c r="A857" s="473">
        <v>2020</v>
      </c>
      <c r="B857" s="410">
        <v>1</v>
      </c>
      <c r="C857" s="434">
        <v>31</v>
      </c>
      <c r="D857" s="434">
        <v>67</v>
      </c>
      <c r="E857" s="434">
        <v>2</v>
      </c>
      <c r="F857" s="435">
        <v>5</v>
      </c>
      <c r="G857" s="434">
        <v>0</v>
      </c>
      <c r="H857" s="434">
        <v>0</v>
      </c>
      <c r="I857" s="434">
        <v>0</v>
      </c>
      <c r="J857" s="434">
        <v>0</v>
      </c>
      <c r="K857" s="434">
        <v>0</v>
      </c>
      <c r="L857" s="436">
        <v>6</v>
      </c>
      <c r="M857" s="424">
        <f t="shared" ref="M857:M868" si="171">+C857+E857+G857+I857+K857</f>
        <v>33</v>
      </c>
      <c r="N857" s="425">
        <f t="shared" ref="N857:N868" si="172">+D857+F857+H857+J857+L857</f>
        <v>78</v>
      </c>
      <c r="O857" s="430">
        <f t="shared" si="162"/>
        <v>1.064516129032258</v>
      </c>
      <c r="P857" s="427">
        <f t="shared" si="162"/>
        <v>2.5161290322580645</v>
      </c>
    </row>
    <row r="858" spans="1:16" ht="13.5" customHeight="1">
      <c r="A858" s="474"/>
      <c r="B858" s="127">
        <v>2</v>
      </c>
      <c r="C858" s="147">
        <v>32</v>
      </c>
      <c r="D858" s="147">
        <v>48</v>
      </c>
      <c r="E858" s="147">
        <v>1</v>
      </c>
      <c r="F858" s="181">
        <v>1</v>
      </c>
      <c r="G858" s="147">
        <v>0</v>
      </c>
      <c r="H858" s="147">
        <v>0</v>
      </c>
      <c r="I858" s="147">
        <v>1</v>
      </c>
      <c r="J858" s="147">
        <v>1</v>
      </c>
      <c r="K858" s="147">
        <v>0</v>
      </c>
      <c r="L858" s="148">
        <v>0</v>
      </c>
      <c r="M858" s="154">
        <f t="shared" si="171"/>
        <v>34</v>
      </c>
      <c r="N858" s="155">
        <f t="shared" si="172"/>
        <v>50</v>
      </c>
      <c r="O858" s="168">
        <f t="shared" si="162"/>
        <v>1.096774193548387</v>
      </c>
      <c r="P858" s="157">
        <f t="shared" si="162"/>
        <v>1.6129032258064515</v>
      </c>
    </row>
    <row r="859" spans="1:16" ht="13.5" customHeight="1">
      <c r="A859" s="474"/>
      <c r="B859" s="127">
        <v>3</v>
      </c>
      <c r="C859" s="147">
        <v>24</v>
      </c>
      <c r="D859" s="147">
        <v>29</v>
      </c>
      <c r="E859" s="147">
        <v>0</v>
      </c>
      <c r="F859" s="181">
        <v>0</v>
      </c>
      <c r="G859" s="147">
        <v>0</v>
      </c>
      <c r="H859" s="147">
        <v>0</v>
      </c>
      <c r="I859" s="147">
        <v>0</v>
      </c>
      <c r="J859" s="147">
        <v>0</v>
      </c>
      <c r="K859" s="147">
        <v>0</v>
      </c>
      <c r="L859" s="148">
        <v>0</v>
      </c>
      <c r="M859" s="154">
        <f t="shared" si="171"/>
        <v>24</v>
      </c>
      <c r="N859" s="155">
        <f t="shared" si="172"/>
        <v>29</v>
      </c>
      <c r="O859" s="168">
        <f t="shared" si="162"/>
        <v>0.77419354838709675</v>
      </c>
      <c r="P859" s="157">
        <f t="shared" si="162"/>
        <v>0.93548387096774188</v>
      </c>
    </row>
    <row r="860" spans="1:16" ht="13.5" customHeight="1">
      <c r="A860" s="474"/>
      <c r="B860" s="127">
        <v>4</v>
      </c>
      <c r="C860" s="147">
        <v>2</v>
      </c>
      <c r="D860" s="147">
        <v>3</v>
      </c>
      <c r="E860" s="147">
        <v>0</v>
      </c>
      <c r="F860" s="181">
        <v>0</v>
      </c>
      <c r="G860" s="147">
        <v>0</v>
      </c>
      <c r="H860" s="147">
        <v>0</v>
      </c>
      <c r="I860" s="147">
        <v>0</v>
      </c>
      <c r="J860" s="147">
        <v>0</v>
      </c>
      <c r="K860" s="147">
        <v>0</v>
      </c>
      <c r="L860" s="148">
        <v>0</v>
      </c>
      <c r="M860" s="154">
        <f t="shared" si="171"/>
        <v>2</v>
      </c>
      <c r="N860" s="155">
        <f t="shared" si="172"/>
        <v>3</v>
      </c>
      <c r="O860" s="168">
        <f t="shared" si="162"/>
        <v>6.4516129032258063E-2</v>
      </c>
      <c r="P860" s="157">
        <f t="shared" si="162"/>
        <v>9.6774193548387094E-2</v>
      </c>
    </row>
    <row r="861" spans="1:16" ht="13.5" customHeight="1">
      <c r="A861" s="474"/>
      <c r="B861" s="127">
        <v>5</v>
      </c>
      <c r="C861" s="147">
        <v>2</v>
      </c>
      <c r="D861" s="147">
        <v>2</v>
      </c>
      <c r="E861" s="147">
        <v>0</v>
      </c>
      <c r="F861" s="181">
        <v>0</v>
      </c>
      <c r="G861" s="147">
        <v>0</v>
      </c>
      <c r="H861" s="147">
        <v>0</v>
      </c>
      <c r="I861" s="147">
        <v>0</v>
      </c>
      <c r="J861" s="147">
        <v>0</v>
      </c>
      <c r="K861" s="147">
        <v>0</v>
      </c>
      <c r="L861" s="148">
        <v>0</v>
      </c>
      <c r="M861" s="154">
        <f t="shared" si="171"/>
        <v>2</v>
      </c>
      <c r="N861" s="155">
        <f t="shared" si="172"/>
        <v>2</v>
      </c>
      <c r="O861" s="168">
        <f t="shared" si="162"/>
        <v>6.4516129032258063E-2</v>
      </c>
      <c r="P861" s="157">
        <f t="shared" si="162"/>
        <v>6.4516129032258063E-2</v>
      </c>
    </row>
    <row r="862" spans="1:16" ht="13.5" customHeight="1">
      <c r="A862" s="474"/>
      <c r="B862" s="127">
        <v>6</v>
      </c>
      <c r="C862" s="147">
        <f>集計用!C64</f>
        <v>8</v>
      </c>
      <c r="D862" s="147">
        <f>集計用!S64</f>
        <v>10</v>
      </c>
      <c r="E862" s="147">
        <f>集計用!E64</f>
        <v>0</v>
      </c>
      <c r="F862" s="181">
        <f>集計用!U64</f>
        <v>0</v>
      </c>
      <c r="G862" s="147">
        <f>集計用!G64</f>
        <v>0</v>
      </c>
      <c r="H862" s="147">
        <f>集計用!W64</f>
        <v>0</v>
      </c>
      <c r="I862" s="147">
        <f>集計用!I64</f>
        <v>0</v>
      </c>
      <c r="J862" s="147">
        <f>集計用!Y64</f>
        <v>0</v>
      </c>
      <c r="K862" s="147">
        <f>集計用!K64</f>
        <v>0</v>
      </c>
      <c r="L862" s="148">
        <f>集計用!AA64</f>
        <v>0</v>
      </c>
      <c r="M862" s="154">
        <f t="shared" si="171"/>
        <v>8</v>
      </c>
      <c r="N862" s="155">
        <f t="shared" si="172"/>
        <v>10</v>
      </c>
      <c r="O862" s="168">
        <f>M862/30</f>
        <v>0.26666666666666666</v>
      </c>
      <c r="P862" s="157">
        <f>N862/30</f>
        <v>0.33333333333333331</v>
      </c>
    </row>
    <row r="863" spans="1:16" ht="13.5" customHeight="1">
      <c r="A863" s="474"/>
      <c r="B863" s="127">
        <v>7</v>
      </c>
      <c r="C863" s="158"/>
      <c r="D863" s="158"/>
      <c r="E863" s="158"/>
      <c r="F863" s="158"/>
      <c r="G863" s="158"/>
      <c r="H863" s="158"/>
      <c r="I863" s="158"/>
      <c r="J863" s="158"/>
      <c r="K863" s="158"/>
      <c r="L863" s="158"/>
      <c r="M863" s="154">
        <f t="shared" si="171"/>
        <v>0</v>
      </c>
      <c r="N863" s="155">
        <f t="shared" si="172"/>
        <v>0</v>
      </c>
      <c r="O863" s="168">
        <f t="shared" ref="O863:O868" si="173">M863/31</f>
        <v>0</v>
      </c>
      <c r="P863" s="157">
        <f t="shared" ref="P863:P868" si="174">N863/31</f>
        <v>0</v>
      </c>
    </row>
    <row r="864" spans="1:16" ht="13.5" customHeight="1">
      <c r="A864" s="474"/>
      <c r="B864" s="127">
        <v>8</v>
      </c>
      <c r="C864" s="158"/>
      <c r="D864" s="158"/>
      <c r="E864" s="158"/>
      <c r="F864" s="158"/>
      <c r="G864" s="158"/>
      <c r="H864" s="158"/>
      <c r="I864" s="158"/>
      <c r="J864" s="158"/>
      <c r="K864" s="158"/>
      <c r="L864" s="159"/>
      <c r="M864" s="177">
        <f t="shared" si="171"/>
        <v>0</v>
      </c>
      <c r="N864" s="158">
        <f t="shared" si="172"/>
        <v>0</v>
      </c>
      <c r="O864" s="168">
        <f t="shared" si="173"/>
        <v>0</v>
      </c>
      <c r="P864" s="157">
        <f t="shared" si="174"/>
        <v>0</v>
      </c>
    </row>
    <row r="865" spans="1:16" ht="13.5" customHeight="1">
      <c r="A865" s="474"/>
      <c r="B865" s="127">
        <v>9</v>
      </c>
      <c r="C865" s="147"/>
      <c r="D865" s="147"/>
      <c r="E865" s="147"/>
      <c r="F865" s="147"/>
      <c r="G865" s="147"/>
      <c r="H865" s="147"/>
      <c r="I865" s="147"/>
      <c r="J865" s="147"/>
      <c r="K865" s="147"/>
      <c r="L865" s="148"/>
      <c r="M865" s="177">
        <f t="shared" ref="M865" si="175">+C865+E865+G865+I865+K865</f>
        <v>0</v>
      </c>
      <c r="N865" s="158">
        <f t="shared" ref="N865" si="176">+D865+F865+H865+J865+L865</f>
        <v>0</v>
      </c>
      <c r="O865" s="168">
        <f>M865/30</f>
        <v>0</v>
      </c>
      <c r="P865" s="157">
        <f>N865/30</f>
        <v>0</v>
      </c>
    </row>
    <row r="866" spans="1:16" ht="13.5" customHeight="1">
      <c r="A866" s="474"/>
      <c r="B866" s="127">
        <v>10</v>
      </c>
      <c r="C866" s="147"/>
      <c r="D866" s="147"/>
      <c r="E866" s="147"/>
      <c r="F866" s="181"/>
      <c r="G866" s="147"/>
      <c r="H866" s="147"/>
      <c r="I866" s="147"/>
      <c r="J866" s="147"/>
      <c r="K866" s="147"/>
      <c r="L866" s="148"/>
      <c r="M866" s="154">
        <f t="shared" ref="M866" si="177">+C866+E866+G866+I866+K866</f>
        <v>0</v>
      </c>
      <c r="N866" s="155">
        <f t="shared" ref="N866" si="178">+D866+F866+H866+J866+L866</f>
        <v>0</v>
      </c>
      <c r="O866" s="168">
        <f t="shared" ref="O866" si="179">M866/31</f>
        <v>0</v>
      </c>
      <c r="P866" s="157">
        <f t="shared" ref="P866" si="180">N866/31</f>
        <v>0</v>
      </c>
    </row>
    <row r="867" spans="1:16" ht="13.5" customHeight="1">
      <c r="A867" s="474"/>
      <c r="B867" s="127">
        <v>11</v>
      </c>
      <c r="C867" s="367"/>
      <c r="D867" s="367"/>
      <c r="E867" s="367"/>
      <c r="F867" s="367"/>
      <c r="G867" s="367"/>
      <c r="H867" s="367"/>
      <c r="I867" s="367"/>
      <c r="J867" s="367"/>
      <c r="K867" s="367"/>
      <c r="L867" s="368"/>
      <c r="M867" s="154">
        <f t="shared" si="171"/>
        <v>0</v>
      </c>
      <c r="N867" s="155">
        <f t="shared" si="172"/>
        <v>0</v>
      </c>
      <c r="O867" s="168">
        <f t="shared" si="173"/>
        <v>0</v>
      </c>
      <c r="P867" s="157">
        <f t="shared" si="174"/>
        <v>0</v>
      </c>
    </row>
    <row r="868" spans="1:16" ht="13.5" customHeight="1" thickBot="1">
      <c r="A868" s="475"/>
      <c r="B868" s="127">
        <v>12</v>
      </c>
      <c r="C868" s="187"/>
      <c r="D868" s="187"/>
      <c r="E868" s="187"/>
      <c r="F868" s="188"/>
      <c r="G868" s="187"/>
      <c r="H868" s="187"/>
      <c r="I868" s="187"/>
      <c r="J868" s="187"/>
      <c r="K868" s="187"/>
      <c r="L868" s="189"/>
      <c r="M868" s="154">
        <f t="shared" si="171"/>
        <v>0</v>
      </c>
      <c r="N868" s="155">
        <f t="shared" si="172"/>
        <v>0</v>
      </c>
      <c r="O868" s="168">
        <f t="shared" si="173"/>
        <v>0</v>
      </c>
      <c r="P868" s="157">
        <f t="shared" si="174"/>
        <v>0</v>
      </c>
    </row>
    <row r="869" spans="1:16" ht="18.75" customHeight="1" thickBot="1">
      <c r="A869" s="180"/>
      <c r="B869" s="160" t="s">
        <v>5</v>
      </c>
      <c r="C869" s="161">
        <f>SUM(C821:C868)</f>
        <v>916</v>
      </c>
      <c r="D869" s="161">
        <f t="shared" ref="D869:K869" si="181">SUM(D821:D868)</f>
        <v>1312</v>
      </c>
      <c r="E869" s="161">
        <f t="shared" si="181"/>
        <v>89</v>
      </c>
      <c r="F869" s="161">
        <f t="shared" si="181"/>
        <v>98</v>
      </c>
      <c r="G869" s="161">
        <f t="shared" si="181"/>
        <v>71</v>
      </c>
      <c r="H869" s="161">
        <f t="shared" si="181"/>
        <v>139</v>
      </c>
      <c r="I869" s="161">
        <f t="shared" si="181"/>
        <v>7</v>
      </c>
      <c r="J869" s="161">
        <f t="shared" si="181"/>
        <v>12</v>
      </c>
      <c r="K869" s="161">
        <f t="shared" si="181"/>
        <v>18</v>
      </c>
      <c r="L869" s="161">
        <f>SUM(L821:L868)</f>
        <v>29</v>
      </c>
      <c r="M869" s="162">
        <f>SUM(M821:M868)</f>
        <v>1101</v>
      </c>
      <c r="N869" s="161">
        <f>SUM(N821:N868)</f>
        <v>1590</v>
      </c>
      <c r="O869" s="161">
        <f>SUM(O821:O868)</f>
        <v>35.611827956989245</v>
      </c>
      <c r="P869" s="161">
        <f>SUM(P821:P868)</f>
        <v>51.417204301075273</v>
      </c>
    </row>
    <row r="871" spans="1:16" ht="11.25" customHeight="1">
      <c r="B871" s="467" t="s">
        <v>183</v>
      </c>
      <c r="C871" s="469" t="s">
        <v>29</v>
      </c>
      <c r="D871" s="470"/>
      <c r="E871" s="469" t="s">
        <v>30</v>
      </c>
      <c r="F871" s="470"/>
      <c r="G871" s="469" t="s">
        <v>31</v>
      </c>
      <c r="H871" s="470"/>
      <c r="I871" s="469" t="s">
        <v>58</v>
      </c>
      <c r="J871" s="470"/>
      <c r="K871" s="469" t="s">
        <v>57</v>
      </c>
      <c r="L871" s="471"/>
      <c r="M871" s="470" t="s">
        <v>5</v>
      </c>
      <c r="N871" s="472"/>
      <c r="O871" s="472" t="s">
        <v>33</v>
      </c>
      <c r="P871" s="472"/>
    </row>
    <row r="872" spans="1:16" ht="11.25" customHeight="1" thickBot="1">
      <c r="B872" s="468"/>
      <c r="C872" s="13" t="s">
        <v>34</v>
      </c>
      <c r="D872" s="13" t="s">
        <v>35</v>
      </c>
      <c r="E872" s="13" t="s">
        <v>34</v>
      </c>
      <c r="F872" s="13" t="s">
        <v>35</v>
      </c>
      <c r="G872" s="13" t="s">
        <v>34</v>
      </c>
      <c r="H872" s="13" t="s">
        <v>35</v>
      </c>
      <c r="I872" s="13" t="s">
        <v>59</v>
      </c>
      <c r="J872" s="13" t="s">
        <v>60</v>
      </c>
      <c r="K872" s="13" t="s">
        <v>34</v>
      </c>
      <c r="L872" s="14" t="s">
        <v>35</v>
      </c>
      <c r="M872" s="15" t="s">
        <v>34</v>
      </c>
      <c r="N872" s="13" t="s">
        <v>35</v>
      </c>
      <c r="O872" s="163" t="s">
        <v>34</v>
      </c>
      <c r="P872" s="163" t="s">
        <v>35</v>
      </c>
    </row>
    <row r="873" spans="1:16" ht="13.5" customHeight="1">
      <c r="A873" s="473">
        <v>2017</v>
      </c>
      <c r="B873" s="410">
        <v>1</v>
      </c>
      <c r="C873" s="422"/>
      <c r="D873" s="422"/>
      <c r="E873" s="422"/>
      <c r="F873" s="422"/>
      <c r="G873" s="422"/>
      <c r="H873" s="422"/>
      <c r="I873" s="422"/>
      <c r="J873" s="422"/>
      <c r="K873" s="422"/>
      <c r="L873" s="432"/>
      <c r="M873" s="424">
        <f t="shared" ref="M873:M904" si="182">+C873+E873+G873+I873+K873</f>
        <v>0</v>
      </c>
      <c r="N873" s="425">
        <f t="shared" ref="N873:N904" si="183">+D873+F873+H873+J873+L873</f>
        <v>0</v>
      </c>
      <c r="O873" s="430">
        <f t="shared" ref="O873:P877" si="184">M873/31</f>
        <v>0</v>
      </c>
      <c r="P873" s="427">
        <f t="shared" si="184"/>
        <v>0</v>
      </c>
    </row>
    <row r="874" spans="1:16" ht="13.5" customHeight="1">
      <c r="A874" s="474"/>
      <c r="B874" s="127">
        <v>2</v>
      </c>
      <c r="C874" s="147"/>
      <c r="D874" s="147"/>
      <c r="E874" s="147"/>
      <c r="F874" s="147"/>
      <c r="G874" s="147"/>
      <c r="H874" s="147"/>
      <c r="I874" s="147"/>
      <c r="J874" s="147"/>
      <c r="K874" s="147"/>
      <c r="L874" s="174"/>
      <c r="M874" s="149">
        <f t="shared" si="182"/>
        <v>0</v>
      </c>
      <c r="N874" s="150">
        <f t="shared" si="183"/>
        <v>0</v>
      </c>
      <c r="O874" s="167">
        <f t="shared" si="184"/>
        <v>0</v>
      </c>
      <c r="P874" s="152">
        <f t="shared" si="184"/>
        <v>0</v>
      </c>
    </row>
    <row r="875" spans="1:16" ht="13.5" customHeight="1">
      <c r="A875" s="474"/>
      <c r="B875" s="127">
        <v>3</v>
      </c>
      <c r="C875" s="147"/>
      <c r="D875" s="147"/>
      <c r="E875" s="147"/>
      <c r="F875" s="147"/>
      <c r="G875" s="147"/>
      <c r="H875" s="147"/>
      <c r="I875" s="147"/>
      <c r="J875" s="147"/>
      <c r="K875" s="147"/>
      <c r="L875" s="174"/>
      <c r="M875" s="149">
        <f t="shared" si="182"/>
        <v>0</v>
      </c>
      <c r="N875" s="150">
        <f t="shared" si="183"/>
        <v>0</v>
      </c>
      <c r="O875" s="167">
        <f t="shared" si="184"/>
        <v>0</v>
      </c>
      <c r="P875" s="152">
        <f t="shared" si="184"/>
        <v>0</v>
      </c>
    </row>
    <row r="876" spans="1:16" ht="13.5" customHeight="1">
      <c r="A876" s="474"/>
      <c r="B876" s="127">
        <v>4</v>
      </c>
      <c r="C876" s="158"/>
      <c r="D876" s="158"/>
      <c r="E876" s="158"/>
      <c r="F876" s="158"/>
      <c r="G876" s="158"/>
      <c r="H876" s="158"/>
      <c r="I876" s="158"/>
      <c r="J876" s="158"/>
      <c r="K876" s="158"/>
      <c r="L876" s="159"/>
      <c r="M876" s="154">
        <f t="shared" si="182"/>
        <v>0</v>
      </c>
      <c r="N876" s="155">
        <f t="shared" si="183"/>
        <v>0</v>
      </c>
      <c r="O876" s="168">
        <f t="shared" si="184"/>
        <v>0</v>
      </c>
      <c r="P876" s="157">
        <f t="shared" si="184"/>
        <v>0</v>
      </c>
    </row>
    <row r="877" spans="1:16" ht="13.5" customHeight="1">
      <c r="A877" s="474"/>
      <c r="B877" s="127">
        <v>5</v>
      </c>
      <c r="C877" s="158"/>
      <c r="D877" s="158"/>
      <c r="E877" s="158"/>
      <c r="F877" s="158"/>
      <c r="G877" s="158"/>
      <c r="H877" s="158"/>
      <c r="I877" s="158"/>
      <c r="J877" s="158"/>
      <c r="K877" s="158"/>
      <c r="L877" s="159"/>
      <c r="M877" s="154">
        <f t="shared" si="182"/>
        <v>0</v>
      </c>
      <c r="N877" s="155">
        <f t="shared" si="183"/>
        <v>0</v>
      </c>
      <c r="O877" s="168">
        <f t="shared" si="184"/>
        <v>0</v>
      </c>
      <c r="P877" s="157">
        <f t="shared" si="184"/>
        <v>0</v>
      </c>
    </row>
    <row r="878" spans="1:16" ht="13.5" customHeight="1">
      <c r="A878" s="474"/>
      <c r="B878" s="127">
        <v>6</v>
      </c>
      <c r="C878" s="158">
        <v>0</v>
      </c>
      <c r="D878" s="158">
        <v>0</v>
      </c>
      <c r="E878" s="158">
        <v>0</v>
      </c>
      <c r="F878" s="158">
        <v>0</v>
      </c>
      <c r="G878" s="158">
        <v>2</v>
      </c>
      <c r="H878" s="158">
        <v>4</v>
      </c>
      <c r="I878" s="158">
        <v>0</v>
      </c>
      <c r="J878" s="158">
        <v>0</v>
      </c>
      <c r="K878" s="158">
        <v>0</v>
      </c>
      <c r="L878" s="158">
        <v>0</v>
      </c>
      <c r="M878" s="154">
        <f t="shared" si="182"/>
        <v>2</v>
      </c>
      <c r="N878" s="155">
        <f t="shared" si="183"/>
        <v>4</v>
      </c>
      <c r="O878" s="168">
        <f>M878/30</f>
        <v>6.6666666666666666E-2</v>
      </c>
      <c r="P878" s="157">
        <f>N878/30</f>
        <v>0.13333333333333333</v>
      </c>
    </row>
    <row r="879" spans="1:16" ht="13.5" customHeight="1">
      <c r="A879" s="474"/>
      <c r="B879" s="127">
        <v>7</v>
      </c>
      <c r="C879" s="158">
        <v>1</v>
      </c>
      <c r="D879" s="158">
        <v>2</v>
      </c>
      <c r="E879" s="158">
        <v>0</v>
      </c>
      <c r="F879" s="158">
        <v>0</v>
      </c>
      <c r="G879" s="158">
        <v>0</v>
      </c>
      <c r="H879" s="158">
        <v>0</v>
      </c>
      <c r="I879" s="158">
        <v>0</v>
      </c>
      <c r="J879" s="158">
        <v>0</v>
      </c>
      <c r="K879" s="158">
        <v>0</v>
      </c>
      <c r="L879" s="158">
        <v>0</v>
      </c>
      <c r="M879" s="154">
        <f t="shared" si="182"/>
        <v>1</v>
      </c>
      <c r="N879" s="155">
        <f t="shared" si="183"/>
        <v>2</v>
      </c>
      <c r="O879" s="168">
        <f t="shared" ref="O879:O889" si="185">M879/31</f>
        <v>3.2258064516129031E-2</v>
      </c>
      <c r="P879" s="157">
        <f t="shared" ref="P879:P889" si="186">N879/31</f>
        <v>6.4516129032258063E-2</v>
      </c>
    </row>
    <row r="880" spans="1:16" ht="13.5" customHeight="1">
      <c r="A880" s="474"/>
      <c r="B880" s="127">
        <v>8</v>
      </c>
      <c r="C880" s="158">
        <v>0</v>
      </c>
      <c r="D880" s="158">
        <v>0</v>
      </c>
      <c r="E880" s="158">
        <v>0</v>
      </c>
      <c r="F880" s="158">
        <v>0</v>
      </c>
      <c r="G880" s="158">
        <v>0</v>
      </c>
      <c r="H880" s="158">
        <v>0</v>
      </c>
      <c r="I880" s="158">
        <v>0</v>
      </c>
      <c r="J880" s="158">
        <v>0</v>
      </c>
      <c r="K880" s="158">
        <v>0</v>
      </c>
      <c r="L880" s="159">
        <v>0</v>
      </c>
      <c r="M880" s="177">
        <f t="shared" si="182"/>
        <v>0</v>
      </c>
      <c r="N880" s="158">
        <f t="shared" si="183"/>
        <v>0</v>
      </c>
      <c r="O880" s="168">
        <f t="shared" si="185"/>
        <v>0</v>
      </c>
      <c r="P880" s="157">
        <f t="shared" si="186"/>
        <v>0</v>
      </c>
    </row>
    <row r="881" spans="1:16" ht="13.5" customHeight="1">
      <c r="A881" s="474"/>
      <c r="B881" s="127">
        <v>9</v>
      </c>
      <c r="C881" s="147">
        <v>3</v>
      </c>
      <c r="D881" s="147">
        <v>3</v>
      </c>
      <c r="E881" s="147">
        <v>0</v>
      </c>
      <c r="F881" s="147">
        <v>0</v>
      </c>
      <c r="G881" s="147">
        <v>0</v>
      </c>
      <c r="H881" s="147">
        <v>0</v>
      </c>
      <c r="I881" s="147">
        <v>0</v>
      </c>
      <c r="J881" s="147">
        <v>0</v>
      </c>
      <c r="K881" s="147">
        <v>0</v>
      </c>
      <c r="L881" s="148">
        <v>0</v>
      </c>
      <c r="M881" s="177">
        <f t="shared" si="182"/>
        <v>3</v>
      </c>
      <c r="N881" s="158">
        <f t="shared" si="183"/>
        <v>3</v>
      </c>
      <c r="O881" s="168">
        <f t="shared" si="185"/>
        <v>9.6774193548387094E-2</v>
      </c>
      <c r="P881" s="157">
        <f t="shared" si="186"/>
        <v>9.6774193548387094E-2</v>
      </c>
    </row>
    <row r="882" spans="1:16" ht="13.5" customHeight="1">
      <c r="A882" s="474"/>
      <c r="B882" s="127">
        <v>10</v>
      </c>
      <c r="C882" s="147">
        <v>2</v>
      </c>
      <c r="D882" s="147">
        <v>1</v>
      </c>
      <c r="E882" s="147">
        <v>0</v>
      </c>
      <c r="F882" s="181">
        <v>0</v>
      </c>
      <c r="G882" s="147">
        <v>0</v>
      </c>
      <c r="H882" s="147">
        <v>0</v>
      </c>
      <c r="I882" s="147">
        <v>0</v>
      </c>
      <c r="J882" s="147">
        <v>0</v>
      </c>
      <c r="K882" s="147">
        <v>0</v>
      </c>
      <c r="L882" s="148">
        <v>0</v>
      </c>
      <c r="M882" s="154">
        <f t="shared" si="182"/>
        <v>2</v>
      </c>
      <c r="N882" s="155">
        <f t="shared" si="183"/>
        <v>1</v>
      </c>
      <c r="O882" s="168">
        <f t="shared" si="185"/>
        <v>6.4516129032258063E-2</v>
      </c>
      <c r="P882" s="157">
        <f t="shared" si="186"/>
        <v>3.2258064516129031E-2</v>
      </c>
    </row>
    <row r="883" spans="1:16" ht="13.5" customHeight="1">
      <c r="A883" s="474"/>
      <c r="B883" s="127">
        <v>11</v>
      </c>
      <c r="C883" s="367">
        <v>4</v>
      </c>
      <c r="D883" s="367">
        <v>8</v>
      </c>
      <c r="E883" s="367">
        <v>0</v>
      </c>
      <c r="F883" s="367">
        <v>0</v>
      </c>
      <c r="G883" s="367">
        <v>0</v>
      </c>
      <c r="H883" s="367">
        <v>0</v>
      </c>
      <c r="I883" s="367">
        <v>0</v>
      </c>
      <c r="J883" s="367">
        <v>0</v>
      </c>
      <c r="K883" s="367">
        <v>0</v>
      </c>
      <c r="L883" s="368">
        <v>0</v>
      </c>
      <c r="M883" s="154">
        <f t="shared" si="182"/>
        <v>4</v>
      </c>
      <c r="N883" s="155">
        <f t="shared" si="183"/>
        <v>8</v>
      </c>
      <c r="O883" s="168">
        <f t="shared" si="185"/>
        <v>0.12903225806451613</v>
      </c>
      <c r="P883" s="157">
        <f t="shared" si="186"/>
        <v>0.25806451612903225</v>
      </c>
    </row>
    <row r="884" spans="1:16" ht="13.5" customHeight="1" thickBot="1">
      <c r="A884" s="475"/>
      <c r="B884" s="127">
        <v>12</v>
      </c>
      <c r="C884" s="187">
        <v>1</v>
      </c>
      <c r="D884" s="187">
        <v>6</v>
      </c>
      <c r="E884" s="187">
        <v>0</v>
      </c>
      <c r="F884" s="188">
        <v>0</v>
      </c>
      <c r="G884" s="187">
        <v>0</v>
      </c>
      <c r="H884" s="187">
        <v>0</v>
      </c>
      <c r="I884" s="187">
        <v>0</v>
      </c>
      <c r="J884" s="187">
        <v>0</v>
      </c>
      <c r="K884" s="187">
        <v>0</v>
      </c>
      <c r="L884" s="189">
        <v>0</v>
      </c>
      <c r="M884" s="154">
        <f t="shared" si="182"/>
        <v>1</v>
      </c>
      <c r="N884" s="155">
        <f t="shared" si="183"/>
        <v>6</v>
      </c>
      <c r="O884" s="168">
        <f t="shared" si="185"/>
        <v>3.2258064516129031E-2</v>
      </c>
      <c r="P884" s="157">
        <f t="shared" si="186"/>
        <v>0.19354838709677419</v>
      </c>
    </row>
    <row r="885" spans="1:16" ht="13.5" customHeight="1">
      <c r="A885" s="473">
        <v>2018</v>
      </c>
      <c r="B885" s="410">
        <v>1</v>
      </c>
      <c r="C885" s="158">
        <v>2</v>
      </c>
      <c r="D885" s="158">
        <v>2</v>
      </c>
      <c r="E885" s="158">
        <v>0</v>
      </c>
      <c r="F885" s="169">
        <v>0</v>
      </c>
      <c r="G885" s="158">
        <v>0</v>
      </c>
      <c r="H885" s="158">
        <v>0</v>
      </c>
      <c r="I885" s="158">
        <v>0</v>
      </c>
      <c r="J885" s="158">
        <v>0</v>
      </c>
      <c r="K885" s="158">
        <v>0</v>
      </c>
      <c r="L885" s="159">
        <v>0</v>
      </c>
      <c r="M885" s="424">
        <f t="shared" si="182"/>
        <v>2</v>
      </c>
      <c r="N885" s="425">
        <f t="shared" si="183"/>
        <v>2</v>
      </c>
      <c r="O885" s="430">
        <f t="shared" si="185"/>
        <v>6.4516129032258063E-2</v>
      </c>
      <c r="P885" s="427">
        <f t="shared" si="186"/>
        <v>6.4516129032258063E-2</v>
      </c>
    </row>
    <row r="886" spans="1:16" ht="13.5" customHeight="1">
      <c r="A886" s="474"/>
      <c r="B886" s="127">
        <v>2</v>
      </c>
      <c r="C886" s="158">
        <v>0</v>
      </c>
      <c r="D886" s="158">
        <v>0</v>
      </c>
      <c r="E886" s="158">
        <v>0</v>
      </c>
      <c r="F886" s="169">
        <v>0</v>
      </c>
      <c r="G886" s="158">
        <v>0</v>
      </c>
      <c r="H886" s="158">
        <v>0</v>
      </c>
      <c r="I886" s="158">
        <v>0</v>
      </c>
      <c r="J886" s="158">
        <v>0</v>
      </c>
      <c r="K886" s="158">
        <v>0</v>
      </c>
      <c r="L886" s="159">
        <v>0</v>
      </c>
      <c r="M886" s="154">
        <f t="shared" si="182"/>
        <v>0</v>
      </c>
      <c r="N886" s="155">
        <f t="shared" si="183"/>
        <v>0</v>
      </c>
      <c r="O886" s="168">
        <f t="shared" si="185"/>
        <v>0</v>
      </c>
      <c r="P886" s="157">
        <f t="shared" si="186"/>
        <v>0</v>
      </c>
    </row>
    <row r="887" spans="1:16" ht="13.5" customHeight="1">
      <c r="A887" s="474"/>
      <c r="B887" s="127">
        <v>3</v>
      </c>
      <c r="C887" s="158">
        <v>5</v>
      </c>
      <c r="D887" s="158">
        <v>8</v>
      </c>
      <c r="E887" s="158">
        <v>0</v>
      </c>
      <c r="F887" s="169">
        <v>0</v>
      </c>
      <c r="G887" s="158">
        <v>0</v>
      </c>
      <c r="H887" s="158">
        <v>0</v>
      </c>
      <c r="I887" s="158">
        <v>0</v>
      </c>
      <c r="J887" s="158">
        <v>0</v>
      </c>
      <c r="K887" s="158">
        <v>0</v>
      </c>
      <c r="L887" s="159">
        <v>0</v>
      </c>
      <c r="M887" s="154">
        <f t="shared" si="182"/>
        <v>5</v>
      </c>
      <c r="N887" s="155">
        <f t="shared" si="183"/>
        <v>8</v>
      </c>
      <c r="O887" s="168">
        <f t="shared" si="185"/>
        <v>0.16129032258064516</v>
      </c>
      <c r="P887" s="157">
        <f t="shared" si="186"/>
        <v>0.25806451612903225</v>
      </c>
    </row>
    <row r="888" spans="1:16" ht="13.5" customHeight="1">
      <c r="A888" s="474"/>
      <c r="B888" s="127">
        <v>4</v>
      </c>
      <c r="C888" s="158">
        <v>4</v>
      </c>
      <c r="D888" s="158">
        <v>6</v>
      </c>
      <c r="E888" s="158">
        <v>0</v>
      </c>
      <c r="F888" s="169">
        <v>0</v>
      </c>
      <c r="G888" s="158">
        <v>0</v>
      </c>
      <c r="H888" s="158">
        <v>0</v>
      </c>
      <c r="I888" s="158">
        <v>0</v>
      </c>
      <c r="J888" s="158">
        <v>0</v>
      </c>
      <c r="K888" s="158">
        <v>0</v>
      </c>
      <c r="L888" s="159">
        <v>0</v>
      </c>
      <c r="M888" s="154">
        <f t="shared" si="182"/>
        <v>4</v>
      </c>
      <c r="N888" s="155">
        <f t="shared" si="183"/>
        <v>6</v>
      </c>
      <c r="O888" s="168">
        <f t="shared" si="185"/>
        <v>0.12903225806451613</v>
      </c>
      <c r="P888" s="157">
        <f t="shared" si="186"/>
        <v>0.19354838709677419</v>
      </c>
    </row>
    <row r="889" spans="1:16" ht="13.5" customHeight="1">
      <c r="A889" s="474"/>
      <c r="B889" s="127">
        <v>5</v>
      </c>
      <c r="C889" s="158">
        <v>27</v>
      </c>
      <c r="D889" s="158">
        <v>17</v>
      </c>
      <c r="E889" s="158">
        <v>0</v>
      </c>
      <c r="F889" s="169">
        <v>0</v>
      </c>
      <c r="G889" s="158">
        <v>2</v>
      </c>
      <c r="H889" s="158">
        <v>2</v>
      </c>
      <c r="I889" s="158">
        <v>0</v>
      </c>
      <c r="J889" s="158">
        <v>0</v>
      </c>
      <c r="K889" s="158">
        <v>0</v>
      </c>
      <c r="L889" s="159">
        <v>0</v>
      </c>
      <c r="M889" s="154">
        <f t="shared" si="182"/>
        <v>29</v>
      </c>
      <c r="N889" s="155">
        <f t="shared" si="183"/>
        <v>19</v>
      </c>
      <c r="O889" s="168">
        <f t="shared" si="185"/>
        <v>0.93548387096774188</v>
      </c>
      <c r="P889" s="157">
        <f t="shared" si="186"/>
        <v>0.61290322580645162</v>
      </c>
    </row>
    <row r="890" spans="1:16" ht="13.5" customHeight="1">
      <c r="A890" s="474"/>
      <c r="B890" s="127">
        <v>6</v>
      </c>
      <c r="C890" s="158">
        <v>5</v>
      </c>
      <c r="D890" s="158">
        <v>46</v>
      </c>
      <c r="E890" s="158">
        <v>0</v>
      </c>
      <c r="F890" s="158">
        <v>0</v>
      </c>
      <c r="G890" s="158">
        <v>0</v>
      </c>
      <c r="H890" s="158">
        <v>0</v>
      </c>
      <c r="I890" s="158">
        <v>0</v>
      </c>
      <c r="J890" s="158">
        <v>0</v>
      </c>
      <c r="K890" s="158">
        <v>0</v>
      </c>
      <c r="L890" s="158">
        <v>0</v>
      </c>
      <c r="M890" s="154">
        <f t="shared" si="182"/>
        <v>5</v>
      </c>
      <c r="N890" s="155">
        <f t="shared" si="183"/>
        <v>46</v>
      </c>
      <c r="O890" s="168">
        <f>M890/30</f>
        <v>0.16666666666666666</v>
      </c>
      <c r="P890" s="157">
        <f>N890/30</f>
        <v>1.5333333333333334</v>
      </c>
    </row>
    <row r="891" spans="1:16" ht="13.5" customHeight="1">
      <c r="A891" s="474"/>
      <c r="B891" s="127">
        <v>7</v>
      </c>
      <c r="C891" s="158">
        <v>9</v>
      </c>
      <c r="D891" s="158">
        <v>12</v>
      </c>
      <c r="E891" s="158">
        <v>0</v>
      </c>
      <c r="F891" s="158">
        <v>0</v>
      </c>
      <c r="G891" s="158">
        <v>3</v>
      </c>
      <c r="H891" s="158">
        <v>10</v>
      </c>
      <c r="I891" s="158">
        <v>0</v>
      </c>
      <c r="J891" s="158">
        <v>0</v>
      </c>
      <c r="K891" s="158">
        <v>0</v>
      </c>
      <c r="L891" s="158">
        <v>0</v>
      </c>
      <c r="M891" s="154">
        <f t="shared" si="182"/>
        <v>12</v>
      </c>
      <c r="N891" s="155">
        <f t="shared" si="183"/>
        <v>22</v>
      </c>
      <c r="O891" s="168">
        <f t="shared" ref="O891:P913" si="187">M891/31</f>
        <v>0.38709677419354838</v>
      </c>
      <c r="P891" s="157">
        <f t="shared" si="187"/>
        <v>0.70967741935483875</v>
      </c>
    </row>
    <row r="892" spans="1:16" ht="13.5" customHeight="1">
      <c r="A892" s="474"/>
      <c r="B892" s="127">
        <v>8</v>
      </c>
      <c r="C892" s="158">
        <v>7</v>
      </c>
      <c r="D892" s="158">
        <v>14</v>
      </c>
      <c r="E892" s="158">
        <v>0</v>
      </c>
      <c r="F892" s="158">
        <v>0</v>
      </c>
      <c r="G892" s="158">
        <v>1</v>
      </c>
      <c r="H892" s="158">
        <v>2</v>
      </c>
      <c r="I892" s="158">
        <v>0</v>
      </c>
      <c r="J892" s="158">
        <v>0</v>
      </c>
      <c r="K892" s="158">
        <v>0</v>
      </c>
      <c r="L892" s="159">
        <v>0</v>
      </c>
      <c r="M892" s="177">
        <f t="shared" si="182"/>
        <v>8</v>
      </c>
      <c r="N892" s="158">
        <f t="shared" si="183"/>
        <v>16</v>
      </c>
      <c r="O892" s="168">
        <f t="shared" si="187"/>
        <v>0.25806451612903225</v>
      </c>
      <c r="P892" s="157">
        <f t="shared" si="187"/>
        <v>0.5161290322580645</v>
      </c>
    </row>
    <row r="893" spans="1:16" ht="13.5" customHeight="1">
      <c r="A893" s="474"/>
      <c r="B893" s="127">
        <v>9</v>
      </c>
      <c r="C893" s="147">
        <v>9</v>
      </c>
      <c r="D893" s="147">
        <v>11</v>
      </c>
      <c r="E893" s="147">
        <v>0</v>
      </c>
      <c r="F893" s="147">
        <v>0</v>
      </c>
      <c r="G893" s="147">
        <v>0</v>
      </c>
      <c r="H893" s="147">
        <v>0</v>
      </c>
      <c r="I893" s="147">
        <v>0</v>
      </c>
      <c r="J893" s="147">
        <v>0</v>
      </c>
      <c r="K893" s="147">
        <v>0</v>
      </c>
      <c r="L893" s="148">
        <v>0</v>
      </c>
      <c r="M893" s="177">
        <f t="shared" si="182"/>
        <v>9</v>
      </c>
      <c r="N893" s="158">
        <f t="shared" si="183"/>
        <v>11</v>
      </c>
      <c r="O893" s="168">
        <f t="shared" si="187"/>
        <v>0.29032258064516131</v>
      </c>
      <c r="P893" s="157">
        <f t="shared" si="187"/>
        <v>0.35483870967741937</v>
      </c>
    </row>
    <row r="894" spans="1:16" ht="13.5" customHeight="1">
      <c r="A894" s="474"/>
      <c r="B894" s="127">
        <v>10</v>
      </c>
      <c r="C894" s="147">
        <v>4</v>
      </c>
      <c r="D894" s="147">
        <v>4</v>
      </c>
      <c r="E894" s="147">
        <v>1</v>
      </c>
      <c r="F894" s="181">
        <v>2</v>
      </c>
      <c r="G894" s="147">
        <v>0</v>
      </c>
      <c r="H894" s="147">
        <v>0</v>
      </c>
      <c r="I894" s="147">
        <v>0</v>
      </c>
      <c r="J894" s="147">
        <v>0</v>
      </c>
      <c r="K894" s="147">
        <v>0</v>
      </c>
      <c r="L894" s="148">
        <v>0</v>
      </c>
      <c r="M894" s="154">
        <f t="shared" si="182"/>
        <v>5</v>
      </c>
      <c r="N894" s="155">
        <f t="shared" si="183"/>
        <v>6</v>
      </c>
      <c r="O894" s="168">
        <f t="shared" si="187"/>
        <v>0.16129032258064516</v>
      </c>
      <c r="P894" s="157">
        <f t="shared" si="187"/>
        <v>0.19354838709677419</v>
      </c>
    </row>
    <row r="895" spans="1:16" ht="13.5" customHeight="1">
      <c r="A895" s="474"/>
      <c r="B895" s="127">
        <v>11</v>
      </c>
      <c r="C895" s="367">
        <v>9</v>
      </c>
      <c r="D895" s="367">
        <v>9</v>
      </c>
      <c r="E895" s="367">
        <v>0</v>
      </c>
      <c r="F895" s="367">
        <v>0</v>
      </c>
      <c r="G895" s="367">
        <v>2</v>
      </c>
      <c r="H895" s="367">
        <v>4</v>
      </c>
      <c r="I895" s="367">
        <v>0</v>
      </c>
      <c r="J895" s="367">
        <v>0</v>
      </c>
      <c r="K895" s="367">
        <v>0</v>
      </c>
      <c r="L895" s="368">
        <v>0</v>
      </c>
      <c r="M895" s="154">
        <f t="shared" si="182"/>
        <v>11</v>
      </c>
      <c r="N895" s="155">
        <f t="shared" si="183"/>
        <v>13</v>
      </c>
      <c r="O895" s="168">
        <f t="shared" si="187"/>
        <v>0.35483870967741937</v>
      </c>
      <c r="P895" s="157">
        <f t="shared" si="187"/>
        <v>0.41935483870967744</v>
      </c>
    </row>
    <row r="896" spans="1:16" ht="13.5" customHeight="1" thickBot="1">
      <c r="A896" s="475"/>
      <c r="B896" s="127">
        <v>12</v>
      </c>
      <c r="C896" s="187">
        <v>5</v>
      </c>
      <c r="D896" s="187">
        <v>10</v>
      </c>
      <c r="E896" s="187">
        <v>0</v>
      </c>
      <c r="F896" s="188">
        <v>0</v>
      </c>
      <c r="G896" s="187">
        <v>0</v>
      </c>
      <c r="H896" s="187">
        <v>0</v>
      </c>
      <c r="I896" s="187">
        <v>0</v>
      </c>
      <c r="J896" s="187">
        <v>0</v>
      </c>
      <c r="K896" s="187">
        <v>0</v>
      </c>
      <c r="L896" s="189">
        <v>0</v>
      </c>
      <c r="M896" s="154">
        <f t="shared" si="182"/>
        <v>5</v>
      </c>
      <c r="N896" s="155">
        <f t="shared" si="183"/>
        <v>10</v>
      </c>
      <c r="O896" s="168">
        <f t="shared" si="187"/>
        <v>0.16129032258064516</v>
      </c>
      <c r="P896" s="157">
        <f t="shared" si="187"/>
        <v>0.32258064516129031</v>
      </c>
    </row>
    <row r="897" spans="1:16" ht="13.5" customHeight="1">
      <c r="A897" s="473">
        <v>2019</v>
      </c>
      <c r="B897" s="410">
        <v>1</v>
      </c>
      <c r="C897" s="158">
        <v>3</v>
      </c>
      <c r="D897" s="158">
        <v>4</v>
      </c>
      <c r="E897" s="158">
        <v>0</v>
      </c>
      <c r="F897" s="169">
        <v>0</v>
      </c>
      <c r="G897" s="158">
        <v>0</v>
      </c>
      <c r="H897" s="158">
        <v>0</v>
      </c>
      <c r="I897" s="158">
        <v>0</v>
      </c>
      <c r="J897" s="158">
        <v>0</v>
      </c>
      <c r="K897" s="158">
        <v>0</v>
      </c>
      <c r="L897" s="159">
        <v>0</v>
      </c>
      <c r="M897" s="424">
        <f t="shared" si="182"/>
        <v>3</v>
      </c>
      <c r="N897" s="425">
        <f t="shared" si="183"/>
        <v>4</v>
      </c>
      <c r="O897" s="430">
        <f t="shared" ref="O897:O901" si="188">M897/31</f>
        <v>9.6774193548387094E-2</v>
      </c>
      <c r="P897" s="427">
        <f t="shared" ref="P897:P901" si="189">N897/31</f>
        <v>0.12903225806451613</v>
      </c>
    </row>
    <row r="898" spans="1:16" ht="13.5" customHeight="1">
      <c r="A898" s="474"/>
      <c r="B898" s="127">
        <v>2</v>
      </c>
      <c r="C898" s="158">
        <v>6</v>
      </c>
      <c r="D898" s="158">
        <v>4</v>
      </c>
      <c r="E898" s="158">
        <v>0</v>
      </c>
      <c r="F898" s="169">
        <v>0</v>
      </c>
      <c r="G898" s="158">
        <v>0</v>
      </c>
      <c r="H898" s="158">
        <v>0</v>
      </c>
      <c r="I898" s="158">
        <v>0</v>
      </c>
      <c r="J898" s="158">
        <v>0</v>
      </c>
      <c r="K898" s="158">
        <v>0</v>
      </c>
      <c r="L898" s="159">
        <v>0</v>
      </c>
      <c r="M898" s="154">
        <f t="shared" si="182"/>
        <v>6</v>
      </c>
      <c r="N898" s="155">
        <f t="shared" si="183"/>
        <v>4</v>
      </c>
      <c r="O898" s="168">
        <f t="shared" si="188"/>
        <v>0.19354838709677419</v>
      </c>
      <c r="P898" s="157">
        <f t="shared" si="189"/>
        <v>0.12903225806451613</v>
      </c>
    </row>
    <row r="899" spans="1:16" ht="13.5" customHeight="1">
      <c r="A899" s="474"/>
      <c r="B899" s="127">
        <v>3</v>
      </c>
      <c r="C899" s="158">
        <v>8</v>
      </c>
      <c r="D899" s="158">
        <v>19</v>
      </c>
      <c r="E899" s="158">
        <v>0</v>
      </c>
      <c r="F899" s="169">
        <v>0</v>
      </c>
      <c r="G899" s="158">
        <v>1</v>
      </c>
      <c r="H899" s="158">
        <v>0</v>
      </c>
      <c r="I899" s="158">
        <v>0</v>
      </c>
      <c r="J899" s="158">
        <v>0</v>
      </c>
      <c r="K899" s="158">
        <v>0</v>
      </c>
      <c r="L899" s="159">
        <v>0</v>
      </c>
      <c r="M899" s="154">
        <f t="shared" si="182"/>
        <v>9</v>
      </c>
      <c r="N899" s="155">
        <f t="shared" si="183"/>
        <v>19</v>
      </c>
      <c r="O899" s="168">
        <f t="shared" si="188"/>
        <v>0.29032258064516131</v>
      </c>
      <c r="P899" s="157">
        <f t="shared" si="189"/>
        <v>0.61290322580645162</v>
      </c>
    </row>
    <row r="900" spans="1:16" ht="13.5" customHeight="1">
      <c r="A900" s="474"/>
      <c r="B900" s="127">
        <v>4</v>
      </c>
      <c r="C900" s="158">
        <v>6</v>
      </c>
      <c r="D900" s="158">
        <v>19</v>
      </c>
      <c r="E900" s="158">
        <v>0</v>
      </c>
      <c r="F900" s="169">
        <v>0</v>
      </c>
      <c r="G900" s="158">
        <v>0</v>
      </c>
      <c r="H900" s="158">
        <v>2</v>
      </c>
      <c r="I900" s="158">
        <v>0</v>
      </c>
      <c r="J900" s="158">
        <v>0</v>
      </c>
      <c r="K900" s="158">
        <v>0</v>
      </c>
      <c r="L900" s="159">
        <v>0</v>
      </c>
      <c r="M900" s="154">
        <f t="shared" si="182"/>
        <v>6</v>
      </c>
      <c r="N900" s="155">
        <f t="shared" si="183"/>
        <v>21</v>
      </c>
      <c r="O900" s="168">
        <f t="shared" si="188"/>
        <v>0.19354838709677419</v>
      </c>
      <c r="P900" s="157">
        <f t="shared" si="189"/>
        <v>0.67741935483870963</v>
      </c>
    </row>
    <row r="901" spans="1:16" ht="13.5" customHeight="1">
      <c r="A901" s="474"/>
      <c r="B901" s="127">
        <v>5</v>
      </c>
      <c r="C901" s="158">
        <v>12</v>
      </c>
      <c r="D901" s="158">
        <v>10</v>
      </c>
      <c r="E901" s="158">
        <v>0</v>
      </c>
      <c r="F901" s="169">
        <v>0</v>
      </c>
      <c r="G901" s="158">
        <v>0</v>
      </c>
      <c r="H901" s="158">
        <v>0</v>
      </c>
      <c r="I901" s="158">
        <v>0</v>
      </c>
      <c r="J901" s="158">
        <v>0</v>
      </c>
      <c r="K901" s="158">
        <v>0</v>
      </c>
      <c r="L901" s="159">
        <v>0</v>
      </c>
      <c r="M901" s="154">
        <f t="shared" si="182"/>
        <v>12</v>
      </c>
      <c r="N901" s="155">
        <f t="shared" si="183"/>
        <v>10</v>
      </c>
      <c r="O901" s="168">
        <f t="shared" si="188"/>
        <v>0.38709677419354838</v>
      </c>
      <c r="P901" s="157">
        <f t="shared" si="189"/>
        <v>0.32258064516129031</v>
      </c>
    </row>
    <row r="902" spans="1:16" ht="13.5" customHeight="1">
      <c r="A902" s="474"/>
      <c r="B902" s="127">
        <v>6</v>
      </c>
      <c r="C902" s="158">
        <v>16</v>
      </c>
      <c r="D902" s="158">
        <v>17</v>
      </c>
      <c r="E902" s="158">
        <v>0</v>
      </c>
      <c r="F902" s="158">
        <v>0</v>
      </c>
      <c r="G902" s="158">
        <v>1</v>
      </c>
      <c r="H902" s="158">
        <v>1</v>
      </c>
      <c r="I902" s="158">
        <v>0</v>
      </c>
      <c r="J902" s="158">
        <v>0</v>
      </c>
      <c r="K902" s="158">
        <v>0</v>
      </c>
      <c r="L902" s="158">
        <v>0</v>
      </c>
      <c r="M902" s="154">
        <f t="shared" si="182"/>
        <v>17</v>
      </c>
      <c r="N902" s="155">
        <f t="shared" si="183"/>
        <v>18</v>
      </c>
      <c r="O902" s="168">
        <f>M902/30</f>
        <v>0.56666666666666665</v>
      </c>
      <c r="P902" s="157">
        <f>N902/30</f>
        <v>0.6</v>
      </c>
    </row>
    <row r="903" spans="1:16" ht="13.5" customHeight="1">
      <c r="A903" s="474"/>
      <c r="B903" s="127">
        <v>7</v>
      </c>
      <c r="C903" s="158">
        <v>9</v>
      </c>
      <c r="D903" s="158">
        <v>14</v>
      </c>
      <c r="E903" s="158">
        <v>0</v>
      </c>
      <c r="F903" s="158">
        <v>0</v>
      </c>
      <c r="G903" s="158">
        <v>0</v>
      </c>
      <c r="H903" s="158">
        <v>0</v>
      </c>
      <c r="I903" s="158">
        <v>0</v>
      </c>
      <c r="J903" s="158">
        <v>0</v>
      </c>
      <c r="K903" s="158">
        <v>0</v>
      </c>
      <c r="L903" s="158">
        <v>0</v>
      </c>
      <c r="M903" s="154">
        <f t="shared" si="182"/>
        <v>9</v>
      </c>
      <c r="N903" s="155">
        <f t="shared" si="183"/>
        <v>14</v>
      </c>
      <c r="O903" s="168">
        <f t="shared" ref="O903:O904" si="190">M903/31</f>
        <v>0.29032258064516131</v>
      </c>
      <c r="P903" s="157">
        <f t="shared" ref="P903:P904" si="191">N903/31</f>
        <v>0.45161290322580644</v>
      </c>
    </row>
    <row r="904" spans="1:16" ht="13.5" customHeight="1">
      <c r="A904" s="474"/>
      <c r="B904" s="127">
        <v>8</v>
      </c>
      <c r="C904" s="158">
        <v>9</v>
      </c>
      <c r="D904" s="158">
        <v>10</v>
      </c>
      <c r="E904" s="158">
        <v>0</v>
      </c>
      <c r="F904" s="158">
        <v>0</v>
      </c>
      <c r="G904" s="158">
        <v>0</v>
      </c>
      <c r="H904" s="158">
        <v>0</v>
      </c>
      <c r="I904" s="158">
        <v>0</v>
      </c>
      <c r="J904" s="158">
        <v>0</v>
      </c>
      <c r="K904" s="158">
        <v>0</v>
      </c>
      <c r="L904" s="159">
        <v>0</v>
      </c>
      <c r="M904" s="177">
        <f t="shared" si="182"/>
        <v>9</v>
      </c>
      <c r="N904" s="158">
        <f t="shared" si="183"/>
        <v>10</v>
      </c>
      <c r="O904" s="168">
        <f t="shared" si="190"/>
        <v>0.29032258064516131</v>
      </c>
      <c r="P904" s="157">
        <f t="shared" si="191"/>
        <v>0.32258064516129031</v>
      </c>
    </row>
    <row r="905" spans="1:16" ht="13.5" customHeight="1">
      <c r="A905" s="474"/>
      <c r="B905" s="127">
        <v>9</v>
      </c>
      <c r="C905" s="158">
        <v>6</v>
      </c>
      <c r="D905" s="158">
        <v>15</v>
      </c>
      <c r="E905" s="158">
        <v>0</v>
      </c>
      <c r="F905" s="158">
        <v>0</v>
      </c>
      <c r="G905" s="158">
        <v>0</v>
      </c>
      <c r="H905" s="158">
        <v>0</v>
      </c>
      <c r="I905" s="158">
        <v>0</v>
      </c>
      <c r="J905" s="158">
        <v>0</v>
      </c>
      <c r="K905" s="158">
        <v>0</v>
      </c>
      <c r="L905" s="159">
        <v>0</v>
      </c>
      <c r="M905" s="177">
        <v>6</v>
      </c>
      <c r="N905" s="158">
        <v>15</v>
      </c>
      <c r="O905" s="168">
        <v>0.19354838709677419</v>
      </c>
      <c r="P905" s="157">
        <v>0.4838709677419355</v>
      </c>
    </row>
    <row r="906" spans="1:16" ht="13.5" customHeight="1">
      <c r="A906" s="474"/>
      <c r="B906" s="127">
        <v>10</v>
      </c>
      <c r="C906" s="147">
        <v>7</v>
      </c>
      <c r="D906" s="147">
        <v>10</v>
      </c>
      <c r="E906" s="147">
        <v>0</v>
      </c>
      <c r="F906" s="181">
        <v>0</v>
      </c>
      <c r="G906" s="147">
        <v>0</v>
      </c>
      <c r="H906" s="147">
        <v>0</v>
      </c>
      <c r="I906" s="147">
        <v>0</v>
      </c>
      <c r="J906" s="147">
        <v>0</v>
      </c>
      <c r="K906" s="147">
        <v>0</v>
      </c>
      <c r="L906" s="148">
        <v>0</v>
      </c>
      <c r="M906" s="154">
        <f t="shared" ref="M906:M908" si="192">+C906+E906+G906+I906+K906</f>
        <v>7</v>
      </c>
      <c r="N906" s="155">
        <f t="shared" ref="N906:N908" si="193">+D906+F906+H906+J906+L906</f>
        <v>10</v>
      </c>
      <c r="O906" s="168">
        <f t="shared" ref="O906:O908" si="194">M906/31</f>
        <v>0.22580645161290322</v>
      </c>
      <c r="P906" s="157">
        <f t="shared" ref="P906:P908" si="195">N906/31</f>
        <v>0.32258064516129031</v>
      </c>
    </row>
    <row r="907" spans="1:16" ht="13.5" customHeight="1">
      <c r="A907" s="474"/>
      <c r="B907" s="127">
        <v>11</v>
      </c>
      <c r="C907" s="367">
        <v>5</v>
      </c>
      <c r="D907" s="367">
        <v>5</v>
      </c>
      <c r="E907" s="367">
        <v>0</v>
      </c>
      <c r="F907" s="367">
        <v>0</v>
      </c>
      <c r="G907" s="367">
        <v>1</v>
      </c>
      <c r="H907" s="367">
        <v>1</v>
      </c>
      <c r="I907" s="367">
        <v>0</v>
      </c>
      <c r="J907" s="367">
        <v>0</v>
      </c>
      <c r="K907" s="367">
        <v>0</v>
      </c>
      <c r="L907" s="368">
        <v>0</v>
      </c>
      <c r="M907" s="154">
        <f t="shared" si="192"/>
        <v>6</v>
      </c>
      <c r="N907" s="155">
        <f t="shared" si="193"/>
        <v>6</v>
      </c>
      <c r="O907" s="168">
        <f t="shared" si="194"/>
        <v>0.19354838709677419</v>
      </c>
      <c r="P907" s="157">
        <f t="shared" si="195"/>
        <v>0.19354838709677419</v>
      </c>
    </row>
    <row r="908" spans="1:16" ht="13.5" customHeight="1" thickBot="1">
      <c r="A908" s="475"/>
      <c r="B908" s="127">
        <v>12</v>
      </c>
      <c r="C908" s="374">
        <v>3</v>
      </c>
      <c r="D908" s="374">
        <v>7</v>
      </c>
      <c r="E908" s="374">
        <v>0</v>
      </c>
      <c r="F908" s="374">
        <v>0</v>
      </c>
      <c r="G908" s="374">
        <v>0</v>
      </c>
      <c r="H908" s="374">
        <v>0</v>
      </c>
      <c r="I908" s="374">
        <v>0</v>
      </c>
      <c r="J908" s="374">
        <v>0</v>
      </c>
      <c r="K908" s="374">
        <v>0</v>
      </c>
      <c r="L908" s="375">
        <v>0</v>
      </c>
      <c r="M908" s="190">
        <f t="shared" si="192"/>
        <v>3</v>
      </c>
      <c r="N908" s="155">
        <f t="shared" si="193"/>
        <v>7</v>
      </c>
      <c r="O908" s="168">
        <f t="shared" si="194"/>
        <v>9.6774193548387094E-2</v>
      </c>
      <c r="P908" s="157">
        <f t="shared" si="195"/>
        <v>0.22580645161290322</v>
      </c>
    </row>
    <row r="909" spans="1:16" ht="13.5" customHeight="1">
      <c r="A909" s="473">
        <v>2020</v>
      </c>
      <c r="B909" s="410">
        <v>1</v>
      </c>
      <c r="C909" s="434">
        <v>1</v>
      </c>
      <c r="D909" s="434">
        <v>3</v>
      </c>
      <c r="E909" s="434">
        <v>0</v>
      </c>
      <c r="F909" s="435">
        <v>0</v>
      </c>
      <c r="G909" s="434">
        <v>0</v>
      </c>
      <c r="H909" s="434">
        <v>0</v>
      </c>
      <c r="I909" s="434">
        <v>0</v>
      </c>
      <c r="J909" s="434">
        <v>0</v>
      </c>
      <c r="K909" s="434">
        <v>0</v>
      </c>
      <c r="L909" s="436">
        <v>0</v>
      </c>
      <c r="M909" s="433">
        <f t="shared" ref="M909:M920" si="196">+C909+E909+G909+I909+K909</f>
        <v>1</v>
      </c>
      <c r="N909" s="425">
        <f t="shared" ref="N909:N920" si="197">+D909+F909+H909+J909+L909</f>
        <v>3</v>
      </c>
      <c r="O909" s="430">
        <f t="shared" si="187"/>
        <v>3.2258064516129031E-2</v>
      </c>
      <c r="P909" s="427">
        <f t="shared" si="187"/>
        <v>9.6774193548387094E-2</v>
      </c>
    </row>
    <row r="910" spans="1:16" ht="13.5" customHeight="1">
      <c r="A910" s="474"/>
      <c r="B910" s="127">
        <v>2</v>
      </c>
      <c r="C910" s="147">
        <v>2</v>
      </c>
      <c r="D910" s="147">
        <v>2</v>
      </c>
      <c r="E910" s="147">
        <v>0</v>
      </c>
      <c r="F910" s="181">
        <v>0</v>
      </c>
      <c r="G910" s="147">
        <v>0</v>
      </c>
      <c r="H910" s="147">
        <v>0</v>
      </c>
      <c r="I910" s="147">
        <v>0</v>
      </c>
      <c r="J910" s="147">
        <v>0</v>
      </c>
      <c r="K910" s="147">
        <v>0</v>
      </c>
      <c r="L910" s="148">
        <v>0</v>
      </c>
      <c r="M910" s="154">
        <f t="shared" si="196"/>
        <v>2</v>
      </c>
      <c r="N910" s="155">
        <f t="shared" si="197"/>
        <v>2</v>
      </c>
      <c r="O910" s="168">
        <f t="shared" si="187"/>
        <v>6.4516129032258063E-2</v>
      </c>
      <c r="P910" s="157">
        <f t="shared" si="187"/>
        <v>6.4516129032258063E-2</v>
      </c>
    </row>
    <row r="911" spans="1:16" ht="13.5" customHeight="1">
      <c r="A911" s="474"/>
      <c r="B911" s="127">
        <v>3</v>
      </c>
      <c r="C911" s="147">
        <v>2</v>
      </c>
      <c r="D911" s="147">
        <v>4</v>
      </c>
      <c r="E911" s="147">
        <v>0</v>
      </c>
      <c r="F911" s="181">
        <v>0</v>
      </c>
      <c r="G911" s="147">
        <v>0</v>
      </c>
      <c r="H911" s="147">
        <v>0</v>
      </c>
      <c r="I911" s="147">
        <v>0</v>
      </c>
      <c r="J911" s="147">
        <v>0</v>
      </c>
      <c r="K911" s="147">
        <v>0</v>
      </c>
      <c r="L911" s="148">
        <v>0</v>
      </c>
      <c r="M911" s="154">
        <f t="shared" si="196"/>
        <v>2</v>
      </c>
      <c r="N911" s="155">
        <f t="shared" si="197"/>
        <v>4</v>
      </c>
      <c r="O911" s="168">
        <f t="shared" si="187"/>
        <v>6.4516129032258063E-2</v>
      </c>
      <c r="P911" s="157">
        <f t="shared" si="187"/>
        <v>0.12903225806451613</v>
      </c>
    </row>
    <row r="912" spans="1:16" ht="13.5" customHeight="1">
      <c r="A912" s="474"/>
      <c r="B912" s="127">
        <v>4</v>
      </c>
      <c r="C912" s="147">
        <v>0</v>
      </c>
      <c r="D912" s="147">
        <v>0</v>
      </c>
      <c r="E912" s="147">
        <v>0</v>
      </c>
      <c r="F912" s="181">
        <v>0</v>
      </c>
      <c r="G912" s="147">
        <v>0</v>
      </c>
      <c r="H912" s="147">
        <v>0</v>
      </c>
      <c r="I912" s="147">
        <v>0</v>
      </c>
      <c r="J912" s="147">
        <v>0</v>
      </c>
      <c r="K912" s="147">
        <v>0</v>
      </c>
      <c r="L912" s="148">
        <v>0</v>
      </c>
      <c r="M912" s="154">
        <f t="shared" si="196"/>
        <v>0</v>
      </c>
      <c r="N912" s="155">
        <f t="shared" si="197"/>
        <v>0</v>
      </c>
      <c r="O912" s="168">
        <f t="shared" si="187"/>
        <v>0</v>
      </c>
      <c r="P912" s="157">
        <f t="shared" si="187"/>
        <v>0</v>
      </c>
    </row>
    <row r="913" spans="1:16" ht="13.5" customHeight="1">
      <c r="A913" s="474"/>
      <c r="B913" s="127">
        <v>5</v>
      </c>
      <c r="C913" s="147">
        <v>1</v>
      </c>
      <c r="D913" s="147">
        <v>1</v>
      </c>
      <c r="E913" s="147">
        <v>0</v>
      </c>
      <c r="F913" s="181">
        <v>0</v>
      </c>
      <c r="G913" s="147">
        <v>0</v>
      </c>
      <c r="H913" s="147">
        <v>0</v>
      </c>
      <c r="I913" s="147">
        <v>0</v>
      </c>
      <c r="J913" s="147">
        <v>0</v>
      </c>
      <c r="K913" s="147">
        <v>0</v>
      </c>
      <c r="L913" s="148">
        <v>0</v>
      </c>
      <c r="M913" s="154">
        <f t="shared" si="196"/>
        <v>1</v>
      </c>
      <c r="N913" s="155">
        <f t="shared" si="197"/>
        <v>1</v>
      </c>
      <c r="O913" s="168">
        <f t="shared" si="187"/>
        <v>3.2258064516129031E-2</v>
      </c>
      <c r="P913" s="157">
        <f t="shared" si="187"/>
        <v>3.2258064516129031E-2</v>
      </c>
    </row>
    <row r="914" spans="1:16" ht="13.5" customHeight="1">
      <c r="A914" s="474"/>
      <c r="B914" s="127">
        <v>6</v>
      </c>
      <c r="C914" s="147">
        <f>集計用!C66</f>
        <v>0</v>
      </c>
      <c r="D914" s="147">
        <f>集計用!S66</f>
        <v>0</v>
      </c>
      <c r="E914" s="147">
        <f>集計用!E66</f>
        <v>0</v>
      </c>
      <c r="F914" s="181">
        <f>集計用!U66</f>
        <v>0</v>
      </c>
      <c r="G914" s="147">
        <f>集計用!G66</f>
        <v>0</v>
      </c>
      <c r="H914" s="147">
        <f>集計用!W66</f>
        <v>0</v>
      </c>
      <c r="I914" s="147">
        <f>集計用!I66</f>
        <v>0</v>
      </c>
      <c r="J914" s="147">
        <f>集計用!Y66</f>
        <v>0</v>
      </c>
      <c r="K914" s="147">
        <f>集計用!K66</f>
        <v>0</v>
      </c>
      <c r="L914" s="148">
        <f>集計用!AA66</f>
        <v>0</v>
      </c>
      <c r="M914" s="154">
        <f t="shared" si="196"/>
        <v>0</v>
      </c>
      <c r="N914" s="155">
        <f t="shared" si="197"/>
        <v>0</v>
      </c>
      <c r="O914" s="168">
        <f>M914/30</f>
        <v>0</v>
      </c>
      <c r="P914" s="157">
        <f>N914/30</f>
        <v>0</v>
      </c>
    </row>
    <row r="915" spans="1:16" ht="13.5" customHeight="1">
      <c r="A915" s="474"/>
      <c r="B915" s="127">
        <v>7</v>
      </c>
      <c r="C915" s="158"/>
      <c r="D915" s="158"/>
      <c r="E915" s="158"/>
      <c r="F915" s="158"/>
      <c r="G915" s="158"/>
      <c r="H915" s="158"/>
      <c r="I915" s="158"/>
      <c r="J915" s="158"/>
      <c r="K915" s="158"/>
      <c r="L915" s="158"/>
      <c r="M915" s="154">
        <f t="shared" si="196"/>
        <v>0</v>
      </c>
      <c r="N915" s="155">
        <f t="shared" si="197"/>
        <v>0</v>
      </c>
      <c r="O915" s="168">
        <f t="shared" ref="O915:O920" si="198">M915/31</f>
        <v>0</v>
      </c>
      <c r="P915" s="157">
        <f t="shared" ref="P915:P920" si="199">N915/31</f>
        <v>0</v>
      </c>
    </row>
    <row r="916" spans="1:16" ht="13.5" customHeight="1">
      <c r="A916" s="474"/>
      <c r="B916" s="127">
        <v>8</v>
      </c>
      <c r="C916" s="158"/>
      <c r="D916" s="158"/>
      <c r="E916" s="158"/>
      <c r="F916" s="158"/>
      <c r="G916" s="158"/>
      <c r="H916" s="158"/>
      <c r="I916" s="158"/>
      <c r="J916" s="158"/>
      <c r="K916" s="158"/>
      <c r="L916" s="159"/>
      <c r="M916" s="177">
        <f t="shared" si="196"/>
        <v>0</v>
      </c>
      <c r="N916" s="158">
        <f t="shared" si="197"/>
        <v>0</v>
      </c>
      <c r="O916" s="168">
        <f t="shared" si="198"/>
        <v>0</v>
      </c>
      <c r="P916" s="157">
        <f t="shared" si="199"/>
        <v>0</v>
      </c>
    </row>
    <row r="917" spans="1:16" ht="13.5" customHeight="1">
      <c r="A917" s="474"/>
      <c r="B917" s="127">
        <v>9</v>
      </c>
      <c r="C917" s="158"/>
      <c r="D917" s="158"/>
      <c r="E917" s="158"/>
      <c r="F917" s="158"/>
      <c r="G917" s="158"/>
      <c r="H917" s="158"/>
      <c r="I917" s="158"/>
      <c r="J917" s="158"/>
      <c r="K917" s="158"/>
      <c r="L917" s="159"/>
      <c r="M917" s="177">
        <f t="shared" ref="M917" si="200">+C917+E917+G917+I917+K917</f>
        <v>0</v>
      </c>
      <c r="N917" s="158">
        <f t="shared" ref="N917" si="201">+D917+F917+H917+J917+L917</f>
        <v>0</v>
      </c>
      <c r="O917" s="168">
        <f>M917/30</f>
        <v>0</v>
      </c>
      <c r="P917" s="157">
        <f>N917/30</f>
        <v>0</v>
      </c>
    </row>
    <row r="918" spans="1:16" ht="13.5" customHeight="1">
      <c r="A918" s="474"/>
      <c r="B918" s="127">
        <v>10</v>
      </c>
      <c r="C918" s="147"/>
      <c r="D918" s="147"/>
      <c r="E918" s="147"/>
      <c r="F918" s="181"/>
      <c r="G918" s="147"/>
      <c r="H918" s="147"/>
      <c r="I918" s="147"/>
      <c r="J918" s="147"/>
      <c r="K918" s="147"/>
      <c r="L918" s="148"/>
      <c r="M918" s="154">
        <f t="shared" ref="M918" si="202">+C918+E918+G918+I918+K918</f>
        <v>0</v>
      </c>
      <c r="N918" s="155">
        <f t="shared" ref="N918" si="203">+D918+F918+H918+J918+L918</f>
        <v>0</v>
      </c>
      <c r="O918" s="168">
        <f t="shared" ref="O918" si="204">M918/31</f>
        <v>0</v>
      </c>
      <c r="P918" s="157">
        <f t="shared" ref="P918" si="205">N918/31</f>
        <v>0</v>
      </c>
    </row>
    <row r="919" spans="1:16" ht="13.5" customHeight="1">
      <c r="A919" s="474"/>
      <c r="B919" s="127">
        <v>11</v>
      </c>
      <c r="C919" s="367"/>
      <c r="D919" s="367"/>
      <c r="E919" s="367"/>
      <c r="F919" s="367"/>
      <c r="G919" s="367"/>
      <c r="H919" s="367"/>
      <c r="I919" s="367"/>
      <c r="J919" s="367"/>
      <c r="K919" s="367"/>
      <c r="L919" s="368"/>
      <c r="M919" s="154">
        <f t="shared" si="196"/>
        <v>0</v>
      </c>
      <c r="N919" s="155">
        <f t="shared" si="197"/>
        <v>0</v>
      </c>
      <c r="O919" s="168">
        <f t="shared" si="198"/>
        <v>0</v>
      </c>
      <c r="P919" s="157">
        <f t="shared" si="199"/>
        <v>0</v>
      </c>
    </row>
    <row r="920" spans="1:16" ht="13.5" customHeight="1" thickBot="1">
      <c r="A920" s="475"/>
      <c r="B920" s="127">
        <v>12</v>
      </c>
      <c r="C920" s="187"/>
      <c r="D920" s="187"/>
      <c r="E920" s="187"/>
      <c r="F920" s="188"/>
      <c r="G920" s="187"/>
      <c r="H920" s="187"/>
      <c r="I920" s="187"/>
      <c r="J920" s="187"/>
      <c r="K920" s="187"/>
      <c r="L920" s="189"/>
      <c r="M920" s="154">
        <f t="shared" si="196"/>
        <v>0</v>
      </c>
      <c r="N920" s="155">
        <f t="shared" si="197"/>
        <v>0</v>
      </c>
      <c r="O920" s="168">
        <f t="shared" si="198"/>
        <v>0</v>
      </c>
      <c r="P920" s="157">
        <f t="shared" si="199"/>
        <v>0</v>
      </c>
    </row>
    <row r="921" spans="1:16" ht="18.75" customHeight="1" thickBot="1">
      <c r="A921" s="180"/>
      <c r="B921" s="160" t="s">
        <v>5</v>
      </c>
      <c r="C921" s="161">
        <f>SUM(C873:C920)</f>
        <v>193</v>
      </c>
      <c r="D921" s="161">
        <f t="shared" ref="D921:K921" si="206">SUM(D873:D920)</f>
        <v>303</v>
      </c>
      <c r="E921" s="161">
        <f t="shared" si="206"/>
        <v>1</v>
      </c>
      <c r="F921" s="161">
        <f t="shared" si="206"/>
        <v>2</v>
      </c>
      <c r="G921" s="161">
        <f t="shared" si="206"/>
        <v>13</v>
      </c>
      <c r="H921" s="161">
        <f t="shared" si="206"/>
        <v>26</v>
      </c>
      <c r="I921" s="161">
        <f t="shared" si="206"/>
        <v>0</v>
      </c>
      <c r="J921" s="161">
        <f t="shared" si="206"/>
        <v>0</v>
      </c>
      <c r="K921" s="161">
        <f t="shared" si="206"/>
        <v>0</v>
      </c>
      <c r="L921" s="161">
        <f>SUM(L873:L920)</f>
        <v>0</v>
      </c>
      <c r="M921" s="162">
        <f>SUM(M873:M920)</f>
        <v>207</v>
      </c>
      <c r="N921" s="161">
        <f>SUM(N873:N920)</f>
        <v>331</v>
      </c>
      <c r="O921" s="161">
        <f>SUM(O873:O920)</f>
        <v>6.7032258064516101</v>
      </c>
      <c r="P921" s="161">
        <f>SUM(P873:P920)</f>
        <v>10.750537634408603</v>
      </c>
    </row>
    <row r="925" spans="1:16" s="2" customFormat="1" ht="15" customHeight="1">
      <c r="B925" s="172" t="s">
        <v>25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73">
        <f>P1</f>
        <v>44022</v>
      </c>
    </row>
    <row r="926" spans="1:16" s="2" customFormat="1" ht="7.5" customHeight="1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124"/>
    </row>
    <row r="927" spans="1:16" ht="10.5" customHeight="1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25" t="s">
        <v>26</v>
      </c>
    </row>
    <row r="928" spans="1:16" ht="9.75" customHeight="1">
      <c r="B928" s="11" t="s">
        <v>55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6" t="s">
        <v>27</v>
      </c>
    </row>
    <row r="930" spans="1:16" ht="11.25" customHeight="1">
      <c r="B930" s="467" t="s">
        <v>184</v>
      </c>
      <c r="C930" s="469" t="s">
        <v>29</v>
      </c>
      <c r="D930" s="470"/>
      <c r="E930" s="469" t="s">
        <v>30</v>
      </c>
      <c r="F930" s="470"/>
      <c r="G930" s="469" t="s">
        <v>31</v>
      </c>
      <c r="H930" s="470"/>
      <c r="I930" s="469" t="s">
        <v>58</v>
      </c>
      <c r="J930" s="470"/>
      <c r="K930" s="469" t="s">
        <v>57</v>
      </c>
      <c r="L930" s="471"/>
      <c r="M930" s="470" t="s">
        <v>5</v>
      </c>
      <c r="N930" s="472"/>
      <c r="O930" s="472" t="s">
        <v>33</v>
      </c>
      <c r="P930" s="472"/>
    </row>
    <row r="931" spans="1:16" ht="11.25" customHeight="1" thickBot="1">
      <c r="B931" s="468"/>
      <c r="C931" s="13" t="s">
        <v>34</v>
      </c>
      <c r="D931" s="13" t="s">
        <v>35</v>
      </c>
      <c r="E931" s="13" t="s">
        <v>34</v>
      </c>
      <c r="F931" s="13" t="s">
        <v>35</v>
      </c>
      <c r="G931" s="13" t="s">
        <v>34</v>
      </c>
      <c r="H931" s="13" t="s">
        <v>35</v>
      </c>
      <c r="I931" s="13" t="s">
        <v>59</v>
      </c>
      <c r="J931" s="13" t="s">
        <v>60</v>
      </c>
      <c r="K931" s="13" t="s">
        <v>34</v>
      </c>
      <c r="L931" s="14" t="s">
        <v>35</v>
      </c>
      <c r="M931" s="15" t="s">
        <v>34</v>
      </c>
      <c r="N931" s="13" t="s">
        <v>35</v>
      </c>
      <c r="O931" s="163" t="s">
        <v>34</v>
      </c>
      <c r="P931" s="163" t="s">
        <v>35</v>
      </c>
    </row>
    <row r="932" spans="1:16" ht="13.5" customHeight="1">
      <c r="A932" s="473">
        <v>2017</v>
      </c>
      <c r="B932" s="410">
        <v>1</v>
      </c>
      <c r="C932" s="422"/>
      <c r="D932" s="422"/>
      <c r="E932" s="422"/>
      <c r="F932" s="422"/>
      <c r="G932" s="422"/>
      <c r="H932" s="422"/>
      <c r="I932" s="422"/>
      <c r="J932" s="422"/>
      <c r="K932" s="422"/>
      <c r="L932" s="432"/>
      <c r="M932" s="424">
        <f t="shared" ref="M932:M963" si="207">+C932+E932+G932+I932+K932</f>
        <v>0</v>
      </c>
      <c r="N932" s="425">
        <f t="shared" ref="N932:N963" si="208">+D932+F932+H932+J932+L932</f>
        <v>0</v>
      </c>
      <c r="O932" s="430">
        <f t="shared" ref="O932:P936" si="209">M932/31</f>
        <v>0</v>
      </c>
      <c r="P932" s="427">
        <f t="shared" si="209"/>
        <v>0</v>
      </c>
    </row>
    <row r="933" spans="1:16" ht="13.5" customHeight="1">
      <c r="A933" s="474"/>
      <c r="B933" s="127">
        <v>2</v>
      </c>
      <c r="C933" s="147"/>
      <c r="D933" s="147"/>
      <c r="E933" s="147"/>
      <c r="F933" s="147"/>
      <c r="G933" s="147"/>
      <c r="H933" s="147"/>
      <c r="I933" s="147"/>
      <c r="J933" s="147"/>
      <c r="K933" s="147"/>
      <c r="L933" s="174"/>
      <c r="M933" s="149">
        <f t="shared" si="207"/>
        <v>0</v>
      </c>
      <c r="N933" s="150">
        <f t="shared" si="208"/>
        <v>0</v>
      </c>
      <c r="O933" s="167">
        <f t="shared" si="209"/>
        <v>0</v>
      </c>
      <c r="P933" s="152">
        <f t="shared" si="209"/>
        <v>0</v>
      </c>
    </row>
    <row r="934" spans="1:16" ht="13.5" customHeight="1">
      <c r="A934" s="474"/>
      <c r="B934" s="127">
        <v>3</v>
      </c>
      <c r="C934" s="147"/>
      <c r="D934" s="147"/>
      <c r="E934" s="147"/>
      <c r="F934" s="147"/>
      <c r="G934" s="147"/>
      <c r="H934" s="147"/>
      <c r="I934" s="147"/>
      <c r="J934" s="147"/>
      <c r="K934" s="147"/>
      <c r="L934" s="174"/>
      <c r="M934" s="149">
        <f t="shared" si="207"/>
        <v>0</v>
      </c>
      <c r="N934" s="150">
        <f t="shared" si="208"/>
        <v>0</v>
      </c>
      <c r="O934" s="167">
        <f t="shared" si="209"/>
        <v>0</v>
      </c>
      <c r="P934" s="152">
        <f t="shared" si="209"/>
        <v>0</v>
      </c>
    </row>
    <row r="935" spans="1:16" ht="13.5" customHeight="1">
      <c r="A935" s="474"/>
      <c r="B935" s="127">
        <v>4</v>
      </c>
      <c r="C935" s="158"/>
      <c r="D935" s="158"/>
      <c r="E935" s="158"/>
      <c r="F935" s="158"/>
      <c r="G935" s="158"/>
      <c r="H935" s="158"/>
      <c r="I935" s="158"/>
      <c r="J935" s="158"/>
      <c r="K935" s="158"/>
      <c r="L935" s="159"/>
      <c r="M935" s="154">
        <f t="shared" si="207"/>
        <v>0</v>
      </c>
      <c r="N935" s="155">
        <f t="shared" si="208"/>
        <v>0</v>
      </c>
      <c r="O935" s="168">
        <f t="shared" si="209"/>
        <v>0</v>
      </c>
      <c r="P935" s="157">
        <f t="shared" si="209"/>
        <v>0</v>
      </c>
    </row>
    <row r="936" spans="1:16" ht="13.5" customHeight="1">
      <c r="A936" s="474"/>
      <c r="B936" s="127">
        <v>5</v>
      </c>
      <c r="C936" s="158"/>
      <c r="D936" s="158"/>
      <c r="E936" s="158"/>
      <c r="F936" s="158"/>
      <c r="G936" s="158"/>
      <c r="H936" s="158"/>
      <c r="I936" s="158"/>
      <c r="J936" s="158"/>
      <c r="K936" s="158"/>
      <c r="L936" s="159"/>
      <c r="M936" s="154">
        <f t="shared" si="207"/>
        <v>0</v>
      </c>
      <c r="N936" s="155">
        <f t="shared" si="208"/>
        <v>0</v>
      </c>
      <c r="O936" s="168">
        <f t="shared" si="209"/>
        <v>0</v>
      </c>
      <c r="P936" s="157">
        <f t="shared" si="209"/>
        <v>0</v>
      </c>
    </row>
    <row r="937" spans="1:16" ht="13.5" customHeight="1">
      <c r="A937" s="474"/>
      <c r="B937" s="127">
        <v>6</v>
      </c>
      <c r="C937" s="158">
        <v>0</v>
      </c>
      <c r="D937" s="158">
        <v>0</v>
      </c>
      <c r="E937" s="158">
        <v>0</v>
      </c>
      <c r="F937" s="158">
        <v>0</v>
      </c>
      <c r="G937" s="158">
        <v>0</v>
      </c>
      <c r="H937" s="158">
        <v>0</v>
      </c>
      <c r="I937" s="158">
        <v>2</v>
      </c>
      <c r="J937" s="158">
        <v>0</v>
      </c>
      <c r="K937" s="158">
        <v>0</v>
      </c>
      <c r="L937" s="158">
        <v>0</v>
      </c>
      <c r="M937" s="154">
        <f t="shared" si="207"/>
        <v>2</v>
      </c>
      <c r="N937" s="155">
        <f t="shared" si="208"/>
        <v>0</v>
      </c>
      <c r="O937" s="168">
        <f>M937/30</f>
        <v>6.6666666666666666E-2</v>
      </c>
      <c r="P937" s="157">
        <f>N937/30</f>
        <v>0</v>
      </c>
    </row>
    <row r="938" spans="1:16" ht="13.5" customHeight="1">
      <c r="A938" s="474"/>
      <c r="B938" s="127">
        <v>7</v>
      </c>
      <c r="C938" s="158">
        <v>6</v>
      </c>
      <c r="D938" s="158">
        <v>17</v>
      </c>
      <c r="E938" s="158">
        <v>0</v>
      </c>
      <c r="F938" s="158">
        <v>0</v>
      </c>
      <c r="G938" s="158">
        <v>0</v>
      </c>
      <c r="H938" s="158">
        <v>0</v>
      </c>
      <c r="I938" s="158">
        <v>0</v>
      </c>
      <c r="J938" s="158">
        <v>6</v>
      </c>
      <c r="K938" s="158">
        <v>0</v>
      </c>
      <c r="L938" s="158">
        <v>0</v>
      </c>
      <c r="M938" s="154">
        <f t="shared" si="207"/>
        <v>6</v>
      </c>
      <c r="N938" s="155">
        <f t="shared" si="208"/>
        <v>23</v>
      </c>
      <c r="O938" s="168">
        <f t="shared" ref="O938:O948" si="210">M938/31</f>
        <v>0.19354838709677419</v>
      </c>
      <c r="P938" s="157">
        <f t="shared" ref="P938:P948" si="211">N938/31</f>
        <v>0.74193548387096775</v>
      </c>
    </row>
    <row r="939" spans="1:16" ht="13.5" customHeight="1">
      <c r="A939" s="474"/>
      <c r="B939" s="127">
        <v>8</v>
      </c>
      <c r="C939" s="158">
        <v>4</v>
      </c>
      <c r="D939" s="158">
        <v>8</v>
      </c>
      <c r="E939" s="158">
        <v>0</v>
      </c>
      <c r="F939" s="158">
        <v>0</v>
      </c>
      <c r="G939" s="158">
        <v>0</v>
      </c>
      <c r="H939" s="158">
        <v>0</v>
      </c>
      <c r="I939" s="158">
        <v>0</v>
      </c>
      <c r="J939" s="158">
        <v>0</v>
      </c>
      <c r="K939" s="158">
        <v>1</v>
      </c>
      <c r="L939" s="159">
        <v>1</v>
      </c>
      <c r="M939" s="177">
        <f t="shared" si="207"/>
        <v>5</v>
      </c>
      <c r="N939" s="158">
        <f t="shared" si="208"/>
        <v>9</v>
      </c>
      <c r="O939" s="168">
        <f t="shared" si="210"/>
        <v>0.16129032258064516</v>
      </c>
      <c r="P939" s="157">
        <f t="shared" si="211"/>
        <v>0.29032258064516131</v>
      </c>
    </row>
    <row r="940" spans="1:16" ht="13.5" customHeight="1">
      <c r="A940" s="474"/>
      <c r="B940" s="127">
        <v>9</v>
      </c>
      <c r="C940" s="147">
        <v>0</v>
      </c>
      <c r="D940" s="147">
        <v>0</v>
      </c>
      <c r="E940" s="147">
        <v>0</v>
      </c>
      <c r="F940" s="147">
        <v>0</v>
      </c>
      <c r="G940" s="147">
        <v>1</v>
      </c>
      <c r="H940" s="147">
        <v>3</v>
      </c>
      <c r="I940" s="147">
        <v>2</v>
      </c>
      <c r="J940" s="147">
        <v>5</v>
      </c>
      <c r="K940" s="147">
        <v>0</v>
      </c>
      <c r="L940" s="148">
        <v>0</v>
      </c>
      <c r="M940" s="177">
        <f t="shared" si="207"/>
        <v>3</v>
      </c>
      <c r="N940" s="158">
        <f t="shared" si="208"/>
        <v>8</v>
      </c>
      <c r="O940" s="168">
        <f t="shared" si="210"/>
        <v>9.6774193548387094E-2</v>
      </c>
      <c r="P940" s="157">
        <f t="shared" si="211"/>
        <v>0.25806451612903225</v>
      </c>
    </row>
    <row r="941" spans="1:16" ht="13.5" customHeight="1">
      <c r="A941" s="474"/>
      <c r="B941" s="127">
        <v>10</v>
      </c>
      <c r="C941" s="147">
        <v>0</v>
      </c>
      <c r="D941" s="147">
        <v>0</v>
      </c>
      <c r="E941" s="147">
        <v>0</v>
      </c>
      <c r="F941" s="181">
        <v>0</v>
      </c>
      <c r="G941" s="147">
        <v>0</v>
      </c>
      <c r="H941" s="147">
        <v>0</v>
      </c>
      <c r="I941" s="147">
        <v>0</v>
      </c>
      <c r="J941" s="147">
        <v>4</v>
      </c>
      <c r="K941" s="147">
        <v>0</v>
      </c>
      <c r="L941" s="148">
        <v>0</v>
      </c>
      <c r="M941" s="154">
        <f t="shared" si="207"/>
        <v>0</v>
      </c>
      <c r="N941" s="155">
        <f t="shared" si="208"/>
        <v>4</v>
      </c>
      <c r="O941" s="168">
        <f t="shared" si="210"/>
        <v>0</v>
      </c>
      <c r="P941" s="157">
        <f t="shared" si="211"/>
        <v>0.12903225806451613</v>
      </c>
    </row>
    <row r="942" spans="1:16" ht="13.5" customHeight="1">
      <c r="A942" s="474"/>
      <c r="B942" s="127">
        <v>11</v>
      </c>
      <c r="C942" s="367">
        <v>0</v>
      </c>
      <c r="D942" s="367">
        <v>0</v>
      </c>
      <c r="E942" s="367">
        <v>0</v>
      </c>
      <c r="F942" s="367">
        <v>0</v>
      </c>
      <c r="G942" s="367">
        <v>0</v>
      </c>
      <c r="H942" s="367">
        <v>0</v>
      </c>
      <c r="I942" s="367">
        <v>0</v>
      </c>
      <c r="J942" s="367">
        <v>0</v>
      </c>
      <c r="K942" s="367">
        <v>0</v>
      </c>
      <c r="L942" s="368">
        <v>0</v>
      </c>
      <c r="M942" s="154">
        <f t="shared" si="207"/>
        <v>0</v>
      </c>
      <c r="N942" s="155">
        <f t="shared" si="208"/>
        <v>0</v>
      </c>
      <c r="O942" s="168">
        <f t="shared" si="210"/>
        <v>0</v>
      </c>
      <c r="P942" s="157">
        <f t="shared" si="211"/>
        <v>0</v>
      </c>
    </row>
    <row r="943" spans="1:16" ht="13.5" customHeight="1" thickBot="1">
      <c r="A943" s="475"/>
      <c r="B943" s="127">
        <v>12</v>
      </c>
      <c r="C943" s="187">
        <v>0</v>
      </c>
      <c r="D943" s="187">
        <v>0</v>
      </c>
      <c r="E943" s="187">
        <v>0</v>
      </c>
      <c r="F943" s="188">
        <v>0</v>
      </c>
      <c r="G943" s="187">
        <v>0</v>
      </c>
      <c r="H943" s="187">
        <v>0</v>
      </c>
      <c r="I943" s="187">
        <v>0</v>
      </c>
      <c r="J943" s="187">
        <v>0</v>
      </c>
      <c r="K943" s="187">
        <v>0</v>
      </c>
      <c r="L943" s="189">
        <v>0</v>
      </c>
      <c r="M943" s="154">
        <f t="shared" si="207"/>
        <v>0</v>
      </c>
      <c r="N943" s="155">
        <f t="shared" si="208"/>
        <v>0</v>
      </c>
      <c r="O943" s="168">
        <f t="shared" si="210"/>
        <v>0</v>
      </c>
      <c r="P943" s="157">
        <f t="shared" si="211"/>
        <v>0</v>
      </c>
    </row>
    <row r="944" spans="1:16" ht="13.5" customHeight="1">
      <c r="A944" s="473">
        <v>2018</v>
      </c>
      <c r="B944" s="410">
        <v>1</v>
      </c>
      <c r="C944" s="158">
        <v>0</v>
      </c>
      <c r="D944" s="158">
        <v>0</v>
      </c>
      <c r="E944" s="158">
        <v>0</v>
      </c>
      <c r="F944" s="169">
        <v>0</v>
      </c>
      <c r="G944" s="158">
        <v>0</v>
      </c>
      <c r="H944" s="158">
        <v>0</v>
      </c>
      <c r="I944" s="158">
        <v>0</v>
      </c>
      <c r="J944" s="158">
        <v>0</v>
      </c>
      <c r="K944" s="158">
        <v>0</v>
      </c>
      <c r="L944" s="159">
        <v>0</v>
      </c>
      <c r="M944" s="424">
        <f t="shared" si="207"/>
        <v>0</v>
      </c>
      <c r="N944" s="425">
        <f t="shared" si="208"/>
        <v>0</v>
      </c>
      <c r="O944" s="430">
        <f t="shared" si="210"/>
        <v>0</v>
      </c>
      <c r="P944" s="427">
        <f t="shared" si="211"/>
        <v>0</v>
      </c>
    </row>
    <row r="945" spans="1:16" ht="13.5" customHeight="1">
      <c r="A945" s="474"/>
      <c r="B945" s="127">
        <v>2</v>
      </c>
      <c r="C945" s="158">
        <v>0</v>
      </c>
      <c r="D945" s="158">
        <v>0</v>
      </c>
      <c r="E945" s="158">
        <v>0</v>
      </c>
      <c r="F945" s="169">
        <v>0</v>
      </c>
      <c r="G945" s="158">
        <v>0</v>
      </c>
      <c r="H945" s="158">
        <v>0</v>
      </c>
      <c r="I945" s="158">
        <v>0</v>
      </c>
      <c r="J945" s="158">
        <v>0</v>
      </c>
      <c r="K945" s="158">
        <v>0</v>
      </c>
      <c r="L945" s="159">
        <v>0</v>
      </c>
      <c r="M945" s="154">
        <f t="shared" si="207"/>
        <v>0</v>
      </c>
      <c r="N945" s="155">
        <f t="shared" si="208"/>
        <v>0</v>
      </c>
      <c r="O945" s="168">
        <f t="shared" si="210"/>
        <v>0</v>
      </c>
      <c r="P945" s="157">
        <f t="shared" si="211"/>
        <v>0</v>
      </c>
    </row>
    <row r="946" spans="1:16" ht="13.5" customHeight="1">
      <c r="A946" s="474"/>
      <c r="B946" s="127">
        <v>3</v>
      </c>
      <c r="C946" s="158">
        <v>0</v>
      </c>
      <c r="D946" s="158">
        <v>0</v>
      </c>
      <c r="E946" s="158">
        <v>0</v>
      </c>
      <c r="F946" s="169">
        <v>0</v>
      </c>
      <c r="G946" s="158">
        <v>0</v>
      </c>
      <c r="H946" s="158">
        <v>0</v>
      </c>
      <c r="I946" s="158">
        <v>0</v>
      </c>
      <c r="J946" s="158">
        <v>0</v>
      </c>
      <c r="K946" s="158">
        <v>0</v>
      </c>
      <c r="L946" s="159">
        <v>0</v>
      </c>
      <c r="M946" s="154">
        <f t="shared" si="207"/>
        <v>0</v>
      </c>
      <c r="N946" s="155">
        <f t="shared" si="208"/>
        <v>0</v>
      </c>
      <c r="O946" s="168">
        <f t="shared" si="210"/>
        <v>0</v>
      </c>
      <c r="P946" s="157">
        <f t="shared" si="211"/>
        <v>0</v>
      </c>
    </row>
    <row r="947" spans="1:16" ht="13.5" customHeight="1">
      <c r="A947" s="474"/>
      <c r="B947" s="127">
        <v>4</v>
      </c>
      <c r="C947" s="158">
        <v>0</v>
      </c>
      <c r="D947" s="158">
        <v>0</v>
      </c>
      <c r="E947" s="158">
        <v>0</v>
      </c>
      <c r="F947" s="169">
        <v>0</v>
      </c>
      <c r="G947" s="158">
        <v>0</v>
      </c>
      <c r="H947" s="158">
        <v>0</v>
      </c>
      <c r="I947" s="158">
        <v>0</v>
      </c>
      <c r="J947" s="158">
        <v>0</v>
      </c>
      <c r="K947" s="158">
        <v>0</v>
      </c>
      <c r="L947" s="159">
        <v>0</v>
      </c>
      <c r="M947" s="154">
        <f t="shared" si="207"/>
        <v>0</v>
      </c>
      <c r="N947" s="155">
        <f t="shared" si="208"/>
        <v>0</v>
      </c>
      <c r="O947" s="168">
        <f t="shared" si="210"/>
        <v>0</v>
      </c>
      <c r="P947" s="157">
        <f t="shared" si="211"/>
        <v>0</v>
      </c>
    </row>
    <row r="948" spans="1:16" ht="13.5" customHeight="1">
      <c r="A948" s="474"/>
      <c r="B948" s="127">
        <v>5</v>
      </c>
      <c r="C948" s="158">
        <v>0</v>
      </c>
      <c r="D948" s="158">
        <v>0</v>
      </c>
      <c r="E948" s="158">
        <v>0</v>
      </c>
      <c r="F948" s="169">
        <v>0</v>
      </c>
      <c r="G948" s="158">
        <v>0</v>
      </c>
      <c r="H948" s="158">
        <v>0</v>
      </c>
      <c r="I948" s="158">
        <v>0</v>
      </c>
      <c r="J948" s="158">
        <v>0</v>
      </c>
      <c r="K948" s="158">
        <v>0</v>
      </c>
      <c r="L948" s="159">
        <v>0</v>
      </c>
      <c r="M948" s="154">
        <f t="shared" si="207"/>
        <v>0</v>
      </c>
      <c r="N948" s="155">
        <f t="shared" si="208"/>
        <v>0</v>
      </c>
      <c r="O948" s="168">
        <f t="shared" si="210"/>
        <v>0</v>
      </c>
      <c r="P948" s="157">
        <f t="shared" si="211"/>
        <v>0</v>
      </c>
    </row>
    <row r="949" spans="1:16" ht="13.5" customHeight="1">
      <c r="A949" s="474"/>
      <c r="B949" s="127">
        <v>6</v>
      </c>
      <c r="C949" s="158">
        <v>0</v>
      </c>
      <c r="D949" s="158">
        <v>0</v>
      </c>
      <c r="E949" s="158">
        <v>0</v>
      </c>
      <c r="F949" s="158">
        <v>0</v>
      </c>
      <c r="G949" s="158">
        <v>0</v>
      </c>
      <c r="H949" s="158">
        <v>0</v>
      </c>
      <c r="I949" s="158">
        <v>0</v>
      </c>
      <c r="J949" s="158">
        <v>0</v>
      </c>
      <c r="K949" s="158">
        <v>0</v>
      </c>
      <c r="L949" s="158">
        <v>0</v>
      </c>
      <c r="M949" s="154">
        <f t="shared" si="207"/>
        <v>0</v>
      </c>
      <c r="N949" s="155">
        <f t="shared" si="208"/>
        <v>0</v>
      </c>
      <c r="O949" s="168">
        <f>M949/30</f>
        <v>0</v>
      </c>
      <c r="P949" s="157">
        <f>N949/30</f>
        <v>0</v>
      </c>
    </row>
    <row r="950" spans="1:16" ht="13.5" customHeight="1">
      <c r="A950" s="474"/>
      <c r="B950" s="127">
        <v>7</v>
      </c>
      <c r="C950" s="158">
        <v>0</v>
      </c>
      <c r="D950" s="158">
        <v>0</v>
      </c>
      <c r="E950" s="158">
        <v>0</v>
      </c>
      <c r="F950" s="158">
        <v>0</v>
      </c>
      <c r="G950" s="158">
        <v>0</v>
      </c>
      <c r="H950" s="158">
        <v>0</v>
      </c>
      <c r="I950" s="158">
        <v>0</v>
      </c>
      <c r="J950" s="158">
        <v>0</v>
      </c>
      <c r="K950" s="158">
        <v>0</v>
      </c>
      <c r="L950" s="158">
        <v>0</v>
      </c>
      <c r="M950" s="154">
        <f t="shared" si="207"/>
        <v>0</v>
      </c>
      <c r="N950" s="155">
        <f t="shared" si="208"/>
        <v>0</v>
      </c>
      <c r="O950" s="168">
        <f t="shared" ref="O950:P972" si="212">M950/31</f>
        <v>0</v>
      </c>
      <c r="P950" s="157">
        <f t="shared" si="212"/>
        <v>0</v>
      </c>
    </row>
    <row r="951" spans="1:16" ht="13.5" customHeight="1">
      <c r="A951" s="474"/>
      <c r="B951" s="127">
        <v>8</v>
      </c>
      <c r="C951" s="158">
        <v>0</v>
      </c>
      <c r="D951" s="158">
        <v>0</v>
      </c>
      <c r="E951" s="158">
        <v>0</v>
      </c>
      <c r="F951" s="158">
        <v>0</v>
      </c>
      <c r="G951" s="158">
        <v>0</v>
      </c>
      <c r="H951" s="158">
        <v>0</v>
      </c>
      <c r="I951" s="158">
        <v>0</v>
      </c>
      <c r="J951" s="158">
        <v>0</v>
      </c>
      <c r="K951" s="158">
        <v>0</v>
      </c>
      <c r="L951" s="159">
        <v>0</v>
      </c>
      <c r="M951" s="177">
        <f t="shared" si="207"/>
        <v>0</v>
      </c>
      <c r="N951" s="158">
        <f t="shared" si="208"/>
        <v>0</v>
      </c>
      <c r="O951" s="168">
        <f t="shared" si="212"/>
        <v>0</v>
      </c>
      <c r="P951" s="157">
        <f t="shared" si="212"/>
        <v>0</v>
      </c>
    </row>
    <row r="952" spans="1:16" ht="13.5" customHeight="1">
      <c r="A952" s="474"/>
      <c r="B952" s="127">
        <v>9</v>
      </c>
      <c r="C952" s="147">
        <v>0</v>
      </c>
      <c r="D952" s="147">
        <v>0</v>
      </c>
      <c r="E952" s="147">
        <v>0</v>
      </c>
      <c r="F952" s="147">
        <v>0</v>
      </c>
      <c r="G952" s="147">
        <v>0</v>
      </c>
      <c r="H952" s="147">
        <v>0</v>
      </c>
      <c r="I952" s="147">
        <v>0</v>
      </c>
      <c r="J952" s="147">
        <v>0</v>
      </c>
      <c r="K952" s="147">
        <v>0</v>
      </c>
      <c r="L952" s="148">
        <v>0</v>
      </c>
      <c r="M952" s="177">
        <f t="shared" si="207"/>
        <v>0</v>
      </c>
      <c r="N952" s="158">
        <f t="shared" si="208"/>
        <v>0</v>
      </c>
      <c r="O952" s="168">
        <f t="shared" si="212"/>
        <v>0</v>
      </c>
      <c r="P952" s="157">
        <f t="shared" si="212"/>
        <v>0</v>
      </c>
    </row>
    <row r="953" spans="1:16" ht="13.5" customHeight="1">
      <c r="A953" s="474"/>
      <c r="B953" s="127">
        <v>10</v>
      </c>
      <c r="C953" s="147">
        <v>0</v>
      </c>
      <c r="D953" s="147">
        <v>0</v>
      </c>
      <c r="E953" s="147">
        <v>0</v>
      </c>
      <c r="F953" s="181">
        <v>0</v>
      </c>
      <c r="G953" s="147">
        <v>0</v>
      </c>
      <c r="H953" s="147">
        <v>0</v>
      </c>
      <c r="I953" s="147">
        <v>0</v>
      </c>
      <c r="J953" s="147">
        <v>0</v>
      </c>
      <c r="K953" s="147">
        <v>0</v>
      </c>
      <c r="L953" s="148">
        <v>0</v>
      </c>
      <c r="M953" s="154">
        <f t="shared" si="207"/>
        <v>0</v>
      </c>
      <c r="N953" s="155">
        <f t="shared" si="208"/>
        <v>0</v>
      </c>
      <c r="O953" s="168">
        <f t="shared" si="212"/>
        <v>0</v>
      </c>
      <c r="P953" s="157">
        <f t="shared" si="212"/>
        <v>0</v>
      </c>
    </row>
    <row r="954" spans="1:16" ht="13.5" customHeight="1">
      <c r="A954" s="474"/>
      <c r="B954" s="127">
        <v>11</v>
      </c>
      <c r="C954" s="367">
        <v>0</v>
      </c>
      <c r="D954" s="367">
        <v>0</v>
      </c>
      <c r="E954" s="367">
        <v>0</v>
      </c>
      <c r="F954" s="367">
        <v>0</v>
      </c>
      <c r="G954" s="367">
        <v>0</v>
      </c>
      <c r="H954" s="367">
        <v>0</v>
      </c>
      <c r="I954" s="367">
        <v>0</v>
      </c>
      <c r="J954" s="367">
        <v>0</v>
      </c>
      <c r="K954" s="367">
        <v>0</v>
      </c>
      <c r="L954" s="368">
        <v>0</v>
      </c>
      <c r="M954" s="154">
        <f t="shared" si="207"/>
        <v>0</v>
      </c>
      <c r="N954" s="155">
        <f t="shared" si="208"/>
        <v>0</v>
      </c>
      <c r="O954" s="168">
        <f t="shared" si="212"/>
        <v>0</v>
      </c>
      <c r="P954" s="157">
        <f t="shared" si="212"/>
        <v>0</v>
      </c>
    </row>
    <row r="955" spans="1:16" ht="13.5" customHeight="1" thickBot="1">
      <c r="A955" s="475"/>
      <c r="B955" s="127">
        <v>12</v>
      </c>
      <c r="C955" s="187">
        <v>0</v>
      </c>
      <c r="D955" s="187">
        <v>0</v>
      </c>
      <c r="E955" s="187">
        <v>0</v>
      </c>
      <c r="F955" s="188">
        <v>0</v>
      </c>
      <c r="G955" s="187">
        <v>0</v>
      </c>
      <c r="H955" s="187">
        <v>0</v>
      </c>
      <c r="I955" s="187">
        <v>0</v>
      </c>
      <c r="J955" s="187">
        <v>0</v>
      </c>
      <c r="K955" s="187">
        <v>0</v>
      </c>
      <c r="L955" s="189">
        <v>0</v>
      </c>
      <c r="M955" s="154">
        <f t="shared" si="207"/>
        <v>0</v>
      </c>
      <c r="N955" s="155">
        <f t="shared" si="208"/>
        <v>0</v>
      </c>
      <c r="O955" s="168">
        <f t="shared" si="212"/>
        <v>0</v>
      </c>
      <c r="P955" s="157">
        <f t="shared" si="212"/>
        <v>0</v>
      </c>
    </row>
    <row r="956" spans="1:16" ht="13.5" customHeight="1">
      <c r="A956" s="473">
        <v>2019</v>
      </c>
      <c r="B956" s="410">
        <v>1</v>
      </c>
      <c r="C956" s="158">
        <v>0</v>
      </c>
      <c r="D956" s="158">
        <v>0</v>
      </c>
      <c r="E956" s="158">
        <v>0</v>
      </c>
      <c r="F956" s="169">
        <v>0</v>
      </c>
      <c r="G956" s="158">
        <v>0</v>
      </c>
      <c r="H956" s="158">
        <v>0</v>
      </c>
      <c r="I956" s="158">
        <v>0</v>
      </c>
      <c r="J956" s="158">
        <v>0</v>
      </c>
      <c r="K956" s="158">
        <v>0</v>
      </c>
      <c r="L956" s="159">
        <v>0</v>
      </c>
      <c r="M956" s="424">
        <f t="shared" si="207"/>
        <v>0</v>
      </c>
      <c r="N956" s="425">
        <f t="shared" si="208"/>
        <v>0</v>
      </c>
      <c r="O956" s="430">
        <f t="shared" ref="O956:O960" si="213">M956/31</f>
        <v>0</v>
      </c>
      <c r="P956" s="427">
        <f t="shared" ref="P956:P960" si="214">N956/31</f>
        <v>0</v>
      </c>
    </row>
    <row r="957" spans="1:16" ht="13.5" customHeight="1">
      <c r="A957" s="474"/>
      <c r="B957" s="127">
        <v>2</v>
      </c>
      <c r="C957" s="158">
        <v>0</v>
      </c>
      <c r="D957" s="158">
        <v>0</v>
      </c>
      <c r="E957" s="158">
        <v>0</v>
      </c>
      <c r="F957" s="169">
        <v>0</v>
      </c>
      <c r="G957" s="158">
        <v>0</v>
      </c>
      <c r="H957" s="158">
        <v>0</v>
      </c>
      <c r="I957" s="158">
        <v>0</v>
      </c>
      <c r="J957" s="158">
        <v>0</v>
      </c>
      <c r="K957" s="158">
        <v>0</v>
      </c>
      <c r="L957" s="159">
        <v>0</v>
      </c>
      <c r="M957" s="154">
        <f t="shared" si="207"/>
        <v>0</v>
      </c>
      <c r="N957" s="155">
        <f t="shared" si="208"/>
        <v>0</v>
      </c>
      <c r="O957" s="168">
        <f t="shared" si="213"/>
        <v>0</v>
      </c>
      <c r="P957" s="157">
        <f t="shared" si="214"/>
        <v>0</v>
      </c>
    </row>
    <row r="958" spans="1:16" ht="13.5" customHeight="1">
      <c r="A958" s="474"/>
      <c r="B958" s="127">
        <v>3</v>
      </c>
      <c r="C958" s="158">
        <v>0</v>
      </c>
      <c r="D958" s="158">
        <v>0</v>
      </c>
      <c r="E958" s="158">
        <v>0</v>
      </c>
      <c r="F958" s="169">
        <v>0</v>
      </c>
      <c r="G958" s="158">
        <v>0</v>
      </c>
      <c r="H958" s="158">
        <v>0</v>
      </c>
      <c r="I958" s="158">
        <v>0</v>
      </c>
      <c r="J958" s="158">
        <v>0</v>
      </c>
      <c r="K958" s="158">
        <v>0</v>
      </c>
      <c r="L958" s="159">
        <v>0</v>
      </c>
      <c r="M958" s="154">
        <f t="shared" si="207"/>
        <v>0</v>
      </c>
      <c r="N958" s="155">
        <f t="shared" si="208"/>
        <v>0</v>
      </c>
      <c r="O958" s="168">
        <f t="shared" si="213"/>
        <v>0</v>
      </c>
      <c r="P958" s="157">
        <f t="shared" si="214"/>
        <v>0</v>
      </c>
    </row>
    <row r="959" spans="1:16" ht="13.5" customHeight="1">
      <c r="A959" s="474"/>
      <c r="B959" s="127">
        <v>4</v>
      </c>
      <c r="C959" s="158">
        <v>0</v>
      </c>
      <c r="D959" s="158">
        <v>0</v>
      </c>
      <c r="E959" s="158">
        <v>0</v>
      </c>
      <c r="F959" s="169">
        <v>0</v>
      </c>
      <c r="G959" s="158">
        <v>0</v>
      </c>
      <c r="H959" s="158">
        <v>0</v>
      </c>
      <c r="I959" s="158">
        <v>0</v>
      </c>
      <c r="J959" s="158">
        <v>0</v>
      </c>
      <c r="K959" s="158">
        <v>0</v>
      </c>
      <c r="L959" s="159">
        <v>0</v>
      </c>
      <c r="M959" s="154">
        <f t="shared" si="207"/>
        <v>0</v>
      </c>
      <c r="N959" s="155">
        <f t="shared" si="208"/>
        <v>0</v>
      </c>
      <c r="O959" s="168">
        <f t="shared" si="213"/>
        <v>0</v>
      </c>
      <c r="P959" s="157">
        <f t="shared" si="214"/>
        <v>0</v>
      </c>
    </row>
    <row r="960" spans="1:16" ht="13.5" customHeight="1">
      <c r="A960" s="474"/>
      <c r="B960" s="127">
        <v>5</v>
      </c>
      <c r="C960" s="158">
        <v>0</v>
      </c>
      <c r="D960" s="158">
        <v>0</v>
      </c>
      <c r="E960" s="158">
        <v>0</v>
      </c>
      <c r="F960" s="169">
        <v>0</v>
      </c>
      <c r="G960" s="158">
        <v>0</v>
      </c>
      <c r="H960" s="158">
        <v>0</v>
      </c>
      <c r="I960" s="158">
        <v>0</v>
      </c>
      <c r="J960" s="158">
        <v>0</v>
      </c>
      <c r="K960" s="158">
        <v>0</v>
      </c>
      <c r="L960" s="159">
        <v>0</v>
      </c>
      <c r="M960" s="154">
        <f t="shared" si="207"/>
        <v>0</v>
      </c>
      <c r="N960" s="155">
        <f t="shared" si="208"/>
        <v>0</v>
      </c>
      <c r="O960" s="168">
        <f t="shared" si="213"/>
        <v>0</v>
      </c>
      <c r="P960" s="157">
        <f t="shared" si="214"/>
        <v>0</v>
      </c>
    </row>
    <row r="961" spans="1:16" ht="13.5" customHeight="1">
      <c r="A961" s="474"/>
      <c r="B961" s="127">
        <v>6</v>
      </c>
      <c r="C961" s="158">
        <v>0</v>
      </c>
      <c r="D961" s="158">
        <v>0</v>
      </c>
      <c r="E961" s="158">
        <v>0</v>
      </c>
      <c r="F961" s="158">
        <v>0</v>
      </c>
      <c r="G961" s="158">
        <v>0</v>
      </c>
      <c r="H961" s="158">
        <v>0</v>
      </c>
      <c r="I961" s="158">
        <v>0</v>
      </c>
      <c r="J961" s="158">
        <v>0</v>
      </c>
      <c r="K961" s="158">
        <v>0</v>
      </c>
      <c r="L961" s="158">
        <v>0</v>
      </c>
      <c r="M961" s="154">
        <f t="shared" si="207"/>
        <v>0</v>
      </c>
      <c r="N961" s="155">
        <f t="shared" si="208"/>
        <v>0</v>
      </c>
      <c r="O961" s="168">
        <f>M961/30</f>
        <v>0</v>
      </c>
      <c r="P961" s="157">
        <f>N961/30</f>
        <v>0</v>
      </c>
    </row>
    <row r="962" spans="1:16" ht="13.5" customHeight="1">
      <c r="A962" s="474"/>
      <c r="B962" s="127">
        <v>7</v>
      </c>
      <c r="C962" s="158">
        <v>0</v>
      </c>
      <c r="D962" s="158">
        <v>0</v>
      </c>
      <c r="E962" s="158">
        <v>0</v>
      </c>
      <c r="F962" s="158">
        <v>0</v>
      </c>
      <c r="G962" s="158">
        <v>0</v>
      </c>
      <c r="H962" s="158">
        <v>0</v>
      </c>
      <c r="I962" s="158">
        <v>0</v>
      </c>
      <c r="J962" s="158">
        <v>0</v>
      </c>
      <c r="K962" s="158">
        <v>0</v>
      </c>
      <c r="L962" s="158">
        <v>0</v>
      </c>
      <c r="M962" s="154">
        <f t="shared" si="207"/>
        <v>0</v>
      </c>
      <c r="N962" s="155">
        <f t="shared" si="208"/>
        <v>0</v>
      </c>
      <c r="O962" s="168">
        <f t="shared" ref="O962:O963" si="215">M962/31</f>
        <v>0</v>
      </c>
      <c r="P962" s="157">
        <f t="shared" ref="P962:P963" si="216">N962/31</f>
        <v>0</v>
      </c>
    </row>
    <row r="963" spans="1:16" ht="13.5" customHeight="1">
      <c r="A963" s="474"/>
      <c r="B963" s="127">
        <v>8</v>
      </c>
      <c r="C963" s="158">
        <v>0</v>
      </c>
      <c r="D963" s="158">
        <v>0</v>
      </c>
      <c r="E963" s="158">
        <v>0</v>
      </c>
      <c r="F963" s="158">
        <v>0</v>
      </c>
      <c r="G963" s="158">
        <v>0</v>
      </c>
      <c r="H963" s="158">
        <v>0</v>
      </c>
      <c r="I963" s="158">
        <v>0</v>
      </c>
      <c r="J963" s="158">
        <v>0</v>
      </c>
      <c r="K963" s="158">
        <v>0</v>
      </c>
      <c r="L963" s="159">
        <v>0</v>
      </c>
      <c r="M963" s="177">
        <f t="shared" si="207"/>
        <v>0</v>
      </c>
      <c r="N963" s="158">
        <f t="shared" si="208"/>
        <v>0</v>
      </c>
      <c r="O963" s="168">
        <f t="shared" si="215"/>
        <v>0</v>
      </c>
      <c r="P963" s="157">
        <f t="shared" si="216"/>
        <v>0</v>
      </c>
    </row>
    <row r="964" spans="1:16" ht="13.5" customHeight="1">
      <c r="A964" s="474"/>
      <c r="B964" s="127">
        <v>9</v>
      </c>
      <c r="C964" s="147">
        <v>0</v>
      </c>
      <c r="D964" s="147">
        <v>0</v>
      </c>
      <c r="E964" s="147">
        <v>0</v>
      </c>
      <c r="F964" s="147">
        <v>0</v>
      </c>
      <c r="G964" s="147">
        <v>0</v>
      </c>
      <c r="H964" s="147">
        <v>0</v>
      </c>
      <c r="I964" s="147">
        <v>0</v>
      </c>
      <c r="J964" s="147">
        <v>0</v>
      </c>
      <c r="K964" s="147">
        <v>0</v>
      </c>
      <c r="L964" s="148">
        <v>0</v>
      </c>
      <c r="M964" s="177">
        <v>0</v>
      </c>
      <c r="N964" s="158">
        <v>0</v>
      </c>
      <c r="O964" s="168">
        <v>0</v>
      </c>
      <c r="P964" s="157">
        <v>0</v>
      </c>
    </row>
    <row r="965" spans="1:16" ht="13.5" customHeight="1">
      <c r="A965" s="474"/>
      <c r="B965" s="127">
        <v>10</v>
      </c>
      <c r="C965" s="147">
        <v>0</v>
      </c>
      <c r="D965" s="147">
        <v>0</v>
      </c>
      <c r="E965" s="147">
        <v>0</v>
      </c>
      <c r="F965" s="181">
        <v>0</v>
      </c>
      <c r="G965" s="147">
        <v>0</v>
      </c>
      <c r="H965" s="147">
        <v>0</v>
      </c>
      <c r="I965" s="147">
        <v>0</v>
      </c>
      <c r="J965" s="147">
        <v>0</v>
      </c>
      <c r="K965" s="147">
        <v>0</v>
      </c>
      <c r="L965" s="148">
        <v>0</v>
      </c>
      <c r="M965" s="154">
        <f t="shared" ref="M965:M967" si="217">+C965+E965+G965+I965+K965</f>
        <v>0</v>
      </c>
      <c r="N965" s="155">
        <f t="shared" ref="N965:N967" si="218">+D965+F965+H965+J965+L965</f>
        <v>0</v>
      </c>
      <c r="O965" s="168">
        <f t="shared" ref="O965:O967" si="219">M965/31</f>
        <v>0</v>
      </c>
      <c r="P965" s="157">
        <f t="shared" ref="P965:P967" si="220">N965/31</f>
        <v>0</v>
      </c>
    </row>
    <row r="966" spans="1:16" ht="13.5" customHeight="1">
      <c r="A966" s="474"/>
      <c r="B966" s="127">
        <v>11</v>
      </c>
      <c r="C966" s="367">
        <v>0</v>
      </c>
      <c r="D966" s="367">
        <v>0</v>
      </c>
      <c r="E966" s="367">
        <v>0</v>
      </c>
      <c r="F966" s="367">
        <v>0</v>
      </c>
      <c r="G966" s="367">
        <v>0</v>
      </c>
      <c r="H966" s="367">
        <v>0</v>
      </c>
      <c r="I966" s="367">
        <v>0</v>
      </c>
      <c r="J966" s="367">
        <v>0</v>
      </c>
      <c r="K966" s="367">
        <v>0</v>
      </c>
      <c r="L966" s="368">
        <v>0</v>
      </c>
      <c r="M966" s="154">
        <f t="shared" si="217"/>
        <v>0</v>
      </c>
      <c r="N966" s="155">
        <f t="shared" si="218"/>
        <v>0</v>
      </c>
      <c r="O966" s="168">
        <f t="shared" si="219"/>
        <v>0</v>
      </c>
      <c r="P966" s="157">
        <f t="shared" si="220"/>
        <v>0</v>
      </c>
    </row>
    <row r="967" spans="1:16" ht="13.5" customHeight="1" thickBot="1">
      <c r="A967" s="475"/>
      <c r="B967" s="127">
        <v>12</v>
      </c>
      <c r="C967" s="374">
        <v>0</v>
      </c>
      <c r="D967" s="374">
        <v>0</v>
      </c>
      <c r="E967" s="374">
        <v>0</v>
      </c>
      <c r="F967" s="374">
        <v>0</v>
      </c>
      <c r="G967" s="374">
        <v>0</v>
      </c>
      <c r="H967" s="374">
        <v>0</v>
      </c>
      <c r="I967" s="374">
        <v>0</v>
      </c>
      <c r="J967" s="374">
        <v>0</v>
      </c>
      <c r="K967" s="374">
        <v>0</v>
      </c>
      <c r="L967" s="375">
        <v>0</v>
      </c>
      <c r="M967" s="154">
        <f t="shared" si="217"/>
        <v>0</v>
      </c>
      <c r="N967" s="155">
        <f t="shared" si="218"/>
        <v>0</v>
      </c>
      <c r="O967" s="168">
        <f t="shared" si="219"/>
        <v>0</v>
      </c>
      <c r="P967" s="157">
        <f t="shared" si="220"/>
        <v>0</v>
      </c>
    </row>
    <row r="968" spans="1:16" ht="13.5" customHeight="1">
      <c r="A968" s="473">
        <v>2020</v>
      </c>
      <c r="B968" s="410">
        <v>1</v>
      </c>
      <c r="C968" s="434">
        <v>0</v>
      </c>
      <c r="D968" s="434">
        <v>0</v>
      </c>
      <c r="E968" s="434">
        <v>0</v>
      </c>
      <c r="F968" s="435">
        <v>0</v>
      </c>
      <c r="G968" s="434">
        <v>0</v>
      </c>
      <c r="H968" s="434">
        <v>0</v>
      </c>
      <c r="I968" s="434">
        <v>0</v>
      </c>
      <c r="J968" s="434">
        <v>0</v>
      </c>
      <c r="K968" s="434">
        <v>0</v>
      </c>
      <c r="L968" s="436">
        <v>0</v>
      </c>
      <c r="M968" s="424">
        <f t="shared" ref="M968:M979" si="221">+C968+E968+G968+I968+K968</f>
        <v>0</v>
      </c>
      <c r="N968" s="425">
        <f t="shared" ref="N968:N979" si="222">+D968+F968+H968+J968+L968</f>
        <v>0</v>
      </c>
      <c r="O968" s="430">
        <f t="shared" si="212"/>
        <v>0</v>
      </c>
      <c r="P968" s="427">
        <f t="shared" si="212"/>
        <v>0</v>
      </c>
    </row>
    <row r="969" spans="1:16" ht="13.5" customHeight="1">
      <c r="A969" s="474"/>
      <c r="B969" s="127">
        <v>2</v>
      </c>
      <c r="C969" s="147">
        <v>0</v>
      </c>
      <c r="D969" s="147">
        <v>0</v>
      </c>
      <c r="E969" s="147">
        <v>0</v>
      </c>
      <c r="F969" s="181">
        <v>0</v>
      </c>
      <c r="G969" s="147">
        <v>0</v>
      </c>
      <c r="H969" s="147">
        <v>0</v>
      </c>
      <c r="I969" s="147">
        <v>0</v>
      </c>
      <c r="J969" s="147">
        <v>0</v>
      </c>
      <c r="K969" s="147">
        <v>0</v>
      </c>
      <c r="L969" s="148">
        <v>0</v>
      </c>
      <c r="M969" s="154">
        <f t="shared" si="221"/>
        <v>0</v>
      </c>
      <c r="N969" s="155">
        <f t="shared" si="222"/>
        <v>0</v>
      </c>
      <c r="O969" s="168">
        <f t="shared" si="212"/>
        <v>0</v>
      </c>
      <c r="P969" s="157">
        <f t="shared" si="212"/>
        <v>0</v>
      </c>
    </row>
    <row r="970" spans="1:16" ht="13.5" customHeight="1">
      <c r="A970" s="474"/>
      <c r="B970" s="127">
        <v>3</v>
      </c>
      <c r="C970" s="147">
        <v>0</v>
      </c>
      <c r="D970" s="147">
        <v>0</v>
      </c>
      <c r="E970" s="147">
        <v>0</v>
      </c>
      <c r="F970" s="181">
        <v>0</v>
      </c>
      <c r="G970" s="147">
        <v>0</v>
      </c>
      <c r="H970" s="147">
        <v>0</v>
      </c>
      <c r="I970" s="147">
        <v>0</v>
      </c>
      <c r="J970" s="147">
        <v>0</v>
      </c>
      <c r="K970" s="147">
        <v>0</v>
      </c>
      <c r="L970" s="148">
        <v>0</v>
      </c>
      <c r="M970" s="154">
        <f t="shared" si="221"/>
        <v>0</v>
      </c>
      <c r="N970" s="155">
        <f t="shared" si="222"/>
        <v>0</v>
      </c>
      <c r="O970" s="168">
        <f t="shared" si="212"/>
        <v>0</v>
      </c>
      <c r="P970" s="157">
        <f t="shared" si="212"/>
        <v>0</v>
      </c>
    </row>
    <row r="971" spans="1:16" ht="13.5" customHeight="1">
      <c r="A971" s="474"/>
      <c r="B971" s="127">
        <v>4</v>
      </c>
      <c r="C971" s="147">
        <v>0</v>
      </c>
      <c r="D971" s="147">
        <v>0</v>
      </c>
      <c r="E971" s="147">
        <v>0</v>
      </c>
      <c r="F971" s="181">
        <v>0</v>
      </c>
      <c r="G971" s="147">
        <v>0</v>
      </c>
      <c r="H971" s="147">
        <v>0</v>
      </c>
      <c r="I971" s="147">
        <v>0</v>
      </c>
      <c r="J971" s="147">
        <v>0</v>
      </c>
      <c r="K971" s="147">
        <v>0</v>
      </c>
      <c r="L971" s="148">
        <v>0</v>
      </c>
      <c r="M971" s="154">
        <f t="shared" si="221"/>
        <v>0</v>
      </c>
      <c r="N971" s="155">
        <f t="shared" si="222"/>
        <v>0</v>
      </c>
      <c r="O971" s="168">
        <f t="shared" si="212"/>
        <v>0</v>
      </c>
      <c r="P971" s="157">
        <f t="shared" si="212"/>
        <v>0</v>
      </c>
    </row>
    <row r="972" spans="1:16" ht="13.5" customHeight="1">
      <c r="A972" s="474"/>
      <c r="B972" s="127">
        <v>5</v>
      </c>
      <c r="C972" s="147">
        <v>0</v>
      </c>
      <c r="D972" s="147">
        <v>0</v>
      </c>
      <c r="E972" s="147">
        <v>0</v>
      </c>
      <c r="F972" s="181">
        <v>0</v>
      </c>
      <c r="G972" s="147">
        <v>0</v>
      </c>
      <c r="H972" s="147">
        <v>0</v>
      </c>
      <c r="I972" s="147">
        <v>0</v>
      </c>
      <c r="J972" s="147">
        <v>0</v>
      </c>
      <c r="K972" s="147">
        <v>0</v>
      </c>
      <c r="L972" s="148">
        <v>0</v>
      </c>
      <c r="M972" s="154">
        <f t="shared" si="221"/>
        <v>0</v>
      </c>
      <c r="N972" s="155">
        <f t="shared" si="222"/>
        <v>0</v>
      </c>
      <c r="O972" s="168">
        <f t="shared" si="212"/>
        <v>0</v>
      </c>
      <c r="P972" s="157">
        <f t="shared" si="212"/>
        <v>0</v>
      </c>
    </row>
    <row r="973" spans="1:16" ht="13.5" customHeight="1">
      <c r="A973" s="474"/>
      <c r="B973" s="127">
        <v>6</v>
      </c>
      <c r="C973" s="147">
        <f>集計用!C36</f>
        <v>0</v>
      </c>
      <c r="D973" s="147">
        <f>集計用!S36</f>
        <v>0</v>
      </c>
      <c r="E973" s="147">
        <f>集計用!E36</f>
        <v>0</v>
      </c>
      <c r="F973" s="181">
        <f>集計用!U36</f>
        <v>0</v>
      </c>
      <c r="G973" s="147">
        <f>集計用!G36</f>
        <v>0</v>
      </c>
      <c r="H973" s="147">
        <f>集計用!W36</f>
        <v>0</v>
      </c>
      <c r="I973" s="147">
        <f>集計用!I36</f>
        <v>0</v>
      </c>
      <c r="J973" s="147">
        <f>集計用!Y36</f>
        <v>0</v>
      </c>
      <c r="K973" s="147">
        <f>集計用!K36</f>
        <v>0</v>
      </c>
      <c r="L973" s="148">
        <f>集計用!AA36</f>
        <v>0</v>
      </c>
      <c r="M973" s="154">
        <f t="shared" si="221"/>
        <v>0</v>
      </c>
      <c r="N973" s="155">
        <f t="shared" si="222"/>
        <v>0</v>
      </c>
      <c r="O973" s="168">
        <f>M973/30</f>
        <v>0</v>
      </c>
      <c r="P973" s="157">
        <f>N973/30</f>
        <v>0</v>
      </c>
    </row>
    <row r="974" spans="1:16" ht="13.5" customHeight="1">
      <c r="A974" s="474"/>
      <c r="B974" s="127">
        <v>7</v>
      </c>
      <c r="C974" s="158"/>
      <c r="D974" s="158"/>
      <c r="E974" s="158"/>
      <c r="F974" s="158"/>
      <c r="G974" s="158"/>
      <c r="H974" s="158"/>
      <c r="I974" s="158"/>
      <c r="J974" s="158"/>
      <c r="K974" s="158"/>
      <c r="L974" s="158"/>
      <c r="M974" s="154">
        <f t="shared" si="221"/>
        <v>0</v>
      </c>
      <c r="N974" s="155">
        <f t="shared" si="222"/>
        <v>0</v>
      </c>
      <c r="O974" s="168">
        <f t="shared" ref="O974:O979" si="223">M974/31</f>
        <v>0</v>
      </c>
      <c r="P974" s="157">
        <f t="shared" ref="P974:P979" si="224">N974/31</f>
        <v>0</v>
      </c>
    </row>
    <row r="975" spans="1:16" ht="13.5" customHeight="1">
      <c r="A975" s="474"/>
      <c r="B975" s="127">
        <v>8</v>
      </c>
      <c r="C975" s="158"/>
      <c r="D975" s="158"/>
      <c r="E975" s="158"/>
      <c r="F975" s="158"/>
      <c r="G975" s="158"/>
      <c r="H975" s="158"/>
      <c r="I975" s="158"/>
      <c r="J975" s="158"/>
      <c r="K975" s="158"/>
      <c r="L975" s="159"/>
      <c r="M975" s="177">
        <f t="shared" si="221"/>
        <v>0</v>
      </c>
      <c r="N975" s="158">
        <f t="shared" si="222"/>
        <v>0</v>
      </c>
      <c r="O975" s="168">
        <f t="shared" si="223"/>
        <v>0</v>
      </c>
      <c r="P975" s="157">
        <f t="shared" si="224"/>
        <v>0</v>
      </c>
    </row>
    <row r="976" spans="1:16" ht="13.5" customHeight="1">
      <c r="A976" s="474"/>
      <c r="B976" s="127">
        <v>9</v>
      </c>
      <c r="C976" s="147"/>
      <c r="D976" s="147"/>
      <c r="E976" s="147"/>
      <c r="F976" s="147"/>
      <c r="G976" s="147"/>
      <c r="H976" s="147"/>
      <c r="I976" s="147"/>
      <c r="J976" s="147"/>
      <c r="K976" s="147"/>
      <c r="L976" s="148"/>
      <c r="M976" s="177">
        <f t="shared" ref="M976" si="225">+C976+E976+G976+I976+K976</f>
        <v>0</v>
      </c>
      <c r="N976" s="158">
        <f t="shared" ref="N976" si="226">+D976+F976+H976+J976+L976</f>
        <v>0</v>
      </c>
      <c r="O976" s="168">
        <f>M976/30</f>
        <v>0</v>
      </c>
      <c r="P976" s="157">
        <f>N976/30</f>
        <v>0</v>
      </c>
    </row>
    <row r="977" spans="1:16" ht="13.5" customHeight="1">
      <c r="A977" s="474"/>
      <c r="B977" s="127">
        <v>10</v>
      </c>
      <c r="C977" s="147"/>
      <c r="D977" s="147"/>
      <c r="E977" s="147"/>
      <c r="F977" s="181"/>
      <c r="G977" s="147"/>
      <c r="H977" s="147"/>
      <c r="I977" s="147"/>
      <c r="J977" s="147"/>
      <c r="K977" s="147"/>
      <c r="L977" s="148"/>
      <c r="M977" s="154">
        <f t="shared" ref="M977" si="227">+C977+E977+G977+I977+K977</f>
        <v>0</v>
      </c>
      <c r="N977" s="155">
        <f t="shared" ref="N977" si="228">+D977+F977+H977+J977+L977</f>
        <v>0</v>
      </c>
      <c r="O977" s="168">
        <f t="shared" ref="O977" si="229">M977/31</f>
        <v>0</v>
      </c>
      <c r="P977" s="157">
        <f t="shared" ref="P977" si="230">N977/31</f>
        <v>0</v>
      </c>
    </row>
    <row r="978" spans="1:16" ht="13.5" customHeight="1">
      <c r="A978" s="474"/>
      <c r="B978" s="127">
        <v>11</v>
      </c>
      <c r="C978" s="367"/>
      <c r="D978" s="367"/>
      <c r="E978" s="367"/>
      <c r="F978" s="367"/>
      <c r="G978" s="367"/>
      <c r="H978" s="367"/>
      <c r="I978" s="367"/>
      <c r="J978" s="367"/>
      <c r="K978" s="367"/>
      <c r="L978" s="368"/>
      <c r="M978" s="154">
        <f t="shared" si="221"/>
        <v>0</v>
      </c>
      <c r="N978" s="155">
        <f t="shared" si="222"/>
        <v>0</v>
      </c>
      <c r="O978" s="168">
        <f t="shared" si="223"/>
        <v>0</v>
      </c>
      <c r="P978" s="157">
        <f t="shared" si="224"/>
        <v>0</v>
      </c>
    </row>
    <row r="979" spans="1:16" ht="13.5" customHeight="1" thickBot="1">
      <c r="A979" s="475"/>
      <c r="B979" s="127">
        <v>12</v>
      </c>
      <c r="C979" s="187"/>
      <c r="D979" s="187"/>
      <c r="E979" s="187"/>
      <c r="F979" s="188"/>
      <c r="G979" s="187"/>
      <c r="H979" s="187"/>
      <c r="I979" s="187"/>
      <c r="J979" s="187"/>
      <c r="K979" s="187"/>
      <c r="L979" s="189"/>
      <c r="M979" s="154">
        <f t="shared" si="221"/>
        <v>0</v>
      </c>
      <c r="N979" s="155">
        <f t="shared" si="222"/>
        <v>0</v>
      </c>
      <c r="O979" s="168">
        <f t="shared" si="223"/>
        <v>0</v>
      </c>
      <c r="P979" s="157">
        <f t="shared" si="224"/>
        <v>0</v>
      </c>
    </row>
    <row r="980" spans="1:16" ht="18.75" customHeight="1" thickBot="1">
      <c r="A980" s="180"/>
      <c r="B980" s="160" t="s">
        <v>5</v>
      </c>
      <c r="C980" s="161">
        <f>SUM(C932:C979)</f>
        <v>10</v>
      </c>
      <c r="D980" s="161">
        <f t="shared" ref="D980:K980" si="231">SUM(D932:D979)</f>
        <v>25</v>
      </c>
      <c r="E980" s="161">
        <f t="shared" si="231"/>
        <v>0</v>
      </c>
      <c r="F980" s="161">
        <f t="shared" si="231"/>
        <v>0</v>
      </c>
      <c r="G980" s="161">
        <f t="shared" si="231"/>
        <v>1</v>
      </c>
      <c r="H980" s="161">
        <f t="shared" si="231"/>
        <v>3</v>
      </c>
      <c r="I980" s="161">
        <f t="shared" si="231"/>
        <v>4</v>
      </c>
      <c r="J980" s="161">
        <f t="shared" si="231"/>
        <v>15</v>
      </c>
      <c r="K980" s="161">
        <f t="shared" si="231"/>
        <v>1</v>
      </c>
      <c r="L980" s="161">
        <f>SUM(L932:L979)</f>
        <v>1</v>
      </c>
      <c r="M980" s="162">
        <f>SUM(M932:M979)</f>
        <v>16</v>
      </c>
      <c r="N980" s="161">
        <f>SUM(N932:N979)</f>
        <v>44</v>
      </c>
      <c r="O980" s="161">
        <f>SUM(O932:O979)</f>
        <v>0.51827956989247315</v>
      </c>
      <c r="P980" s="161">
        <f>SUM(P932:P979)</f>
        <v>1.4193548387096775</v>
      </c>
    </row>
    <row r="982" spans="1:16" ht="11.25" customHeight="1">
      <c r="B982" s="467" t="s">
        <v>79</v>
      </c>
      <c r="C982" s="469" t="s">
        <v>29</v>
      </c>
      <c r="D982" s="470"/>
      <c r="E982" s="469" t="s">
        <v>30</v>
      </c>
      <c r="F982" s="470"/>
      <c r="G982" s="469" t="s">
        <v>31</v>
      </c>
      <c r="H982" s="470"/>
      <c r="I982" s="469" t="s">
        <v>58</v>
      </c>
      <c r="J982" s="470"/>
      <c r="K982" s="469" t="s">
        <v>57</v>
      </c>
      <c r="L982" s="471"/>
      <c r="M982" s="470" t="s">
        <v>5</v>
      </c>
      <c r="N982" s="472"/>
      <c r="O982" s="472" t="s">
        <v>33</v>
      </c>
      <c r="P982" s="472"/>
    </row>
    <row r="983" spans="1:16" ht="11.25" customHeight="1" thickBot="1">
      <c r="B983" s="468"/>
      <c r="C983" s="13" t="s">
        <v>34</v>
      </c>
      <c r="D983" s="13" t="s">
        <v>35</v>
      </c>
      <c r="E983" s="13" t="s">
        <v>34</v>
      </c>
      <c r="F983" s="13" t="s">
        <v>35</v>
      </c>
      <c r="G983" s="13" t="s">
        <v>34</v>
      </c>
      <c r="H983" s="13" t="s">
        <v>35</v>
      </c>
      <c r="I983" s="13" t="s">
        <v>59</v>
      </c>
      <c r="J983" s="13" t="s">
        <v>60</v>
      </c>
      <c r="K983" s="13" t="s">
        <v>34</v>
      </c>
      <c r="L983" s="14" t="s">
        <v>35</v>
      </c>
      <c r="M983" s="15" t="s">
        <v>34</v>
      </c>
      <c r="N983" s="13" t="s">
        <v>35</v>
      </c>
      <c r="O983" s="163" t="s">
        <v>34</v>
      </c>
      <c r="P983" s="163" t="s">
        <v>35</v>
      </c>
    </row>
    <row r="984" spans="1:16" ht="13.5" customHeight="1">
      <c r="A984" s="473">
        <v>2017</v>
      </c>
      <c r="B984" s="410">
        <v>1</v>
      </c>
      <c r="C984" s="422"/>
      <c r="D984" s="422"/>
      <c r="E984" s="422"/>
      <c r="F984" s="422"/>
      <c r="G984" s="422"/>
      <c r="H984" s="422"/>
      <c r="I984" s="422"/>
      <c r="J984" s="422"/>
      <c r="K984" s="422"/>
      <c r="L984" s="432"/>
      <c r="M984" s="424">
        <f t="shared" ref="M984:M1015" si="232">+C984+E984+G984+I984+K984</f>
        <v>0</v>
      </c>
      <c r="N984" s="425">
        <f t="shared" ref="N984:N1015" si="233">+D984+F984+H984+J984+L984</f>
        <v>0</v>
      </c>
      <c r="O984" s="430">
        <f t="shared" ref="O984:P988" si="234">M984/31</f>
        <v>0</v>
      </c>
      <c r="P984" s="427">
        <f t="shared" si="234"/>
        <v>0</v>
      </c>
    </row>
    <row r="985" spans="1:16" ht="13.5" customHeight="1">
      <c r="A985" s="474"/>
      <c r="B985" s="127">
        <v>2</v>
      </c>
      <c r="C985" s="147"/>
      <c r="D985" s="147"/>
      <c r="E985" s="147"/>
      <c r="F985" s="147"/>
      <c r="G985" s="147"/>
      <c r="H985" s="147"/>
      <c r="I985" s="147"/>
      <c r="J985" s="147"/>
      <c r="K985" s="147"/>
      <c r="L985" s="174"/>
      <c r="M985" s="149">
        <f t="shared" si="232"/>
        <v>0</v>
      </c>
      <c r="N985" s="150">
        <f t="shared" si="233"/>
        <v>0</v>
      </c>
      <c r="O985" s="167">
        <f t="shared" si="234"/>
        <v>0</v>
      </c>
      <c r="P985" s="152">
        <f t="shared" si="234"/>
        <v>0</v>
      </c>
    </row>
    <row r="986" spans="1:16" ht="13.5" customHeight="1">
      <c r="A986" s="474"/>
      <c r="B986" s="127">
        <v>3</v>
      </c>
      <c r="C986" s="147"/>
      <c r="D986" s="147"/>
      <c r="E986" s="147"/>
      <c r="F986" s="147"/>
      <c r="G986" s="147"/>
      <c r="H986" s="147"/>
      <c r="I986" s="147"/>
      <c r="J986" s="147"/>
      <c r="K986" s="147"/>
      <c r="L986" s="174"/>
      <c r="M986" s="149">
        <f t="shared" si="232"/>
        <v>0</v>
      </c>
      <c r="N986" s="150">
        <f t="shared" si="233"/>
        <v>0</v>
      </c>
      <c r="O986" s="167">
        <f t="shared" si="234"/>
        <v>0</v>
      </c>
      <c r="P986" s="152">
        <f t="shared" si="234"/>
        <v>0</v>
      </c>
    </row>
    <row r="987" spans="1:16" ht="13.5" customHeight="1">
      <c r="A987" s="474"/>
      <c r="B987" s="127">
        <v>4</v>
      </c>
      <c r="C987" s="158"/>
      <c r="D987" s="158"/>
      <c r="E987" s="158"/>
      <c r="F987" s="158"/>
      <c r="G987" s="158"/>
      <c r="H987" s="158"/>
      <c r="I987" s="158"/>
      <c r="J987" s="158"/>
      <c r="K987" s="158"/>
      <c r="L987" s="159"/>
      <c r="M987" s="154">
        <f t="shared" si="232"/>
        <v>0</v>
      </c>
      <c r="N987" s="155">
        <f t="shared" si="233"/>
        <v>0</v>
      </c>
      <c r="O987" s="168">
        <f t="shared" si="234"/>
        <v>0</v>
      </c>
      <c r="P987" s="157">
        <f t="shared" si="234"/>
        <v>0</v>
      </c>
    </row>
    <row r="988" spans="1:16" ht="13.5" customHeight="1">
      <c r="A988" s="474"/>
      <c r="B988" s="127">
        <v>5</v>
      </c>
      <c r="C988" s="158"/>
      <c r="D988" s="158"/>
      <c r="E988" s="158"/>
      <c r="F988" s="158"/>
      <c r="G988" s="158"/>
      <c r="H988" s="158"/>
      <c r="I988" s="158"/>
      <c r="J988" s="158"/>
      <c r="K988" s="158"/>
      <c r="L988" s="159"/>
      <c r="M988" s="154">
        <f t="shared" si="232"/>
        <v>0</v>
      </c>
      <c r="N988" s="155">
        <f t="shared" si="233"/>
        <v>0</v>
      </c>
      <c r="O988" s="168">
        <f t="shared" si="234"/>
        <v>0</v>
      </c>
      <c r="P988" s="157">
        <f t="shared" si="234"/>
        <v>0</v>
      </c>
    </row>
    <row r="989" spans="1:16" ht="13.5" customHeight="1">
      <c r="A989" s="474"/>
      <c r="B989" s="127">
        <v>6</v>
      </c>
      <c r="C989" s="158"/>
      <c r="D989" s="158"/>
      <c r="E989" s="158"/>
      <c r="F989" s="158"/>
      <c r="G989" s="158"/>
      <c r="H989" s="158"/>
      <c r="I989" s="158"/>
      <c r="J989" s="158"/>
      <c r="K989" s="158"/>
      <c r="L989" s="158"/>
      <c r="M989" s="154">
        <f t="shared" si="232"/>
        <v>0</v>
      </c>
      <c r="N989" s="155">
        <f t="shared" si="233"/>
        <v>0</v>
      </c>
      <c r="O989" s="168">
        <f>M989/30</f>
        <v>0</v>
      </c>
      <c r="P989" s="157">
        <f>N989/30</f>
        <v>0</v>
      </c>
    </row>
    <row r="990" spans="1:16" ht="13.5" customHeight="1">
      <c r="A990" s="474"/>
      <c r="B990" s="127">
        <v>7</v>
      </c>
      <c r="C990" s="158">
        <v>6</v>
      </c>
      <c r="D990" s="158">
        <v>4</v>
      </c>
      <c r="E990" s="158">
        <v>0</v>
      </c>
      <c r="F990" s="158">
        <v>0</v>
      </c>
      <c r="G990" s="158">
        <v>2</v>
      </c>
      <c r="H990" s="158">
        <v>0</v>
      </c>
      <c r="I990" s="158">
        <v>0</v>
      </c>
      <c r="J990" s="158">
        <v>0</v>
      </c>
      <c r="K990" s="158">
        <v>0</v>
      </c>
      <c r="L990" s="158">
        <v>0</v>
      </c>
      <c r="M990" s="154">
        <f t="shared" si="232"/>
        <v>8</v>
      </c>
      <c r="N990" s="155">
        <f t="shared" si="233"/>
        <v>4</v>
      </c>
      <c r="O990" s="168">
        <f t="shared" ref="O990:O1000" si="235">M990/31</f>
        <v>0.25806451612903225</v>
      </c>
      <c r="P990" s="157">
        <f t="shared" ref="P990:P1000" si="236">N990/31</f>
        <v>0.12903225806451613</v>
      </c>
    </row>
    <row r="991" spans="1:16" ht="13.5" customHeight="1">
      <c r="A991" s="474"/>
      <c r="B991" s="127">
        <v>8</v>
      </c>
      <c r="C991" s="158">
        <v>4</v>
      </c>
      <c r="D991" s="158">
        <v>12</v>
      </c>
      <c r="E991" s="158">
        <v>0</v>
      </c>
      <c r="F991" s="158">
        <v>0</v>
      </c>
      <c r="G991" s="158">
        <v>6</v>
      </c>
      <c r="H991" s="158">
        <v>13</v>
      </c>
      <c r="I991" s="158">
        <v>0</v>
      </c>
      <c r="J991" s="158">
        <v>0</v>
      </c>
      <c r="K991" s="158">
        <v>0</v>
      </c>
      <c r="L991" s="159">
        <v>0</v>
      </c>
      <c r="M991" s="177">
        <f t="shared" si="232"/>
        <v>10</v>
      </c>
      <c r="N991" s="158">
        <f t="shared" si="233"/>
        <v>25</v>
      </c>
      <c r="O991" s="168">
        <f t="shared" si="235"/>
        <v>0.32258064516129031</v>
      </c>
      <c r="P991" s="157">
        <f t="shared" si="236"/>
        <v>0.80645161290322576</v>
      </c>
    </row>
    <row r="992" spans="1:16" ht="13.5" customHeight="1">
      <c r="A992" s="474"/>
      <c r="B992" s="127">
        <v>9</v>
      </c>
      <c r="C992" s="147">
        <v>7</v>
      </c>
      <c r="D992" s="147">
        <v>15</v>
      </c>
      <c r="E992" s="147">
        <v>0</v>
      </c>
      <c r="F992" s="147">
        <v>0</v>
      </c>
      <c r="G992" s="147">
        <v>2</v>
      </c>
      <c r="H992" s="147">
        <v>8</v>
      </c>
      <c r="I992" s="147">
        <v>1</v>
      </c>
      <c r="J992" s="147">
        <v>0</v>
      </c>
      <c r="K992" s="147">
        <v>0</v>
      </c>
      <c r="L992" s="148">
        <v>0</v>
      </c>
      <c r="M992" s="177">
        <f t="shared" si="232"/>
        <v>10</v>
      </c>
      <c r="N992" s="158">
        <f t="shared" si="233"/>
        <v>23</v>
      </c>
      <c r="O992" s="168">
        <f t="shared" si="235"/>
        <v>0.32258064516129031</v>
      </c>
      <c r="P992" s="157">
        <f t="shared" si="236"/>
        <v>0.74193548387096775</v>
      </c>
    </row>
    <row r="993" spans="1:16" ht="13.5" customHeight="1">
      <c r="A993" s="474"/>
      <c r="B993" s="127">
        <v>10</v>
      </c>
      <c r="C993" s="147">
        <v>17</v>
      </c>
      <c r="D993" s="147">
        <v>21</v>
      </c>
      <c r="E993" s="147">
        <v>2</v>
      </c>
      <c r="F993" s="181">
        <v>0</v>
      </c>
      <c r="G993" s="147">
        <v>4</v>
      </c>
      <c r="H993" s="147">
        <v>5</v>
      </c>
      <c r="I993" s="147">
        <v>0</v>
      </c>
      <c r="J993" s="147">
        <v>2</v>
      </c>
      <c r="K993" s="147">
        <v>0</v>
      </c>
      <c r="L993" s="148">
        <v>0</v>
      </c>
      <c r="M993" s="154">
        <f t="shared" si="232"/>
        <v>23</v>
      </c>
      <c r="N993" s="155">
        <f t="shared" si="233"/>
        <v>28</v>
      </c>
      <c r="O993" s="168">
        <f t="shared" si="235"/>
        <v>0.74193548387096775</v>
      </c>
      <c r="P993" s="157">
        <f t="shared" si="236"/>
        <v>0.90322580645161288</v>
      </c>
    </row>
    <row r="994" spans="1:16" ht="13.5" customHeight="1">
      <c r="A994" s="474"/>
      <c r="B994" s="127">
        <v>11</v>
      </c>
      <c r="C994" s="367">
        <v>11</v>
      </c>
      <c r="D994" s="367">
        <v>22</v>
      </c>
      <c r="E994" s="367">
        <v>0</v>
      </c>
      <c r="F994" s="367">
        <v>4</v>
      </c>
      <c r="G994" s="367">
        <v>6</v>
      </c>
      <c r="H994" s="367">
        <v>11</v>
      </c>
      <c r="I994" s="367">
        <v>0</v>
      </c>
      <c r="J994" s="367">
        <v>0</v>
      </c>
      <c r="K994" s="367">
        <v>0</v>
      </c>
      <c r="L994" s="368">
        <v>0</v>
      </c>
      <c r="M994" s="154">
        <f t="shared" si="232"/>
        <v>17</v>
      </c>
      <c r="N994" s="155">
        <f t="shared" si="233"/>
        <v>37</v>
      </c>
      <c r="O994" s="168">
        <f t="shared" si="235"/>
        <v>0.54838709677419351</v>
      </c>
      <c r="P994" s="157">
        <f t="shared" si="236"/>
        <v>1.1935483870967742</v>
      </c>
    </row>
    <row r="995" spans="1:16" ht="13.5" customHeight="1" thickBot="1">
      <c r="A995" s="475"/>
      <c r="B995" s="127">
        <v>12</v>
      </c>
      <c r="C995" s="187">
        <v>1</v>
      </c>
      <c r="D995" s="187">
        <v>2</v>
      </c>
      <c r="E995" s="187">
        <v>0</v>
      </c>
      <c r="F995" s="188">
        <v>0</v>
      </c>
      <c r="G995" s="187">
        <v>0</v>
      </c>
      <c r="H995" s="187">
        <v>0</v>
      </c>
      <c r="I995" s="187">
        <v>0</v>
      </c>
      <c r="J995" s="187">
        <v>0</v>
      </c>
      <c r="K995" s="187">
        <v>0</v>
      </c>
      <c r="L995" s="189">
        <v>0</v>
      </c>
      <c r="M995" s="154">
        <f t="shared" si="232"/>
        <v>1</v>
      </c>
      <c r="N995" s="155">
        <f t="shared" si="233"/>
        <v>2</v>
      </c>
      <c r="O995" s="168">
        <f t="shared" si="235"/>
        <v>3.2258064516129031E-2</v>
      </c>
      <c r="P995" s="157">
        <f t="shared" si="236"/>
        <v>6.4516129032258063E-2</v>
      </c>
    </row>
    <row r="996" spans="1:16" ht="13.5" customHeight="1">
      <c r="A996" s="473">
        <v>2018</v>
      </c>
      <c r="B996" s="410">
        <v>1</v>
      </c>
      <c r="C996" s="158">
        <v>17</v>
      </c>
      <c r="D996" s="158">
        <v>31</v>
      </c>
      <c r="E996" s="158">
        <v>2</v>
      </c>
      <c r="F996" s="169">
        <v>2</v>
      </c>
      <c r="G996" s="158">
        <v>2</v>
      </c>
      <c r="H996" s="158">
        <v>0</v>
      </c>
      <c r="I996" s="158">
        <v>4</v>
      </c>
      <c r="J996" s="158">
        <v>6</v>
      </c>
      <c r="K996" s="158">
        <v>0</v>
      </c>
      <c r="L996" s="159">
        <v>0</v>
      </c>
      <c r="M996" s="424">
        <f t="shared" si="232"/>
        <v>25</v>
      </c>
      <c r="N996" s="425">
        <f t="shared" si="233"/>
        <v>39</v>
      </c>
      <c r="O996" s="430">
        <f t="shared" si="235"/>
        <v>0.80645161290322576</v>
      </c>
      <c r="P996" s="427">
        <f t="shared" si="236"/>
        <v>1.2580645161290323</v>
      </c>
    </row>
    <row r="997" spans="1:16" ht="13.5" customHeight="1">
      <c r="A997" s="474"/>
      <c r="B997" s="127">
        <v>2</v>
      </c>
      <c r="C997" s="158">
        <v>7</v>
      </c>
      <c r="D997" s="158">
        <v>23</v>
      </c>
      <c r="E997" s="158">
        <v>2</v>
      </c>
      <c r="F997" s="169">
        <v>2</v>
      </c>
      <c r="G997" s="158">
        <v>3</v>
      </c>
      <c r="H997" s="158">
        <v>8</v>
      </c>
      <c r="I997" s="158">
        <v>0</v>
      </c>
      <c r="J997" s="158">
        <v>10</v>
      </c>
      <c r="K997" s="158">
        <v>0</v>
      </c>
      <c r="L997" s="159">
        <v>0</v>
      </c>
      <c r="M997" s="154">
        <f t="shared" si="232"/>
        <v>12</v>
      </c>
      <c r="N997" s="155">
        <f t="shared" si="233"/>
        <v>43</v>
      </c>
      <c r="O997" s="168">
        <f t="shared" si="235"/>
        <v>0.38709677419354838</v>
      </c>
      <c r="P997" s="157">
        <f t="shared" si="236"/>
        <v>1.3870967741935485</v>
      </c>
    </row>
    <row r="998" spans="1:16" ht="13.5" customHeight="1">
      <c r="A998" s="474"/>
      <c r="B998" s="127">
        <v>3</v>
      </c>
      <c r="C998" s="158">
        <v>18</v>
      </c>
      <c r="D998" s="158">
        <v>28</v>
      </c>
      <c r="E998" s="158">
        <v>0</v>
      </c>
      <c r="F998" s="169">
        <v>0</v>
      </c>
      <c r="G998" s="158">
        <v>5</v>
      </c>
      <c r="H998" s="158">
        <v>3</v>
      </c>
      <c r="I998" s="158">
        <v>3</v>
      </c>
      <c r="J998" s="158">
        <v>4</v>
      </c>
      <c r="K998" s="158">
        <v>0</v>
      </c>
      <c r="L998" s="159">
        <v>0</v>
      </c>
      <c r="M998" s="154">
        <f t="shared" si="232"/>
        <v>26</v>
      </c>
      <c r="N998" s="155">
        <f t="shared" si="233"/>
        <v>35</v>
      </c>
      <c r="O998" s="168">
        <f t="shared" si="235"/>
        <v>0.83870967741935487</v>
      </c>
      <c r="P998" s="157">
        <f t="shared" si="236"/>
        <v>1.1290322580645162</v>
      </c>
    </row>
    <row r="999" spans="1:16" ht="13.5" customHeight="1">
      <c r="A999" s="474"/>
      <c r="B999" s="127">
        <v>4</v>
      </c>
      <c r="C999" s="158">
        <v>12</v>
      </c>
      <c r="D999" s="158">
        <v>14</v>
      </c>
      <c r="E999" s="158">
        <v>0</v>
      </c>
      <c r="F999" s="169">
        <v>0</v>
      </c>
      <c r="G999" s="158">
        <v>2</v>
      </c>
      <c r="H999" s="158">
        <v>7</v>
      </c>
      <c r="I999" s="158">
        <v>1</v>
      </c>
      <c r="J999" s="158">
        <v>2</v>
      </c>
      <c r="K999" s="158">
        <v>0</v>
      </c>
      <c r="L999" s="159">
        <v>0</v>
      </c>
      <c r="M999" s="154">
        <f t="shared" si="232"/>
        <v>15</v>
      </c>
      <c r="N999" s="155">
        <f t="shared" si="233"/>
        <v>23</v>
      </c>
      <c r="O999" s="168">
        <f t="shared" si="235"/>
        <v>0.4838709677419355</v>
      </c>
      <c r="P999" s="157">
        <f t="shared" si="236"/>
        <v>0.74193548387096775</v>
      </c>
    </row>
    <row r="1000" spans="1:16" ht="13.5" customHeight="1">
      <c r="A1000" s="474"/>
      <c r="B1000" s="127">
        <v>5</v>
      </c>
      <c r="C1000" s="158">
        <v>6</v>
      </c>
      <c r="D1000" s="158">
        <v>22</v>
      </c>
      <c r="E1000" s="158">
        <v>0</v>
      </c>
      <c r="F1000" s="169">
        <v>0</v>
      </c>
      <c r="G1000" s="158">
        <v>0</v>
      </c>
      <c r="H1000" s="158">
        <v>4</v>
      </c>
      <c r="I1000" s="158">
        <v>0</v>
      </c>
      <c r="J1000" s="158">
        <v>2</v>
      </c>
      <c r="K1000" s="158">
        <v>0</v>
      </c>
      <c r="L1000" s="159">
        <v>0</v>
      </c>
      <c r="M1000" s="154">
        <f t="shared" si="232"/>
        <v>6</v>
      </c>
      <c r="N1000" s="155">
        <f t="shared" si="233"/>
        <v>28</v>
      </c>
      <c r="O1000" s="168">
        <f t="shared" si="235"/>
        <v>0.19354838709677419</v>
      </c>
      <c r="P1000" s="157">
        <f t="shared" si="236"/>
        <v>0.90322580645161288</v>
      </c>
    </row>
    <row r="1001" spans="1:16" ht="13.5" customHeight="1">
      <c r="A1001" s="474"/>
      <c r="B1001" s="127">
        <v>6</v>
      </c>
      <c r="C1001" s="158">
        <v>12</v>
      </c>
      <c r="D1001" s="158">
        <v>17</v>
      </c>
      <c r="E1001" s="158">
        <v>0</v>
      </c>
      <c r="F1001" s="169">
        <v>0</v>
      </c>
      <c r="G1001" s="158">
        <v>6</v>
      </c>
      <c r="H1001" s="158">
        <v>4</v>
      </c>
      <c r="I1001" s="158">
        <v>1</v>
      </c>
      <c r="J1001" s="158">
        <v>2</v>
      </c>
      <c r="K1001" s="158">
        <v>0</v>
      </c>
      <c r="L1001" s="159">
        <v>0</v>
      </c>
      <c r="M1001" s="154">
        <f t="shared" si="232"/>
        <v>19</v>
      </c>
      <c r="N1001" s="155">
        <f t="shared" si="233"/>
        <v>23</v>
      </c>
      <c r="O1001" s="168">
        <f>M1001/30</f>
        <v>0.6333333333333333</v>
      </c>
      <c r="P1001" s="157">
        <f>N1001/30</f>
        <v>0.76666666666666672</v>
      </c>
    </row>
    <row r="1002" spans="1:16" ht="13.5" customHeight="1">
      <c r="A1002" s="474"/>
      <c r="B1002" s="127">
        <v>7</v>
      </c>
      <c r="C1002" s="158">
        <v>12</v>
      </c>
      <c r="D1002" s="158">
        <v>21</v>
      </c>
      <c r="E1002" s="158">
        <v>0</v>
      </c>
      <c r="F1002" s="158">
        <v>0</v>
      </c>
      <c r="G1002" s="158">
        <v>3</v>
      </c>
      <c r="H1002" s="158">
        <v>12</v>
      </c>
      <c r="I1002" s="158">
        <v>0</v>
      </c>
      <c r="J1002" s="158">
        <v>0</v>
      </c>
      <c r="K1002" s="158">
        <v>1</v>
      </c>
      <c r="L1002" s="158">
        <v>3</v>
      </c>
      <c r="M1002" s="154">
        <f t="shared" si="232"/>
        <v>16</v>
      </c>
      <c r="N1002" s="155">
        <f t="shared" si="233"/>
        <v>36</v>
      </c>
      <c r="O1002" s="168">
        <f t="shared" ref="O1002:P1024" si="237">M1002/31</f>
        <v>0.5161290322580645</v>
      </c>
      <c r="P1002" s="157">
        <f t="shared" si="237"/>
        <v>1.1612903225806452</v>
      </c>
    </row>
    <row r="1003" spans="1:16" ht="13.5" customHeight="1">
      <c r="A1003" s="474"/>
      <c r="B1003" s="127">
        <v>8</v>
      </c>
      <c r="C1003" s="158">
        <v>16</v>
      </c>
      <c r="D1003" s="158">
        <v>24</v>
      </c>
      <c r="E1003" s="158">
        <v>1</v>
      </c>
      <c r="F1003" s="158">
        <v>1</v>
      </c>
      <c r="G1003" s="158">
        <v>0</v>
      </c>
      <c r="H1003" s="158">
        <v>2</v>
      </c>
      <c r="I1003" s="158">
        <v>0</v>
      </c>
      <c r="J1003" s="158">
        <v>0</v>
      </c>
      <c r="K1003" s="158">
        <v>0</v>
      </c>
      <c r="L1003" s="159">
        <v>0</v>
      </c>
      <c r="M1003" s="177">
        <f t="shared" si="232"/>
        <v>17</v>
      </c>
      <c r="N1003" s="158">
        <f t="shared" si="233"/>
        <v>27</v>
      </c>
      <c r="O1003" s="168">
        <f t="shared" si="237"/>
        <v>0.54838709677419351</v>
      </c>
      <c r="P1003" s="157">
        <f t="shared" si="237"/>
        <v>0.87096774193548387</v>
      </c>
    </row>
    <row r="1004" spans="1:16" ht="13.5" customHeight="1">
      <c r="A1004" s="474"/>
      <c r="B1004" s="127">
        <v>9</v>
      </c>
      <c r="C1004" s="147">
        <v>12</v>
      </c>
      <c r="D1004" s="147">
        <v>32</v>
      </c>
      <c r="E1004" s="147">
        <v>2</v>
      </c>
      <c r="F1004" s="147">
        <v>4</v>
      </c>
      <c r="G1004" s="147">
        <v>8</v>
      </c>
      <c r="H1004" s="147">
        <v>24</v>
      </c>
      <c r="I1004" s="147">
        <v>5</v>
      </c>
      <c r="J1004" s="147">
        <v>10</v>
      </c>
      <c r="K1004" s="147">
        <v>0</v>
      </c>
      <c r="L1004" s="148">
        <v>0</v>
      </c>
      <c r="M1004" s="177">
        <f t="shared" si="232"/>
        <v>27</v>
      </c>
      <c r="N1004" s="158">
        <f t="shared" si="233"/>
        <v>70</v>
      </c>
      <c r="O1004" s="168">
        <f t="shared" si="237"/>
        <v>0.87096774193548387</v>
      </c>
      <c r="P1004" s="157">
        <f t="shared" si="237"/>
        <v>2.2580645161290325</v>
      </c>
    </row>
    <row r="1005" spans="1:16" ht="13.5" customHeight="1">
      <c r="A1005" s="474"/>
      <c r="B1005" s="127">
        <v>10</v>
      </c>
      <c r="C1005" s="147">
        <v>12</v>
      </c>
      <c r="D1005" s="147">
        <v>21</v>
      </c>
      <c r="E1005" s="147">
        <v>0</v>
      </c>
      <c r="F1005" s="181">
        <v>0</v>
      </c>
      <c r="G1005" s="147">
        <v>9</v>
      </c>
      <c r="H1005" s="147">
        <v>15</v>
      </c>
      <c r="I1005" s="147">
        <v>3</v>
      </c>
      <c r="J1005" s="147">
        <v>2</v>
      </c>
      <c r="K1005" s="147">
        <v>2</v>
      </c>
      <c r="L1005" s="148">
        <v>0</v>
      </c>
      <c r="M1005" s="154">
        <f t="shared" si="232"/>
        <v>26</v>
      </c>
      <c r="N1005" s="155">
        <f t="shared" si="233"/>
        <v>38</v>
      </c>
      <c r="O1005" s="168">
        <f t="shared" si="237"/>
        <v>0.83870967741935487</v>
      </c>
      <c r="P1005" s="157">
        <f t="shared" si="237"/>
        <v>1.2258064516129032</v>
      </c>
    </row>
    <row r="1006" spans="1:16" ht="13.5" customHeight="1">
      <c r="A1006" s="474"/>
      <c r="B1006" s="127">
        <v>11</v>
      </c>
      <c r="C1006" s="367">
        <v>35</v>
      </c>
      <c r="D1006" s="367">
        <v>34</v>
      </c>
      <c r="E1006" s="367">
        <v>0</v>
      </c>
      <c r="F1006" s="367">
        <v>0</v>
      </c>
      <c r="G1006" s="367">
        <v>5</v>
      </c>
      <c r="H1006" s="367">
        <v>15</v>
      </c>
      <c r="I1006" s="367">
        <v>4</v>
      </c>
      <c r="J1006" s="367">
        <v>11</v>
      </c>
      <c r="K1006" s="367">
        <v>2</v>
      </c>
      <c r="L1006" s="368">
        <v>10</v>
      </c>
      <c r="M1006" s="154">
        <f t="shared" si="232"/>
        <v>46</v>
      </c>
      <c r="N1006" s="155">
        <f t="shared" si="233"/>
        <v>70</v>
      </c>
      <c r="O1006" s="168">
        <f t="shared" si="237"/>
        <v>1.4838709677419355</v>
      </c>
      <c r="P1006" s="157">
        <f t="shared" si="237"/>
        <v>2.2580645161290325</v>
      </c>
    </row>
    <row r="1007" spans="1:16" ht="13.5" customHeight="1" thickBot="1">
      <c r="A1007" s="475"/>
      <c r="B1007" s="127">
        <v>12</v>
      </c>
      <c r="C1007" s="187">
        <v>26</v>
      </c>
      <c r="D1007" s="187">
        <v>97</v>
      </c>
      <c r="E1007" s="187">
        <v>3</v>
      </c>
      <c r="F1007" s="188">
        <v>2</v>
      </c>
      <c r="G1007" s="187">
        <v>11</v>
      </c>
      <c r="H1007" s="187">
        <v>13</v>
      </c>
      <c r="I1007" s="187">
        <v>7</v>
      </c>
      <c r="J1007" s="187">
        <v>8</v>
      </c>
      <c r="K1007" s="187">
        <v>2</v>
      </c>
      <c r="L1007" s="189">
        <v>10</v>
      </c>
      <c r="M1007" s="154">
        <f t="shared" si="232"/>
        <v>49</v>
      </c>
      <c r="N1007" s="155">
        <f t="shared" si="233"/>
        <v>130</v>
      </c>
      <c r="O1007" s="168">
        <f t="shared" si="237"/>
        <v>1.5806451612903225</v>
      </c>
      <c r="P1007" s="157">
        <f t="shared" si="237"/>
        <v>4.193548387096774</v>
      </c>
    </row>
    <row r="1008" spans="1:16" ht="13.5" customHeight="1">
      <c r="A1008" s="473">
        <v>2019</v>
      </c>
      <c r="B1008" s="410">
        <v>1</v>
      </c>
      <c r="C1008" s="158">
        <v>37</v>
      </c>
      <c r="D1008" s="158">
        <v>82</v>
      </c>
      <c r="E1008" s="158">
        <v>1</v>
      </c>
      <c r="F1008" s="169">
        <v>7</v>
      </c>
      <c r="G1008" s="158">
        <v>4</v>
      </c>
      <c r="H1008" s="158">
        <v>30</v>
      </c>
      <c r="I1008" s="158">
        <v>2</v>
      </c>
      <c r="J1008" s="158">
        <v>8</v>
      </c>
      <c r="K1008" s="158">
        <v>2</v>
      </c>
      <c r="L1008" s="159">
        <v>4</v>
      </c>
      <c r="M1008" s="424">
        <f t="shared" si="232"/>
        <v>46</v>
      </c>
      <c r="N1008" s="425">
        <f t="shared" si="233"/>
        <v>131</v>
      </c>
      <c r="O1008" s="430">
        <f t="shared" ref="O1008:O1012" si="238">M1008/31</f>
        <v>1.4838709677419355</v>
      </c>
      <c r="P1008" s="427">
        <f t="shared" ref="P1008:P1012" si="239">N1008/31</f>
        <v>4.225806451612903</v>
      </c>
    </row>
    <row r="1009" spans="1:16" ht="13.5" customHeight="1">
      <c r="A1009" s="474"/>
      <c r="B1009" s="127">
        <v>2</v>
      </c>
      <c r="C1009" s="158">
        <v>22</v>
      </c>
      <c r="D1009" s="158">
        <v>58</v>
      </c>
      <c r="E1009" s="158">
        <v>0</v>
      </c>
      <c r="F1009" s="169">
        <v>0</v>
      </c>
      <c r="G1009" s="158">
        <v>7</v>
      </c>
      <c r="H1009" s="158">
        <v>23</v>
      </c>
      <c r="I1009" s="158">
        <v>4</v>
      </c>
      <c r="J1009" s="158">
        <v>4</v>
      </c>
      <c r="K1009" s="158">
        <v>1</v>
      </c>
      <c r="L1009" s="159">
        <v>3</v>
      </c>
      <c r="M1009" s="154">
        <f t="shared" si="232"/>
        <v>34</v>
      </c>
      <c r="N1009" s="155">
        <f t="shared" si="233"/>
        <v>88</v>
      </c>
      <c r="O1009" s="168">
        <f t="shared" si="238"/>
        <v>1.096774193548387</v>
      </c>
      <c r="P1009" s="157">
        <f t="shared" si="239"/>
        <v>2.838709677419355</v>
      </c>
    </row>
    <row r="1010" spans="1:16" ht="13.5" customHeight="1">
      <c r="A1010" s="474"/>
      <c r="B1010" s="127">
        <v>3</v>
      </c>
      <c r="C1010" s="158">
        <v>20</v>
      </c>
      <c r="D1010" s="158">
        <v>26</v>
      </c>
      <c r="E1010" s="158">
        <v>3</v>
      </c>
      <c r="F1010" s="169">
        <v>4</v>
      </c>
      <c r="G1010" s="158">
        <v>6</v>
      </c>
      <c r="H1010" s="158">
        <v>21</v>
      </c>
      <c r="I1010" s="158">
        <v>4</v>
      </c>
      <c r="J1010" s="158">
        <v>16</v>
      </c>
      <c r="K1010" s="158">
        <v>2</v>
      </c>
      <c r="L1010" s="159">
        <v>0</v>
      </c>
      <c r="M1010" s="154">
        <f t="shared" si="232"/>
        <v>35</v>
      </c>
      <c r="N1010" s="155">
        <f t="shared" si="233"/>
        <v>67</v>
      </c>
      <c r="O1010" s="168">
        <f t="shared" si="238"/>
        <v>1.1290322580645162</v>
      </c>
      <c r="P1010" s="157">
        <f t="shared" si="239"/>
        <v>2.161290322580645</v>
      </c>
    </row>
    <row r="1011" spans="1:16" ht="13.5" customHeight="1">
      <c r="A1011" s="474"/>
      <c r="B1011" s="127">
        <v>4</v>
      </c>
      <c r="C1011" s="158">
        <v>11</v>
      </c>
      <c r="D1011" s="158">
        <v>21</v>
      </c>
      <c r="E1011" s="158">
        <v>0</v>
      </c>
      <c r="F1011" s="169">
        <v>4</v>
      </c>
      <c r="G1011" s="158">
        <v>0</v>
      </c>
      <c r="H1011" s="158">
        <v>0</v>
      </c>
      <c r="I1011" s="158">
        <v>1</v>
      </c>
      <c r="J1011" s="158">
        <v>1</v>
      </c>
      <c r="K1011" s="158">
        <v>1</v>
      </c>
      <c r="L1011" s="159">
        <v>5</v>
      </c>
      <c r="M1011" s="154">
        <f t="shared" si="232"/>
        <v>13</v>
      </c>
      <c r="N1011" s="155">
        <f t="shared" si="233"/>
        <v>31</v>
      </c>
      <c r="O1011" s="168">
        <f t="shared" si="238"/>
        <v>0.41935483870967744</v>
      </c>
      <c r="P1011" s="157">
        <f t="shared" si="239"/>
        <v>1</v>
      </c>
    </row>
    <row r="1012" spans="1:16" ht="13.5" customHeight="1">
      <c r="A1012" s="474"/>
      <c r="B1012" s="127">
        <v>5</v>
      </c>
      <c r="C1012" s="158">
        <v>15</v>
      </c>
      <c r="D1012" s="158">
        <v>38</v>
      </c>
      <c r="E1012" s="158">
        <v>2</v>
      </c>
      <c r="F1012" s="169">
        <v>4</v>
      </c>
      <c r="G1012" s="158">
        <v>3</v>
      </c>
      <c r="H1012" s="158">
        <v>5</v>
      </c>
      <c r="I1012" s="158">
        <v>3</v>
      </c>
      <c r="J1012" s="158">
        <v>4</v>
      </c>
      <c r="K1012" s="158">
        <v>0</v>
      </c>
      <c r="L1012" s="159">
        <v>0</v>
      </c>
      <c r="M1012" s="154">
        <f t="shared" si="232"/>
        <v>23</v>
      </c>
      <c r="N1012" s="155">
        <f t="shared" si="233"/>
        <v>51</v>
      </c>
      <c r="O1012" s="168">
        <f t="shared" si="238"/>
        <v>0.74193548387096775</v>
      </c>
      <c r="P1012" s="157">
        <f t="shared" si="239"/>
        <v>1.6451612903225807</v>
      </c>
    </row>
    <row r="1013" spans="1:16" ht="13.5" customHeight="1">
      <c r="A1013" s="474"/>
      <c r="B1013" s="127">
        <v>6</v>
      </c>
      <c r="C1013" s="158">
        <v>8</v>
      </c>
      <c r="D1013" s="158">
        <v>11</v>
      </c>
      <c r="E1013" s="158">
        <v>0</v>
      </c>
      <c r="F1013" s="169">
        <v>0</v>
      </c>
      <c r="G1013" s="158">
        <v>3</v>
      </c>
      <c r="H1013" s="158">
        <v>4</v>
      </c>
      <c r="I1013" s="158">
        <v>3</v>
      </c>
      <c r="J1013" s="158">
        <v>8</v>
      </c>
      <c r="K1013" s="158">
        <v>0</v>
      </c>
      <c r="L1013" s="159">
        <v>0</v>
      </c>
      <c r="M1013" s="154">
        <f t="shared" si="232"/>
        <v>14</v>
      </c>
      <c r="N1013" s="155">
        <f t="shared" si="233"/>
        <v>23</v>
      </c>
      <c r="O1013" s="168">
        <f>M1013/30</f>
        <v>0.46666666666666667</v>
      </c>
      <c r="P1013" s="157">
        <f>N1013/30</f>
        <v>0.76666666666666672</v>
      </c>
    </row>
    <row r="1014" spans="1:16" ht="13.5" customHeight="1">
      <c r="A1014" s="474"/>
      <c r="B1014" s="127">
        <v>7</v>
      </c>
      <c r="C1014" s="158">
        <v>14</v>
      </c>
      <c r="D1014" s="158">
        <v>13</v>
      </c>
      <c r="E1014" s="158">
        <v>1</v>
      </c>
      <c r="F1014" s="158">
        <v>4</v>
      </c>
      <c r="G1014" s="158">
        <v>2</v>
      </c>
      <c r="H1014" s="158">
        <v>12</v>
      </c>
      <c r="I1014" s="158">
        <v>1</v>
      </c>
      <c r="J1014" s="158">
        <v>1</v>
      </c>
      <c r="K1014" s="158">
        <v>4</v>
      </c>
      <c r="L1014" s="158">
        <v>0</v>
      </c>
      <c r="M1014" s="154">
        <f t="shared" si="232"/>
        <v>22</v>
      </c>
      <c r="N1014" s="155">
        <f t="shared" si="233"/>
        <v>30</v>
      </c>
      <c r="O1014" s="168">
        <f t="shared" ref="O1014:O1015" si="240">M1014/31</f>
        <v>0.70967741935483875</v>
      </c>
      <c r="P1014" s="157">
        <f t="shared" ref="P1014:P1015" si="241">N1014/31</f>
        <v>0.967741935483871</v>
      </c>
    </row>
    <row r="1015" spans="1:16" ht="13.5" customHeight="1">
      <c r="A1015" s="474"/>
      <c r="B1015" s="127">
        <v>8</v>
      </c>
      <c r="C1015" s="158">
        <v>9</v>
      </c>
      <c r="D1015" s="158">
        <v>23</v>
      </c>
      <c r="E1015" s="158">
        <v>0</v>
      </c>
      <c r="F1015" s="158">
        <v>0</v>
      </c>
      <c r="G1015" s="158">
        <v>0</v>
      </c>
      <c r="H1015" s="158">
        <v>0</v>
      </c>
      <c r="I1015" s="158">
        <v>7</v>
      </c>
      <c r="J1015" s="158">
        <v>19</v>
      </c>
      <c r="K1015" s="158">
        <v>0</v>
      </c>
      <c r="L1015" s="159">
        <v>6</v>
      </c>
      <c r="M1015" s="177">
        <f t="shared" si="232"/>
        <v>16</v>
      </c>
      <c r="N1015" s="158">
        <f t="shared" si="233"/>
        <v>48</v>
      </c>
      <c r="O1015" s="168">
        <f t="shared" si="240"/>
        <v>0.5161290322580645</v>
      </c>
      <c r="P1015" s="157">
        <f t="shared" si="241"/>
        <v>1.5483870967741935</v>
      </c>
    </row>
    <row r="1016" spans="1:16" ht="13.5" customHeight="1">
      <c r="A1016" s="474"/>
      <c r="B1016" s="127">
        <v>9</v>
      </c>
      <c r="C1016" s="147">
        <v>13</v>
      </c>
      <c r="D1016" s="147">
        <v>25</v>
      </c>
      <c r="E1016" s="147">
        <v>2</v>
      </c>
      <c r="F1016" s="147">
        <v>2</v>
      </c>
      <c r="G1016" s="147">
        <v>5</v>
      </c>
      <c r="H1016" s="147">
        <v>8</v>
      </c>
      <c r="I1016" s="147">
        <v>2</v>
      </c>
      <c r="J1016" s="147">
        <v>1</v>
      </c>
      <c r="K1016" s="147">
        <v>0</v>
      </c>
      <c r="L1016" s="148">
        <v>0</v>
      </c>
      <c r="M1016" s="177">
        <v>22</v>
      </c>
      <c r="N1016" s="158">
        <v>36</v>
      </c>
      <c r="O1016" s="168">
        <v>0.70967741935483875</v>
      </c>
      <c r="P1016" s="157">
        <v>1.1612903225806452</v>
      </c>
    </row>
    <row r="1017" spans="1:16" ht="13.5" customHeight="1">
      <c r="A1017" s="474"/>
      <c r="B1017" s="127">
        <v>10</v>
      </c>
      <c r="C1017" s="147">
        <v>21</v>
      </c>
      <c r="D1017" s="147">
        <v>15</v>
      </c>
      <c r="E1017" s="147">
        <v>0</v>
      </c>
      <c r="F1017" s="181">
        <v>0</v>
      </c>
      <c r="G1017" s="147">
        <v>6</v>
      </c>
      <c r="H1017" s="147">
        <v>8</v>
      </c>
      <c r="I1017" s="147">
        <v>3</v>
      </c>
      <c r="J1017" s="147">
        <v>10</v>
      </c>
      <c r="K1017" s="147">
        <v>0</v>
      </c>
      <c r="L1017" s="148">
        <v>0</v>
      </c>
      <c r="M1017" s="154">
        <f t="shared" ref="M1017:M1019" si="242">+C1017+E1017+G1017+I1017+K1017</f>
        <v>30</v>
      </c>
      <c r="N1017" s="155">
        <f t="shared" ref="N1017:N1019" si="243">+D1017+F1017+H1017+J1017+L1017</f>
        <v>33</v>
      </c>
      <c r="O1017" s="168">
        <f t="shared" ref="O1017:O1019" si="244">M1017/31</f>
        <v>0.967741935483871</v>
      </c>
      <c r="P1017" s="157">
        <f t="shared" ref="P1017:P1019" si="245">N1017/31</f>
        <v>1.064516129032258</v>
      </c>
    </row>
    <row r="1018" spans="1:16" ht="13.5" customHeight="1">
      <c r="A1018" s="474"/>
      <c r="B1018" s="127">
        <v>11</v>
      </c>
      <c r="C1018" s="367">
        <v>30</v>
      </c>
      <c r="D1018" s="367">
        <v>51</v>
      </c>
      <c r="E1018" s="367">
        <v>0</v>
      </c>
      <c r="F1018" s="367">
        <v>0</v>
      </c>
      <c r="G1018" s="367">
        <v>10</v>
      </c>
      <c r="H1018" s="367">
        <v>14</v>
      </c>
      <c r="I1018" s="367">
        <v>5</v>
      </c>
      <c r="J1018" s="367">
        <v>6</v>
      </c>
      <c r="K1018" s="367">
        <v>0</v>
      </c>
      <c r="L1018" s="368">
        <v>0</v>
      </c>
      <c r="M1018" s="154">
        <f t="shared" si="242"/>
        <v>45</v>
      </c>
      <c r="N1018" s="155">
        <f t="shared" si="243"/>
        <v>71</v>
      </c>
      <c r="O1018" s="168">
        <f t="shared" si="244"/>
        <v>1.4516129032258065</v>
      </c>
      <c r="P1018" s="157">
        <f t="shared" si="245"/>
        <v>2.2903225806451615</v>
      </c>
    </row>
    <row r="1019" spans="1:16" ht="13.5" customHeight="1" thickBot="1">
      <c r="A1019" s="475"/>
      <c r="B1019" s="127">
        <v>12</v>
      </c>
      <c r="C1019" s="374">
        <v>37</v>
      </c>
      <c r="D1019" s="374">
        <v>76</v>
      </c>
      <c r="E1019" s="374">
        <v>0</v>
      </c>
      <c r="F1019" s="374">
        <v>0</v>
      </c>
      <c r="G1019" s="374">
        <v>8</v>
      </c>
      <c r="H1019" s="374">
        <v>28</v>
      </c>
      <c r="I1019" s="374">
        <v>4</v>
      </c>
      <c r="J1019" s="374">
        <v>8</v>
      </c>
      <c r="K1019" s="374">
        <v>0</v>
      </c>
      <c r="L1019" s="375">
        <v>0</v>
      </c>
      <c r="M1019" s="154">
        <f t="shared" si="242"/>
        <v>49</v>
      </c>
      <c r="N1019" s="155">
        <f t="shared" si="243"/>
        <v>112</v>
      </c>
      <c r="O1019" s="168">
        <f t="shared" si="244"/>
        <v>1.5806451612903225</v>
      </c>
      <c r="P1019" s="157">
        <f t="shared" si="245"/>
        <v>3.6129032258064515</v>
      </c>
    </row>
    <row r="1020" spans="1:16" ht="13.5" customHeight="1">
      <c r="A1020" s="473">
        <v>2020</v>
      </c>
      <c r="B1020" s="410">
        <v>1</v>
      </c>
      <c r="C1020" s="434">
        <v>55</v>
      </c>
      <c r="D1020" s="434">
        <v>103</v>
      </c>
      <c r="E1020" s="434">
        <v>3</v>
      </c>
      <c r="F1020" s="435">
        <v>5</v>
      </c>
      <c r="G1020" s="434">
        <v>10</v>
      </c>
      <c r="H1020" s="434">
        <v>10</v>
      </c>
      <c r="I1020" s="434">
        <v>4</v>
      </c>
      <c r="J1020" s="434">
        <v>21</v>
      </c>
      <c r="K1020" s="434">
        <v>7</v>
      </c>
      <c r="L1020" s="436">
        <v>32</v>
      </c>
      <c r="M1020" s="424">
        <f t="shared" ref="M1020:M1031" si="246">+C1020+E1020+G1020+I1020+K1020</f>
        <v>79</v>
      </c>
      <c r="N1020" s="425">
        <f t="shared" ref="N1020:N1031" si="247">+D1020+F1020+H1020+J1020+L1020</f>
        <v>171</v>
      </c>
      <c r="O1020" s="430">
        <f t="shared" si="237"/>
        <v>2.5483870967741935</v>
      </c>
      <c r="P1020" s="427">
        <f t="shared" si="237"/>
        <v>5.5161290322580649</v>
      </c>
    </row>
    <row r="1021" spans="1:16" ht="13.5" customHeight="1">
      <c r="A1021" s="474"/>
      <c r="B1021" s="127">
        <v>2</v>
      </c>
      <c r="C1021" s="147">
        <v>40</v>
      </c>
      <c r="D1021" s="147">
        <v>101</v>
      </c>
      <c r="E1021" s="147">
        <v>2</v>
      </c>
      <c r="F1021" s="181">
        <v>2</v>
      </c>
      <c r="G1021" s="147">
        <v>5</v>
      </c>
      <c r="H1021" s="147">
        <v>34</v>
      </c>
      <c r="I1021" s="147">
        <v>3</v>
      </c>
      <c r="J1021" s="147">
        <v>8</v>
      </c>
      <c r="K1021" s="147">
        <v>0</v>
      </c>
      <c r="L1021" s="148">
        <v>2</v>
      </c>
      <c r="M1021" s="154">
        <f t="shared" si="246"/>
        <v>50</v>
      </c>
      <c r="N1021" s="155">
        <f t="shared" si="247"/>
        <v>147</v>
      </c>
      <c r="O1021" s="168">
        <f t="shared" si="237"/>
        <v>1.6129032258064515</v>
      </c>
      <c r="P1021" s="157">
        <f t="shared" si="237"/>
        <v>4.741935483870968</v>
      </c>
    </row>
    <row r="1022" spans="1:16" ht="13.5" customHeight="1">
      <c r="A1022" s="474"/>
      <c r="B1022" s="127">
        <v>3</v>
      </c>
      <c r="C1022" s="147">
        <v>10</v>
      </c>
      <c r="D1022" s="147">
        <v>25</v>
      </c>
      <c r="E1022" s="147">
        <v>0</v>
      </c>
      <c r="F1022" s="181">
        <v>0</v>
      </c>
      <c r="G1022" s="147">
        <v>0</v>
      </c>
      <c r="H1022" s="147">
        <v>0</v>
      </c>
      <c r="I1022" s="147">
        <v>0</v>
      </c>
      <c r="J1022" s="147">
        <v>0</v>
      </c>
      <c r="K1022" s="147">
        <v>0</v>
      </c>
      <c r="L1022" s="148">
        <v>0</v>
      </c>
      <c r="M1022" s="154">
        <f t="shared" si="246"/>
        <v>10</v>
      </c>
      <c r="N1022" s="155">
        <f t="shared" si="247"/>
        <v>25</v>
      </c>
      <c r="O1022" s="168">
        <f t="shared" si="237"/>
        <v>0.32258064516129031</v>
      </c>
      <c r="P1022" s="157">
        <f t="shared" si="237"/>
        <v>0.80645161290322576</v>
      </c>
    </row>
    <row r="1023" spans="1:16" ht="13.5" customHeight="1">
      <c r="A1023" s="474"/>
      <c r="B1023" s="127">
        <v>4</v>
      </c>
      <c r="C1023" s="147">
        <v>0</v>
      </c>
      <c r="D1023" s="147">
        <v>0</v>
      </c>
      <c r="E1023" s="147">
        <v>0</v>
      </c>
      <c r="F1023" s="181">
        <v>0</v>
      </c>
      <c r="G1023" s="147">
        <v>0</v>
      </c>
      <c r="H1023" s="147">
        <v>0</v>
      </c>
      <c r="I1023" s="147">
        <v>0</v>
      </c>
      <c r="J1023" s="147">
        <v>0</v>
      </c>
      <c r="K1023" s="147">
        <v>0</v>
      </c>
      <c r="L1023" s="148">
        <v>0</v>
      </c>
      <c r="M1023" s="154">
        <f t="shared" si="246"/>
        <v>0</v>
      </c>
      <c r="N1023" s="155">
        <f t="shared" si="247"/>
        <v>0</v>
      </c>
      <c r="O1023" s="168">
        <f t="shared" si="237"/>
        <v>0</v>
      </c>
      <c r="P1023" s="157">
        <f t="shared" si="237"/>
        <v>0</v>
      </c>
    </row>
    <row r="1024" spans="1:16" ht="13.5" customHeight="1">
      <c r="A1024" s="474"/>
      <c r="B1024" s="127">
        <v>5</v>
      </c>
      <c r="C1024" s="147">
        <v>0</v>
      </c>
      <c r="D1024" s="147">
        <v>0</v>
      </c>
      <c r="E1024" s="147">
        <v>0</v>
      </c>
      <c r="F1024" s="181">
        <v>0</v>
      </c>
      <c r="G1024" s="147">
        <v>0</v>
      </c>
      <c r="H1024" s="147">
        <v>0</v>
      </c>
      <c r="I1024" s="147">
        <v>0</v>
      </c>
      <c r="J1024" s="147">
        <v>0</v>
      </c>
      <c r="K1024" s="147">
        <v>0</v>
      </c>
      <c r="L1024" s="148">
        <v>0</v>
      </c>
      <c r="M1024" s="154">
        <f t="shared" si="246"/>
        <v>0</v>
      </c>
      <c r="N1024" s="155">
        <f t="shared" si="247"/>
        <v>0</v>
      </c>
      <c r="O1024" s="168">
        <f t="shared" si="237"/>
        <v>0</v>
      </c>
      <c r="P1024" s="157">
        <f t="shared" si="237"/>
        <v>0</v>
      </c>
    </row>
    <row r="1025" spans="1:16" ht="13.5" customHeight="1">
      <c r="A1025" s="474"/>
      <c r="B1025" s="127">
        <v>6</v>
      </c>
      <c r="C1025" s="147">
        <f>集計用!C72</f>
        <v>0</v>
      </c>
      <c r="D1025" s="147">
        <f>集計用!S72</f>
        <v>0</v>
      </c>
      <c r="E1025" s="147">
        <f>集計用!E72</f>
        <v>0</v>
      </c>
      <c r="F1025" s="181">
        <f>集計用!U72</f>
        <v>0</v>
      </c>
      <c r="G1025" s="147">
        <f>集計用!G72</f>
        <v>0</v>
      </c>
      <c r="H1025" s="147">
        <f>集計用!W72</f>
        <v>0</v>
      </c>
      <c r="I1025" s="147">
        <f>集計用!I72</f>
        <v>0</v>
      </c>
      <c r="J1025" s="147">
        <f>集計用!Y72</f>
        <v>0</v>
      </c>
      <c r="K1025" s="147">
        <f>集計用!K72</f>
        <v>0</v>
      </c>
      <c r="L1025" s="148">
        <f>集計用!AA72</f>
        <v>0</v>
      </c>
      <c r="M1025" s="154">
        <f t="shared" si="246"/>
        <v>0</v>
      </c>
      <c r="N1025" s="155">
        <f t="shared" si="247"/>
        <v>0</v>
      </c>
      <c r="O1025" s="168">
        <f>M1025/30</f>
        <v>0</v>
      </c>
      <c r="P1025" s="157">
        <f>N1025/30</f>
        <v>0</v>
      </c>
    </row>
    <row r="1026" spans="1:16" ht="13.5" customHeight="1">
      <c r="A1026" s="474"/>
      <c r="B1026" s="127">
        <v>7</v>
      </c>
      <c r="C1026" s="158"/>
      <c r="D1026" s="158"/>
      <c r="E1026" s="158"/>
      <c r="F1026" s="158"/>
      <c r="G1026" s="158"/>
      <c r="H1026" s="158"/>
      <c r="I1026" s="158"/>
      <c r="J1026" s="158"/>
      <c r="K1026" s="158"/>
      <c r="L1026" s="158"/>
      <c r="M1026" s="154">
        <f t="shared" si="246"/>
        <v>0</v>
      </c>
      <c r="N1026" s="155">
        <f t="shared" si="247"/>
        <v>0</v>
      </c>
      <c r="O1026" s="168">
        <f t="shared" ref="O1026:O1031" si="248">M1026/31</f>
        <v>0</v>
      </c>
      <c r="P1026" s="157">
        <f t="shared" ref="P1026:P1031" si="249">N1026/31</f>
        <v>0</v>
      </c>
    </row>
    <row r="1027" spans="1:16" ht="13.5" customHeight="1">
      <c r="A1027" s="474"/>
      <c r="B1027" s="127">
        <v>8</v>
      </c>
      <c r="C1027" s="158"/>
      <c r="D1027" s="158"/>
      <c r="E1027" s="158"/>
      <c r="F1027" s="158"/>
      <c r="G1027" s="158"/>
      <c r="H1027" s="158"/>
      <c r="I1027" s="158"/>
      <c r="J1027" s="158"/>
      <c r="K1027" s="158"/>
      <c r="L1027" s="159"/>
      <c r="M1027" s="177">
        <f t="shared" si="246"/>
        <v>0</v>
      </c>
      <c r="N1027" s="158">
        <f t="shared" si="247"/>
        <v>0</v>
      </c>
      <c r="O1027" s="168">
        <f t="shared" si="248"/>
        <v>0</v>
      </c>
      <c r="P1027" s="157">
        <f t="shared" si="249"/>
        <v>0</v>
      </c>
    </row>
    <row r="1028" spans="1:16" ht="13.5" customHeight="1">
      <c r="A1028" s="474"/>
      <c r="B1028" s="127">
        <v>9</v>
      </c>
      <c r="C1028" s="147"/>
      <c r="D1028" s="147"/>
      <c r="E1028" s="147"/>
      <c r="F1028" s="147"/>
      <c r="G1028" s="147"/>
      <c r="H1028" s="147"/>
      <c r="I1028" s="147"/>
      <c r="J1028" s="147"/>
      <c r="K1028" s="147"/>
      <c r="L1028" s="148"/>
      <c r="M1028" s="177">
        <f t="shared" ref="M1028" si="250">+C1028+E1028+G1028+I1028+K1028</f>
        <v>0</v>
      </c>
      <c r="N1028" s="158">
        <f t="shared" ref="N1028" si="251">+D1028+F1028+H1028+J1028+L1028</f>
        <v>0</v>
      </c>
      <c r="O1028" s="168">
        <f>M1028/30</f>
        <v>0</v>
      </c>
      <c r="P1028" s="157">
        <f>N1028/30</f>
        <v>0</v>
      </c>
    </row>
    <row r="1029" spans="1:16" ht="13.5" customHeight="1">
      <c r="A1029" s="474"/>
      <c r="B1029" s="127">
        <v>10</v>
      </c>
      <c r="C1029" s="147"/>
      <c r="D1029" s="147"/>
      <c r="E1029" s="147"/>
      <c r="F1029" s="181"/>
      <c r="G1029" s="147"/>
      <c r="H1029" s="147"/>
      <c r="I1029" s="147"/>
      <c r="J1029" s="147"/>
      <c r="K1029" s="147"/>
      <c r="L1029" s="148"/>
      <c r="M1029" s="154">
        <f t="shared" ref="M1029" si="252">+C1029+E1029+G1029+I1029+K1029</f>
        <v>0</v>
      </c>
      <c r="N1029" s="155">
        <f t="shared" ref="N1029" si="253">+D1029+F1029+H1029+J1029+L1029</f>
        <v>0</v>
      </c>
      <c r="O1029" s="168">
        <f t="shared" ref="O1029" si="254">M1029/31</f>
        <v>0</v>
      </c>
      <c r="P1029" s="157">
        <f t="shared" ref="P1029" si="255">N1029/31</f>
        <v>0</v>
      </c>
    </row>
    <row r="1030" spans="1:16" ht="13.5" customHeight="1">
      <c r="A1030" s="474"/>
      <c r="B1030" s="127">
        <v>11</v>
      </c>
      <c r="C1030" s="367"/>
      <c r="D1030" s="367"/>
      <c r="E1030" s="367"/>
      <c r="F1030" s="367"/>
      <c r="G1030" s="367"/>
      <c r="H1030" s="367"/>
      <c r="I1030" s="367"/>
      <c r="J1030" s="367"/>
      <c r="K1030" s="367"/>
      <c r="L1030" s="368"/>
      <c r="M1030" s="154">
        <f t="shared" si="246"/>
        <v>0</v>
      </c>
      <c r="N1030" s="155">
        <f t="shared" si="247"/>
        <v>0</v>
      </c>
      <c r="O1030" s="168">
        <f t="shared" si="248"/>
        <v>0</v>
      </c>
      <c r="P1030" s="157">
        <f t="shared" si="249"/>
        <v>0</v>
      </c>
    </row>
    <row r="1031" spans="1:16" ht="13.5" customHeight="1" thickBot="1">
      <c r="A1031" s="475"/>
      <c r="B1031" s="127">
        <v>12</v>
      </c>
      <c r="C1031" s="187"/>
      <c r="D1031" s="187"/>
      <c r="E1031" s="187"/>
      <c r="F1031" s="188"/>
      <c r="G1031" s="187"/>
      <c r="H1031" s="187"/>
      <c r="I1031" s="187"/>
      <c r="J1031" s="187"/>
      <c r="K1031" s="187"/>
      <c r="L1031" s="189"/>
      <c r="M1031" s="154">
        <f t="shared" si="246"/>
        <v>0</v>
      </c>
      <c r="N1031" s="155">
        <f t="shared" si="247"/>
        <v>0</v>
      </c>
      <c r="O1031" s="168">
        <f t="shared" si="248"/>
        <v>0</v>
      </c>
      <c r="P1031" s="157">
        <f t="shared" si="249"/>
        <v>0</v>
      </c>
    </row>
    <row r="1032" spans="1:16" ht="18.75" customHeight="1" thickBot="1">
      <c r="A1032" s="180"/>
      <c r="B1032" s="160" t="s">
        <v>5</v>
      </c>
      <c r="C1032" s="161">
        <f>SUM(C984:C1031)</f>
        <v>573</v>
      </c>
      <c r="D1032" s="161">
        <f t="shared" ref="D1032:K1032" si="256">SUM(D984:D1031)</f>
        <v>1108</v>
      </c>
      <c r="E1032" s="161">
        <f t="shared" si="256"/>
        <v>26</v>
      </c>
      <c r="F1032" s="161">
        <f t="shared" si="256"/>
        <v>47</v>
      </c>
      <c r="G1032" s="161">
        <f t="shared" si="256"/>
        <v>143</v>
      </c>
      <c r="H1032" s="161">
        <f t="shared" si="256"/>
        <v>341</v>
      </c>
      <c r="I1032" s="161">
        <f t="shared" si="256"/>
        <v>75</v>
      </c>
      <c r="J1032" s="161">
        <f t="shared" si="256"/>
        <v>174</v>
      </c>
      <c r="K1032" s="161">
        <f t="shared" si="256"/>
        <v>24</v>
      </c>
      <c r="L1032" s="161">
        <f>SUM(L984:L1031)</f>
        <v>75</v>
      </c>
      <c r="M1032" s="162">
        <f>SUM(M984:M1031)</f>
        <v>841</v>
      </c>
      <c r="N1032" s="161">
        <f>SUM(N984:N1031)</f>
        <v>1745</v>
      </c>
      <c r="O1032" s="161">
        <f>SUM(O984:O1031)</f>
        <v>27.164516129032261</v>
      </c>
      <c r="P1032" s="161">
        <f>SUM(P984:P1031)</f>
        <v>56.339784946236556</v>
      </c>
    </row>
    <row r="1034" spans="1:16" ht="11.25" customHeight="1">
      <c r="B1034" s="467" t="s">
        <v>80</v>
      </c>
      <c r="C1034" s="469" t="s">
        <v>29</v>
      </c>
      <c r="D1034" s="470"/>
      <c r="E1034" s="469" t="s">
        <v>30</v>
      </c>
      <c r="F1034" s="470"/>
      <c r="G1034" s="469" t="s">
        <v>31</v>
      </c>
      <c r="H1034" s="470"/>
      <c r="I1034" s="469" t="s">
        <v>58</v>
      </c>
      <c r="J1034" s="470"/>
      <c r="K1034" s="469" t="s">
        <v>57</v>
      </c>
      <c r="L1034" s="471"/>
      <c r="M1034" s="470" t="s">
        <v>5</v>
      </c>
      <c r="N1034" s="472"/>
      <c r="O1034" s="472" t="s">
        <v>33</v>
      </c>
      <c r="P1034" s="472"/>
    </row>
    <row r="1035" spans="1:16" ht="11.25" customHeight="1" thickBot="1">
      <c r="B1035" s="468"/>
      <c r="C1035" s="13" t="s">
        <v>34</v>
      </c>
      <c r="D1035" s="13" t="s">
        <v>35</v>
      </c>
      <c r="E1035" s="13" t="s">
        <v>34</v>
      </c>
      <c r="F1035" s="13" t="s">
        <v>35</v>
      </c>
      <c r="G1035" s="13" t="s">
        <v>34</v>
      </c>
      <c r="H1035" s="13" t="s">
        <v>35</v>
      </c>
      <c r="I1035" s="13" t="s">
        <v>59</v>
      </c>
      <c r="J1035" s="13" t="s">
        <v>60</v>
      </c>
      <c r="K1035" s="13" t="s">
        <v>34</v>
      </c>
      <c r="L1035" s="14" t="s">
        <v>35</v>
      </c>
      <c r="M1035" s="15" t="s">
        <v>34</v>
      </c>
      <c r="N1035" s="13" t="s">
        <v>35</v>
      </c>
      <c r="O1035" s="163" t="s">
        <v>34</v>
      </c>
      <c r="P1035" s="163" t="s">
        <v>35</v>
      </c>
    </row>
    <row r="1036" spans="1:16" ht="13.5" customHeight="1">
      <c r="A1036" s="473">
        <v>2017</v>
      </c>
      <c r="B1036" s="410">
        <v>1</v>
      </c>
      <c r="C1036" s="422"/>
      <c r="D1036" s="422"/>
      <c r="E1036" s="422"/>
      <c r="F1036" s="422"/>
      <c r="G1036" s="422"/>
      <c r="H1036" s="422"/>
      <c r="I1036" s="422"/>
      <c r="J1036" s="422"/>
      <c r="K1036" s="422"/>
      <c r="L1036" s="432"/>
      <c r="M1036" s="424">
        <f t="shared" ref="M1036:M1067" si="257">+C1036+E1036+G1036+I1036+K1036</f>
        <v>0</v>
      </c>
      <c r="N1036" s="425">
        <f t="shared" ref="N1036:N1067" si="258">+D1036+F1036+H1036+J1036+L1036</f>
        <v>0</v>
      </c>
      <c r="O1036" s="430">
        <f t="shared" ref="O1036:P1040" si="259">M1036/31</f>
        <v>0</v>
      </c>
      <c r="P1036" s="427">
        <f t="shared" si="259"/>
        <v>0</v>
      </c>
    </row>
    <row r="1037" spans="1:16" ht="13.5" customHeight="1">
      <c r="A1037" s="474"/>
      <c r="B1037" s="127">
        <v>2</v>
      </c>
      <c r="C1037" s="147"/>
      <c r="D1037" s="147"/>
      <c r="E1037" s="147"/>
      <c r="F1037" s="147"/>
      <c r="G1037" s="147"/>
      <c r="H1037" s="147"/>
      <c r="I1037" s="147"/>
      <c r="J1037" s="147"/>
      <c r="K1037" s="147"/>
      <c r="L1037" s="174"/>
      <c r="M1037" s="149">
        <f t="shared" si="257"/>
        <v>0</v>
      </c>
      <c r="N1037" s="150">
        <f t="shared" si="258"/>
        <v>0</v>
      </c>
      <c r="O1037" s="167">
        <f t="shared" si="259"/>
        <v>0</v>
      </c>
      <c r="P1037" s="152">
        <f t="shared" si="259"/>
        <v>0</v>
      </c>
    </row>
    <row r="1038" spans="1:16" ht="13.5" customHeight="1">
      <c r="A1038" s="474"/>
      <c r="B1038" s="127">
        <v>3</v>
      </c>
      <c r="C1038" s="147"/>
      <c r="D1038" s="147"/>
      <c r="E1038" s="147"/>
      <c r="F1038" s="147"/>
      <c r="G1038" s="147"/>
      <c r="H1038" s="147"/>
      <c r="I1038" s="147"/>
      <c r="J1038" s="147"/>
      <c r="K1038" s="147"/>
      <c r="L1038" s="174"/>
      <c r="M1038" s="149">
        <f t="shared" si="257"/>
        <v>0</v>
      </c>
      <c r="N1038" s="150">
        <f t="shared" si="258"/>
        <v>0</v>
      </c>
      <c r="O1038" s="167">
        <f t="shared" si="259"/>
        <v>0</v>
      </c>
      <c r="P1038" s="152">
        <f t="shared" si="259"/>
        <v>0</v>
      </c>
    </row>
    <row r="1039" spans="1:16" ht="13.5" customHeight="1">
      <c r="A1039" s="474"/>
      <c r="B1039" s="127">
        <v>4</v>
      </c>
      <c r="C1039" s="158"/>
      <c r="D1039" s="158"/>
      <c r="E1039" s="158"/>
      <c r="F1039" s="158"/>
      <c r="G1039" s="158"/>
      <c r="H1039" s="158"/>
      <c r="I1039" s="158"/>
      <c r="J1039" s="158"/>
      <c r="K1039" s="158"/>
      <c r="L1039" s="159"/>
      <c r="M1039" s="154">
        <f t="shared" si="257"/>
        <v>0</v>
      </c>
      <c r="N1039" s="155">
        <f t="shared" si="258"/>
        <v>0</v>
      </c>
      <c r="O1039" s="168">
        <f t="shared" si="259"/>
        <v>0</v>
      </c>
      <c r="P1039" s="157">
        <f t="shared" si="259"/>
        <v>0</v>
      </c>
    </row>
    <row r="1040" spans="1:16" ht="13.5" customHeight="1">
      <c r="A1040" s="474"/>
      <c r="B1040" s="127">
        <v>5</v>
      </c>
      <c r="C1040" s="158"/>
      <c r="D1040" s="158"/>
      <c r="E1040" s="158"/>
      <c r="F1040" s="158"/>
      <c r="G1040" s="158"/>
      <c r="H1040" s="158"/>
      <c r="I1040" s="158"/>
      <c r="J1040" s="158"/>
      <c r="K1040" s="158"/>
      <c r="L1040" s="159"/>
      <c r="M1040" s="154">
        <f t="shared" si="257"/>
        <v>0</v>
      </c>
      <c r="N1040" s="155">
        <f t="shared" si="258"/>
        <v>0</v>
      </c>
      <c r="O1040" s="168">
        <f t="shared" si="259"/>
        <v>0</v>
      </c>
      <c r="P1040" s="157">
        <f t="shared" si="259"/>
        <v>0</v>
      </c>
    </row>
    <row r="1041" spans="1:16" ht="13.5" customHeight="1">
      <c r="A1041" s="474"/>
      <c r="B1041" s="127">
        <v>6</v>
      </c>
      <c r="C1041" s="158"/>
      <c r="D1041" s="158"/>
      <c r="E1041" s="158"/>
      <c r="F1041" s="158"/>
      <c r="G1041" s="158"/>
      <c r="H1041" s="158"/>
      <c r="I1041" s="158"/>
      <c r="J1041" s="158"/>
      <c r="K1041" s="158"/>
      <c r="L1041" s="158"/>
      <c r="M1041" s="154">
        <f t="shared" si="257"/>
        <v>0</v>
      </c>
      <c r="N1041" s="155">
        <f t="shared" si="258"/>
        <v>0</v>
      </c>
      <c r="O1041" s="168">
        <f>M1041/30</f>
        <v>0</v>
      </c>
      <c r="P1041" s="157">
        <f>N1041/30</f>
        <v>0</v>
      </c>
    </row>
    <row r="1042" spans="1:16" ht="13.5" customHeight="1">
      <c r="A1042" s="474"/>
      <c r="B1042" s="127">
        <v>7</v>
      </c>
      <c r="C1042" s="158">
        <v>2</v>
      </c>
      <c r="D1042" s="158">
        <v>2</v>
      </c>
      <c r="E1042" s="158">
        <v>0</v>
      </c>
      <c r="F1042" s="158">
        <v>0</v>
      </c>
      <c r="G1042" s="158">
        <v>0</v>
      </c>
      <c r="H1042" s="158">
        <v>0</v>
      </c>
      <c r="I1042" s="158">
        <v>0</v>
      </c>
      <c r="J1042" s="158">
        <v>0</v>
      </c>
      <c r="K1042" s="158">
        <v>0</v>
      </c>
      <c r="L1042" s="158">
        <v>0</v>
      </c>
      <c r="M1042" s="154">
        <f t="shared" si="257"/>
        <v>2</v>
      </c>
      <c r="N1042" s="155">
        <f t="shared" si="258"/>
        <v>2</v>
      </c>
      <c r="O1042" s="168">
        <f t="shared" ref="O1042:O1052" si="260">M1042/31</f>
        <v>6.4516129032258063E-2</v>
      </c>
      <c r="P1042" s="157">
        <f t="shared" ref="P1042:P1052" si="261">N1042/31</f>
        <v>6.4516129032258063E-2</v>
      </c>
    </row>
    <row r="1043" spans="1:16" ht="13.5" customHeight="1">
      <c r="A1043" s="474"/>
      <c r="B1043" s="127">
        <v>8</v>
      </c>
      <c r="C1043" s="158">
        <v>1</v>
      </c>
      <c r="D1043" s="158">
        <v>2</v>
      </c>
      <c r="E1043" s="158">
        <v>0</v>
      </c>
      <c r="F1043" s="158">
        <v>0</v>
      </c>
      <c r="G1043" s="158">
        <v>3</v>
      </c>
      <c r="H1043" s="158">
        <v>3</v>
      </c>
      <c r="I1043" s="158">
        <v>0</v>
      </c>
      <c r="J1043" s="158">
        <v>0</v>
      </c>
      <c r="K1043" s="158">
        <v>0</v>
      </c>
      <c r="L1043" s="159">
        <v>0</v>
      </c>
      <c r="M1043" s="177">
        <f t="shared" si="257"/>
        <v>4</v>
      </c>
      <c r="N1043" s="158">
        <f t="shared" si="258"/>
        <v>5</v>
      </c>
      <c r="O1043" s="168">
        <f t="shared" si="260"/>
        <v>0.12903225806451613</v>
      </c>
      <c r="P1043" s="157">
        <f t="shared" si="261"/>
        <v>0.16129032258064516</v>
      </c>
    </row>
    <row r="1044" spans="1:16" ht="13.5" customHeight="1">
      <c r="A1044" s="474"/>
      <c r="B1044" s="127">
        <v>9</v>
      </c>
      <c r="C1044" s="147">
        <v>1</v>
      </c>
      <c r="D1044" s="147">
        <v>2</v>
      </c>
      <c r="E1044" s="147">
        <v>1</v>
      </c>
      <c r="F1044" s="147">
        <v>1</v>
      </c>
      <c r="G1044" s="147">
        <v>0</v>
      </c>
      <c r="H1044" s="147">
        <v>0</v>
      </c>
      <c r="I1044" s="147">
        <v>1</v>
      </c>
      <c r="J1044" s="147">
        <v>0</v>
      </c>
      <c r="K1044" s="147">
        <v>0</v>
      </c>
      <c r="L1044" s="148">
        <v>0</v>
      </c>
      <c r="M1044" s="177">
        <f t="shared" si="257"/>
        <v>3</v>
      </c>
      <c r="N1044" s="158">
        <f t="shared" si="258"/>
        <v>3</v>
      </c>
      <c r="O1044" s="168">
        <f t="shared" si="260"/>
        <v>9.6774193548387094E-2</v>
      </c>
      <c r="P1044" s="157">
        <f t="shared" si="261"/>
        <v>9.6774193548387094E-2</v>
      </c>
    </row>
    <row r="1045" spans="1:16" ht="13.5" customHeight="1">
      <c r="A1045" s="474"/>
      <c r="B1045" s="127">
        <v>10</v>
      </c>
      <c r="C1045" s="147">
        <v>3</v>
      </c>
      <c r="D1045" s="147">
        <v>1</v>
      </c>
      <c r="E1045" s="147">
        <v>0</v>
      </c>
      <c r="F1045" s="181">
        <v>0</v>
      </c>
      <c r="G1045" s="147">
        <v>0</v>
      </c>
      <c r="H1045" s="147">
        <v>0</v>
      </c>
      <c r="I1045" s="147">
        <v>2</v>
      </c>
      <c r="J1045" s="147">
        <v>4</v>
      </c>
      <c r="K1045" s="147">
        <v>0</v>
      </c>
      <c r="L1045" s="148">
        <v>0</v>
      </c>
      <c r="M1045" s="154">
        <f t="shared" si="257"/>
        <v>5</v>
      </c>
      <c r="N1045" s="155">
        <f t="shared" si="258"/>
        <v>5</v>
      </c>
      <c r="O1045" s="168">
        <f t="shared" si="260"/>
        <v>0.16129032258064516</v>
      </c>
      <c r="P1045" s="157">
        <f t="shared" si="261"/>
        <v>0.16129032258064516</v>
      </c>
    </row>
    <row r="1046" spans="1:16" ht="13.5" customHeight="1">
      <c r="A1046" s="474"/>
      <c r="B1046" s="127">
        <v>11</v>
      </c>
      <c r="C1046" s="367">
        <v>9</v>
      </c>
      <c r="D1046" s="367">
        <v>12</v>
      </c>
      <c r="E1046" s="367">
        <v>0</v>
      </c>
      <c r="F1046" s="367">
        <v>0</v>
      </c>
      <c r="G1046" s="367">
        <v>1</v>
      </c>
      <c r="H1046" s="367">
        <v>2</v>
      </c>
      <c r="I1046" s="367">
        <v>0</v>
      </c>
      <c r="J1046" s="367">
        <v>0</v>
      </c>
      <c r="K1046" s="367">
        <v>0</v>
      </c>
      <c r="L1046" s="368">
        <v>0</v>
      </c>
      <c r="M1046" s="154">
        <f t="shared" si="257"/>
        <v>10</v>
      </c>
      <c r="N1046" s="155">
        <f t="shared" si="258"/>
        <v>14</v>
      </c>
      <c r="O1046" s="168">
        <f t="shared" si="260"/>
        <v>0.32258064516129031</v>
      </c>
      <c r="P1046" s="157">
        <f t="shared" si="261"/>
        <v>0.45161290322580644</v>
      </c>
    </row>
    <row r="1047" spans="1:16" ht="13.5" customHeight="1" thickBot="1">
      <c r="A1047" s="475"/>
      <c r="B1047" s="127">
        <v>12</v>
      </c>
      <c r="C1047" s="187">
        <v>8</v>
      </c>
      <c r="D1047" s="187">
        <v>8</v>
      </c>
      <c r="E1047" s="187">
        <v>0</v>
      </c>
      <c r="F1047" s="188">
        <v>0</v>
      </c>
      <c r="G1047" s="187">
        <v>0</v>
      </c>
      <c r="H1047" s="187">
        <v>0</v>
      </c>
      <c r="I1047" s="187">
        <v>1</v>
      </c>
      <c r="J1047" s="187">
        <v>1</v>
      </c>
      <c r="K1047" s="187">
        <v>0</v>
      </c>
      <c r="L1047" s="189">
        <v>0</v>
      </c>
      <c r="M1047" s="154">
        <f t="shared" si="257"/>
        <v>9</v>
      </c>
      <c r="N1047" s="155">
        <f t="shared" si="258"/>
        <v>9</v>
      </c>
      <c r="O1047" s="168">
        <f t="shared" si="260"/>
        <v>0.29032258064516131</v>
      </c>
      <c r="P1047" s="157">
        <f t="shared" si="261"/>
        <v>0.29032258064516131</v>
      </c>
    </row>
    <row r="1048" spans="1:16" ht="13.5" customHeight="1">
      <c r="A1048" s="473">
        <v>2018</v>
      </c>
      <c r="B1048" s="410">
        <v>1</v>
      </c>
      <c r="C1048" s="158">
        <v>2</v>
      </c>
      <c r="D1048" s="158">
        <v>13</v>
      </c>
      <c r="E1048" s="158">
        <v>2</v>
      </c>
      <c r="F1048" s="169">
        <v>2</v>
      </c>
      <c r="G1048" s="158">
        <v>0</v>
      </c>
      <c r="H1048" s="158">
        <v>0</v>
      </c>
      <c r="I1048" s="158">
        <v>0</v>
      </c>
      <c r="J1048" s="158">
        <v>0</v>
      </c>
      <c r="K1048" s="158">
        <v>3</v>
      </c>
      <c r="L1048" s="159">
        <v>1</v>
      </c>
      <c r="M1048" s="424">
        <f t="shared" si="257"/>
        <v>7</v>
      </c>
      <c r="N1048" s="425">
        <f t="shared" si="258"/>
        <v>16</v>
      </c>
      <c r="O1048" s="430">
        <f t="shared" si="260"/>
        <v>0.22580645161290322</v>
      </c>
      <c r="P1048" s="427">
        <f t="shared" si="261"/>
        <v>0.5161290322580645</v>
      </c>
    </row>
    <row r="1049" spans="1:16" ht="13.5" customHeight="1">
      <c r="A1049" s="474"/>
      <c r="B1049" s="127">
        <v>2</v>
      </c>
      <c r="C1049" s="158">
        <v>7</v>
      </c>
      <c r="D1049" s="158">
        <v>7</v>
      </c>
      <c r="E1049" s="158">
        <v>0</v>
      </c>
      <c r="F1049" s="169">
        <v>0</v>
      </c>
      <c r="G1049" s="158">
        <v>1</v>
      </c>
      <c r="H1049" s="158">
        <v>0</v>
      </c>
      <c r="I1049" s="158">
        <v>0</v>
      </c>
      <c r="J1049" s="158">
        <v>0</v>
      </c>
      <c r="K1049" s="158">
        <v>1</v>
      </c>
      <c r="L1049" s="159">
        <v>4</v>
      </c>
      <c r="M1049" s="154">
        <f t="shared" si="257"/>
        <v>9</v>
      </c>
      <c r="N1049" s="155">
        <f t="shared" si="258"/>
        <v>11</v>
      </c>
      <c r="O1049" s="168">
        <f t="shared" si="260"/>
        <v>0.29032258064516131</v>
      </c>
      <c r="P1049" s="157">
        <f t="shared" si="261"/>
        <v>0.35483870967741937</v>
      </c>
    </row>
    <row r="1050" spans="1:16" ht="13.5" customHeight="1">
      <c r="A1050" s="474"/>
      <c r="B1050" s="127">
        <v>3</v>
      </c>
      <c r="C1050" s="158">
        <v>5</v>
      </c>
      <c r="D1050" s="158">
        <v>17</v>
      </c>
      <c r="E1050" s="158">
        <v>0</v>
      </c>
      <c r="F1050" s="169">
        <v>0</v>
      </c>
      <c r="G1050" s="158">
        <v>1</v>
      </c>
      <c r="H1050" s="158">
        <v>6</v>
      </c>
      <c r="I1050" s="158">
        <v>0</v>
      </c>
      <c r="J1050" s="158">
        <v>0</v>
      </c>
      <c r="K1050" s="158">
        <v>0</v>
      </c>
      <c r="L1050" s="159">
        <v>3</v>
      </c>
      <c r="M1050" s="154">
        <f t="shared" si="257"/>
        <v>6</v>
      </c>
      <c r="N1050" s="155">
        <f t="shared" si="258"/>
        <v>26</v>
      </c>
      <c r="O1050" s="168">
        <f t="shared" si="260"/>
        <v>0.19354838709677419</v>
      </c>
      <c r="P1050" s="157">
        <f t="shared" si="261"/>
        <v>0.83870967741935487</v>
      </c>
    </row>
    <row r="1051" spans="1:16" ht="13.5" customHeight="1">
      <c r="A1051" s="474"/>
      <c r="B1051" s="127">
        <v>4</v>
      </c>
      <c r="C1051" s="158">
        <v>15</v>
      </c>
      <c r="D1051" s="158">
        <v>11</v>
      </c>
      <c r="E1051" s="158">
        <v>2</v>
      </c>
      <c r="F1051" s="169">
        <v>0</v>
      </c>
      <c r="G1051" s="158">
        <v>1</v>
      </c>
      <c r="H1051" s="158">
        <v>0</v>
      </c>
      <c r="I1051" s="158">
        <v>0</v>
      </c>
      <c r="J1051" s="158">
        <v>0</v>
      </c>
      <c r="K1051" s="158">
        <v>1</v>
      </c>
      <c r="L1051" s="159">
        <v>3</v>
      </c>
      <c r="M1051" s="154">
        <f t="shared" si="257"/>
        <v>19</v>
      </c>
      <c r="N1051" s="155">
        <f t="shared" si="258"/>
        <v>14</v>
      </c>
      <c r="O1051" s="168">
        <f t="shared" si="260"/>
        <v>0.61290322580645162</v>
      </c>
      <c r="P1051" s="157">
        <f t="shared" si="261"/>
        <v>0.45161290322580644</v>
      </c>
    </row>
    <row r="1052" spans="1:16" ht="13.5" customHeight="1">
      <c r="A1052" s="474"/>
      <c r="B1052" s="127">
        <v>5</v>
      </c>
      <c r="C1052" s="158">
        <v>7</v>
      </c>
      <c r="D1052" s="158">
        <v>16</v>
      </c>
      <c r="E1052" s="158">
        <v>0</v>
      </c>
      <c r="F1052" s="169">
        <v>2</v>
      </c>
      <c r="G1052" s="158">
        <v>1</v>
      </c>
      <c r="H1052" s="158">
        <v>1</v>
      </c>
      <c r="I1052" s="158">
        <v>0</v>
      </c>
      <c r="J1052" s="158">
        <v>0</v>
      </c>
      <c r="K1052" s="158">
        <v>0</v>
      </c>
      <c r="L1052" s="159">
        <v>0</v>
      </c>
      <c r="M1052" s="154">
        <f t="shared" si="257"/>
        <v>8</v>
      </c>
      <c r="N1052" s="155">
        <f t="shared" si="258"/>
        <v>19</v>
      </c>
      <c r="O1052" s="168">
        <f t="shared" si="260"/>
        <v>0.25806451612903225</v>
      </c>
      <c r="P1052" s="157">
        <f t="shared" si="261"/>
        <v>0.61290322580645162</v>
      </c>
    </row>
    <row r="1053" spans="1:16" ht="13.5" customHeight="1">
      <c r="A1053" s="474"/>
      <c r="B1053" s="127">
        <v>6</v>
      </c>
      <c r="C1053" s="158">
        <v>7</v>
      </c>
      <c r="D1053" s="158">
        <v>11</v>
      </c>
      <c r="E1053" s="158">
        <v>0</v>
      </c>
      <c r="F1053" s="169">
        <v>0</v>
      </c>
      <c r="G1053" s="158">
        <v>0</v>
      </c>
      <c r="H1053" s="158">
        <v>2</v>
      </c>
      <c r="I1053" s="158">
        <v>0</v>
      </c>
      <c r="J1053" s="158">
        <v>0</v>
      </c>
      <c r="K1053" s="158">
        <v>0</v>
      </c>
      <c r="L1053" s="159">
        <v>0</v>
      </c>
      <c r="M1053" s="154">
        <f t="shared" si="257"/>
        <v>7</v>
      </c>
      <c r="N1053" s="155">
        <f t="shared" si="258"/>
        <v>13</v>
      </c>
      <c r="O1053" s="168">
        <f>M1053/30</f>
        <v>0.23333333333333334</v>
      </c>
      <c r="P1053" s="157">
        <f>N1053/30</f>
        <v>0.43333333333333335</v>
      </c>
    </row>
    <row r="1054" spans="1:16" ht="13.5" customHeight="1">
      <c r="A1054" s="474"/>
      <c r="B1054" s="127">
        <v>7</v>
      </c>
      <c r="C1054" s="158">
        <v>11</v>
      </c>
      <c r="D1054" s="158">
        <v>7</v>
      </c>
      <c r="E1054" s="158">
        <v>0</v>
      </c>
      <c r="F1054" s="158">
        <v>0</v>
      </c>
      <c r="G1054" s="158">
        <v>0</v>
      </c>
      <c r="H1054" s="158">
        <v>0</v>
      </c>
      <c r="I1054" s="158">
        <v>1</v>
      </c>
      <c r="J1054" s="158">
        <v>4</v>
      </c>
      <c r="K1054" s="158">
        <v>1</v>
      </c>
      <c r="L1054" s="158">
        <v>1</v>
      </c>
      <c r="M1054" s="154">
        <f t="shared" si="257"/>
        <v>13</v>
      </c>
      <c r="N1054" s="155">
        <f t="shared" si="258"/>
        <v>12</v>
      </c>
      <c r="O1054" s="168">
        <f t="shared" ref="O1054:P1076" si="262">M1054/31</f>
        <v>0.41935483870967744</v>
      </c>
      <c r="P1054" s="157">
        <f t="shared" si="262"/>
        <v>0.38709677419354838</v>
      </c>
    </row>
    <row r="1055" spans="1:16" ht="13.5" customHeight="1">
      <c r="A1055" s="474"/>
      <c r="B1055" s="127">
        <v>8</v>
      </c>
      <c r="C1055" s="158">
        <v>8</v>
      </c>
      <c r="D1055" s="158">
        <v>20</v>
      </c>
      <c r="E1055" s="158">
        <v>0</v>
      </c>
      <c r="F1055" s="158">
        <v>0</v>
      </c>
      <c r="G1055" s="158">
        <v>1</v>
      </c>
      <c r="H1055" s="158">
        <v>2</v>
      </c>
      <c r="I1055" s="158">
        <v>1</v>
      </c>
      <c r="J1055" s="158">
        <v>0</v>
      </c>
      <c r="K1055" s="158">
        <v>0</v>
      </c>
      <c r="L1055" s="159">
        <v>0</v>
      </c>
      <c r="M1055" s="177">
        <f t="shared" si="257"/>
        <v>10</v>
      </c>
      <c r="N1055" s="158">
        <f t="shared" si="258"/>
        <v>22</v>
      </c>
      <c r="O1055" s="168">
        <f t="shared" si="262"/>
        <v>0.32258064516129031</v>
      </c>
      <c r="P1055" s="157">
        <f t="shared" si="262"/>
        <v>0.70967741935483875</v>
      </c>
    </row>
    <row r="1056" spans="1:16" ht="13.5" customHeight="1">
      <c r="A1056" s="474"/>
      <c r="B1056" s="127">
        <v>9</v>
      </c>
      <c r="C1056" s="147">
        <v>1</v>
      </c>
      <c r="D1056" s="147">
        <v>4</v>
      </c>
      <c r="E1056" s="147">
        <v>1</v>
      </c>
      <c r="F1056" s="147">
        <v>1</v>
      </c>
      <c r="G1056" s="147">
        <v>0</v>
      </c>
      <c r="H1056" s="147">
        <v>0</v>
      </c>
      <c r="I1056" s="147">
        <v>0</v>
      </c>
      <c r="J1056" s="147">
        <v>1</v>
      </c>
      <c r="K1056" s="147">
        <v>1</v>
      </c>
      <c r="L1056" s="148">
        <v>2</v>
      </c>
      <c r="M1056" s="177">
        <f t="shared" si="257"/>
        <v>3</v>
      </c>
      <c r="N1056" s="158">
        <f t="shared" si="258"/>
        <v>8</v>
      </c>
      <c r="O1056" s="168">
        <f t="shared" si="262"/>
        <v>9.6774193548387094E-2</v>
      </c>
      <c r="P1056" s="157">
        <f t="shared" si="262"/>
        <v>0.25806451612903225</v>
      </c>
    </row>
    <row r="1057" spans="1:16" ht="13.5" customHeight="1">
      <c r="A1057" s="474"/>
      <c r="B1057" s="127">
        <v>10</v>
      </c>
      <c r="C1057" s="147">
        <v>1</v>
      </c>
      <c r="D1057" s="147">
        <v>1</v>
      </c>
      <c r="E1057" s="147">
        <v>0</v>
      </c>
      <c r="F1057" s="181">
        <v>0</v>
      </c>
      <c r="G1057" s="147">
        <v>1</v>
      </c>
      <c r="H1057" s="147">
        <v>2</v>
      </c>
      <c r="I1057" s="147">
        <v>1</v>
      </c>
      <c r="J1057" s="147">
        <v>2</v>
      </c>
      <c r="K1057" s="147">
        <v>1</v>
      </c>
      <c r="L1057" s="148">
        <v>0</v>
      </c>
      <c r="M1057" s="154">
        <f t="shared" si="257"/>
        <v>4</v>
      </c>
      <c r="N1057" s="155">
        <f t="shared" si="258"/>
        <v>5</v>
      </c>
      <c r="O1057" s="168">
        <f t="shared" si="262"/>
        <v>0.12903225806451613</v>
      </c>
      <c r="P1057" s="157">
        <f t="shared" si="262"/>
        <v>0.16129032258064516</v>
      </c>
    </row>
    <row r="1058" spans="1:16" ht="13.5" customHeight="1">
      <c r="A1058" s="474"/>
      <c r="B1058" s="127">
        <v>11</v>
      </c>
      <c r="C1058" s="367">
        <v>5</v>
      </c>
      <c r="D1058" s="367">
        <v>5</v>
      </c>
      <c r="E1058" s="367">
        <v>2</v>
      </c>
      <c r="F1058" s="367">
        <v>2</v>
      </c>
      <c r="G1058" s="367">
        <v>0</v>
      </c>
      <c r="H1058" s="367">
        <v>0</v>
      </c>
      <c r="I1058" s="367">
        <v>2</v>
      </c>
      <c r="J1058" s="367">
        <v>6</v>
      </c>
      <c r="K1058" s="367">
        <v>0</v>
      </c>
      <c r="L1058" s="368">
        <v>2</v>
      </c>
      <c r="M1058" s="154">
        <f t="shared" si="257"/>
        <v>9</v>
      </c>
      <c r="N1058" s="155">
        <f t="shared" si="258"/>
        <v>15</v>
      </c>
      <c r="O1058" s="168">
        <f t="shared" si="262"/>
        <v>0.29032258064516131</v>
      </c>
      <c r="P1058" s="157">
        <f t="shared" si="262"/>
        <v>0.4838709677419355</v>
      </c>
    </row>
    <row r="1059" spans="1:16" ht="13.5" customHeight="1" thickBot="1">
      <c r="A1059" s="475"/>
      <c r="B1059" s="127">
        <v>12</v>
      </c>
      <c r="C1059" s="187">
        <v>1</v>
      </c>
      <c r="D1059" s="187">
        <v>3</v>
      </c>
      <c r="E1059" s="187">
        <v>0</v>
      </c>
      <c r="F1059" s="188">
        <v>0</v>
      </c>
      <c r="G1059" s="187">
        <v>0</v>
      </c>
      <c r="H1059" s="187">
        <v>0</v>
      </c>
      <c r="I1059" s="187">
        <v>0</v>
      </c>
      <c r="J1059" s="187">
        <v>1</v>
      </c>
      <c r="K1059" s="187">
        <v>3</v>
      </c>
      <c r="L1059" s="189">
        <v>1</v>
      </c>
      <c r="M1059" s="154">
        <f t="shared" si="257"/>
        <v>4</v>
      </c>
      <c r="N1059" s="155">
        <f t="shared" si="258"/>
        <v>5</v>
      </c>
      <c r="O1059" s="168">
        <f t="shared" si="262"/>
        <v>0.12903225806451613</v>
      </c>
      <c r="P1059" s="157">
        <f t="shared" si="262"/>
        <v>0.16129032258064516</v>
      </c>
    </row>
    <row r="1060" spans="1:16" ht="13.5" customHeight="1">
      <c r="A1060" s="473">
        <v>2019</v>
      </c>
      <c r="B1060" s="410">
        <v>1</v>
      </c>
      <c r="C1060" s="158">
        <v>4</v>
      </c>
      <c r="D1060" s="158">
        <v>1</v>
      </c>
      <c r="E1060" s="158">
        <v>2</v>
      </c>
      <c r="F1060" s="169">
        <v>2</v>
      </c>
      <c r="G1060" s="158">
        <v>0</v>
      </c>
      <c r="H1060" s="158">
        <v>0</v>
      </c>
      <c r="I1060" s="158">
        <v>0</v>
      </c>
      <c r="J1060" s="158">
        <v>0</v>
      </c>
      <c r="K1060" s="158">
        <v>1</v>
      </c>
      <c r="L1060" s="159">
        <v>10</v>
      </c>
      <c r="M1060" s="424">
        <f t="shared" si="257"/>
        <v>7</v>
      </c>
      <c r="N1060" s="425">
        <f t="shared" si="258"/>
        <v>13</v>
      </c>
      <c r="O1060" s="430">
        <f t="shared" ref="O1060:O1064" si="263">M1060/31</f>
        <v>0.22580645161290322</v>
      </c>
      <c r="P1060" s="427">
        <f t="shared" ref="P1060:P1064" si="264">N1060/31</f>
        <v>0.41935483870967744</v>
      </c>
    </row>
    <row r="1061" spans="1:16" ht="13.5" customHeight="1">
      <c r="A1061" s="474"/>
      <c r="B1061" s="127">
        <v>2</v>
      </c>
      <c r="C1061" s="158">
        <v>9</v>
      </c>
      <c r="D1061" s="158">
        <v>13</v>
      </c>
      <c r="E1061" s="158">
        <v>0</v>
      </c>
      <c r="F1061" s="169">
        <v>0</v>
      </c>
      <c r="G1061" s="158">
        <v>0</v>
      </c>
      <c r="H1061" s="158">
        <v>0</v>
      </c>
      <c r="I1061" s="158">
        <v>1</v>
      </c>
      <c r="J1061" s="158">
        <v>2</v>
      </c>
      <c r="K1061" s="158">
        <v>1</v>
      </c>
      <c r="L1061" s="159">
        <v>0</v>
      </c>
      <c r="M1061" s="154">
        <f t="shared" si="257"/>
        <v>11</v>
      </c>
      <c r="N1061" s="155">
        <f t="shared" si="258"/>
        <v>15</v>
      </c>
      <c r="O1061" s="168">
        <f t="shared" si="263"/>
        <v>0.35483870967741937</v>
      </c>
      <c r="P1061" s="157">
        <f t="shared" si="264"/>
        <v>0.4838709677419355</v>
      </c>
    </row>
    <row r="1062" spans="1:16" ht="13.5" customHeight="1">
      <c r="A1062" s="474"/>
      <c r="B1062" s="127">
        <v>3</v>
      </c>
      <c r="C1062" s="158">
        <v>12</v>
      </c>
      <c r="D1062" s="158">
        <v>20</v>
      </c>
      <c r="E1062" s="158">
        <v>0</v>
      </c>
      <c r="F1062" s="169">
        <v>0</v>
      </c>
      <c r="G1062" s="158">
        <v>1</v>
      </c>
      <c r="H1062" s="158">
        <v>1</v>
      </c>
      <c r="I1062" s="158">
        <v>0</v>
      </c>
      <c r="J1062" s="158">
        <v>0</v>
      </c>
      <c r="K1062" s="158">
        <v>1</v>
      </c>
      <c r="L1062" s="159">
        <v>4</v>
      </c>
      <c r="M1062" s="154">
        <f t="shared" si="257"/>
        <v>14</v>
      </c>
      <c r="N1062" s="155">
        <f t="shared" si="258"/>
        <v>25</v>
      </c>
      <c r="O1062" s="168">
        <f t="shared" si="263"/>
        <v>0.45161290322580644</v>
      </c>
      <c r="P1062" s="157">
        <f t="shared" si="264"/>
        <v>0.80645161290322576</v>
      </c>
    </row>
    <row r="1063" spans="1:16" ht="13.5" customHeight="1">
      <c r="A1063" s="474"/>
      <c r="B1063" s="127">
        <v>4</v>
      </c>
      <c r="C1063" s="158">
        <v>12</v>
      </c>
      <c r="D1063" s="158">
        <v>15</v>
      </c>
      <c r="E1063" s="158">
        <v>1</v>
      </c>
      <c r="F1063" s="169">
        <v>1</v>
      </c>
      <c r="G1063" s="158">
        <v>0</v>
      </c>
      <c r="H1063" s="158">
        <v>0</v>
      </c>
      <c r="I1063" s="158">
        <v>0</v>
      </c>
      <c r="J1063" s="158">
        <v>0</v>
      </c>
      <c r="K1063" s="158">
        <v>6</v>
      </c>
      <c r="L1063" s="159">
        <v>8</v>
      </c>
      <c r="M1063" s="154">
        <f t="shared" si="257"/>
        <v>19</v>
      </c>
      <c r="N1063" s="155">
        <f t="shared" si="258"/>
        <v>24</v>
      </c>
      <c r="O1063" s="168">
        <f t="shared" si="263"/>
        <v>0.61290322580645162</v>
      </c>
      <c r="P1063" s="157">
        <f t="shared" si="264"/>
        <v>0.77419354838709675</v>
      </c>
    </row>
    <row r="1064" spans="1:16" ht="13.5" customHeight="1">
      <c r="A1064" s="474"/>
      <c r="B1064" s="127">
        <v>5</v>
      </c>
      <c r="C1064" s="158">
        <v>6</v>
      </c>
      <c r="D1064" s="158">
        <v>10</v>
      </c>
      <c r="E1064" s="158">
        <v>0</v>
      </c>
      <c r="F1064" s="169">
        <v>0</v>
      </c>
      <c r="G1064" s="158">
        <v>1</v>
      </c>
      <c r="H1064" s="158">
        <v>2</v>
      </c>
      <c r="I1064" s="158">
        <v>0</v>
      </c>
      <c r="J1064" s="158">
        <v>0</v>
      </c>
      <c r="K1064" s="158">
        <v>0</v>
      </c>
      <c r="L1064" s="159">
        <v>4</v>
      </c>
      <c r="M1064" s="154">
        <f t="shared" si="257"/>
        <v>7</v>
      </c>
      <c r="N1064" s="155">
        <f t="shared" si="258"/>
        <v>16</v>
      </c>
      <c r="O1064" s="168">
        <f t="shared" si="263"/>
        <v>0.22580645161290322</v>
      </c>
      <c r="P1064" s="157">
        <f t="shared" si="264"/>
        <v>0.5161290322580645</v>
      </c>
    </row>
    <row r="1065" spans="1:16" ht="13.5" customHeight="1">
      <c r="A1065" s="474"/>
      <c r="B1065" s="127">
        <v>6</v>
      </c>
      <c r="C1065" s="158">
        <v>5</v>
      </c>
      <c r="D1065" s="158">
        <v>7</v>
      </c>
      <c r="E1065" s="158">
        <v>1</v>
      </c>
      <c r="F1065" s="169">
        <v>1</v>
      </c>
      <c r="G1065" s="158">
        <v>1</v>
      </c>
      <c r="H1065" s="158">
        <v>0</v>
      </c>
      <c r="I1065" s="158">
        <v>1</v>
      </c>
      <c r="J1065" s="158">
        <v>2</v>
      </c>
      <c r="K1065" s="158">
        <v>0</v>
      </c>
      <c r="L1065" s="159">
        <v>2</v>
      </c>
      <c r="M1065" s="154">
        <f t="shared" si="257"/>
        <v>8</v>
      </c>
      <c r="N1065" s="155">
        <f t="shared" si="258"/>
        <v>12</v>
      </c>
      <c r="O1065" s="168">
        <f>M1065/30</f>
        <v>0.26666666666666666</v>
      </c>
      <c r="P1065" s="157">
        <f>N1065/30</f>
        <v>0.4</v>
      </c>
    </row>
    <row r="1066" spans="1:16" ht="13.5" customHeight="1">
      <c r="A1066" s="474"/>
      <c r="B1066" s="127">
        <v>7</v>
      </c>
      <c r="C1066" s="158">
        <v>6</v>
      </c>
      <c r="D1066" s="158">
        <v>6</v>
      </c>
      <c r="E1066" s="158">
        <v>0</v>
      </c>
      <c r="F1066" s="158">
        <v>0</v>
      </c>
      <c r="G1066" s="158">
        <v>0</v>
      </c>
      <c r="H1066" s="158">
        <v>0</v>
      </c>
      <c r="I1066" s="158">
        <v>0</v>
      </c>
      <c r="J1066" s="158">
        <v>0</v>
      </c>
      <c r="K1066" s="158">
        <v>1</v>
      </c>
      <c r="L1066" s="158">
        <v>0</v>
      </c>
      <c r="M1066" s="154">
        <f t="shared" si="257"/>
        <v>7</v>
      </c>
      <c r="N1066" s="155">
        <f t="shared" si="258"/>
        <v>6</v>
      </c>
      <c r="O1066" s="168">
        <f t="shared" ref="O1066:O1067" si="265">M1066/31</f>
        <v>0.22580645161290322</v>
      </c>
      <c r="P1066" s="157">
        <f t="shared" ref="P1066:P1067" si="266">N1066/31</f>
        <v>0.19354838709677419</v>
      </c>
    </row>
    <row r="1067" spans="1:16" ht="13.5" customHeight="1">
      <c r="A1067" s="474"/>
      <c r="B1067" s="127">
        <v>8</v>
      </c>
      <c r="C1067" s="158">
        <v>7</v>
      </c>
      <c r="D1067" s="158">
        <v>8</v>
      </c>
      <c r="E1067" s="158">
        <v>1</v>
      </c>
      <c r="F1067" s="158">
        <v>1</v>
      </c>
      <c r="G1067" s="158">
        <v>0</v>
      </c>
      <c r="H1067" s="158">
        <v>2</v>
      </c>
      <c r="I1067" s="158">
        <v>0</v>
      </c>
      <c r="J1067" s="158">
        <v>0</v>
      </c>
      <c r="K1067" s="158">
        <v>0</v>
      </c>
      <c r="L1067" s="159">
        <v>1</v>
      </c>
      <c r="M1067" s="177">
        <f t="shared" si="257"/>
        <v>8</v>
      </c>
      <c r="N1067" s="158">
        <f t="shared" si="258"/>
        <v>12</v>
      </c>
      <c r="O1067" s="168">
        <f t="shared" si="265"/>
        <v>0.25806451612903225</v>
      </c>
      <c r="P1067" s="157">
        <f t="shared" si="266"/>
        <v>0.38709677419354838</v>
      </c>
    </row>
    <row r="1068" spans="1:16" ht="13.5" customHeight="1">
      <c r="A1068" s="474"/>
      <c r="B1068" s="127">
        <v>9</v>
      </c>
      <c r="C1068" s="147">
        <v>6</v>
      </c>
      <c r="D1068" s="147">
        <v>6</v>
      </c>
      <c r="E1068" s="147">
        <v>0</v>
      </c>
      <c r="F1068" s="147">
        <v>0</v>
      </c>
      <c r="G1068" s="147">
        <v>0</v>
      </c>
      <c r="H1068" s="147">
        <v>0</v>
      </c>
      <c r="I1068" s="147">
        <v>0</v>
      </c>
      <c r="J1068" s="147">
        <v>0</v>
      </c>
      <c r="K1068" s="147">
        <v>0</v>
      </c>
      <c r="L1068" s="148">
        <v>0</v>
      </c>
      <c r="M1068" s="177">
        <v>6</v>
      </c>
      <c r="N1068" s="158">
        <v>6</v>
      </c>
      <c r="O1068" s="168">
        <v>0.19354838709677419</v>
      </c>
      <c r="P1068" s="157">
        <v>0.19354838709677419</v>
      </c>
    </row>
    <row r="1069" spans="1:16" ht="13.5" customHeight="1">
      <c r="A1069" s="474"/>
      <c r="B1069" s="127">
        <v>10</v>
      </c>
      <c r="C1069" s="147">
        <v>9</v>
      </c>
      <c r="D1069" s="147">
        <v>7</v>
      </c>
      <c r="E1069" s="147">
        <v>0</v>
      </c>
      <c r="F1069" s="181">
        <v>0</v>
      </c>
      <c r="G1069" s="147">
        <v>1</v>
      </c>
      <c r="H1069" s="147">
        <v>0</v>
      </c>
      <c r="I1069" s="147">
        <v>2</v>
      </c>
      <c r="J1069" s="147">
        <v>2</v>
      </c>
      <c r="K1069" s="147">
        <v>3</v>
      </c>
      <c r="L1069" s="148">
        <v>7</v>
      </c>
      <c r="M1069" s="154">
        <f t="shared" ref="M1069:M1071" si="267">+C1069+E1069+G1069+I1069+K1069</f>
        <v>15</v>
      </c>
      <c r="N1069" s="155">
        <f t="shared" ref="N1069:N1071" si="268">+D1069+F1069+H1069+J1069+L1069</f>
        <v>16</v>
      </c>
      <c r="O1069" s="168">
        <f t="shared" ref="O1069:O1071" si="269">M1069/31</f>
        <v>0.4838709677419355</v>
      </c>
      <c r="P1069" s="157">
        <f t="shared" ref="P1069:P1071" si="270">N1069/31</f>
        <v>0.5161290322580645</v>
      </c>
    </row>
    <row r="1070" spans="1:16" ht="13.5" customHeight="1">
      <c r="A1070" s="474"/>
      <c r="B1070" s="127">
        <v>11</v>
      </c>
      <c r="C1070" s="367">
        <v>7</v>
      </c>
      <c r="D1070" s="367">
        <v>13</v>
      </c>
      <c r="E1070" s="367">
        <v>1</v>
      </c>
      <c r="F1070" s="367">
        <v>1</v>
      </c>
      <c r="G1070" s="367">
        <v>3</v>
      </c>
      <c r="H1070" s="367">
        <v>5</v>
      </c>
      <c r="I1070" s="367">
        <v>3</v>
      </c>
      <c r="J1070" s="367">
        <v>2</v>
      </c>
      <c r="K1070" s="367">
        <v>2</v>
      </c>
      <c r="L1070" s="368">
        <v>10</v>
      </c>
      <c r="M1070" s="154">
        <f t="shared" si="267"/>
        <v>16</v>
      </c>
      <c r="N1070" s="155">
        <f t="shared" si="268"/>
        <v>31</v>
      </c>
      <c r="O1070" s="168">
        <f t="shared" si="269"/>
        <v>0.5161290322580645</v>
      </c>
      <c r="P1070" s="157">
        <f t="shared" si="270"/>
        <v>1</v>
      </c>
    </row>
    <row r="1071" spans="1:16" ht="13.5" customHeight="1" thickBot="1">
      <c r="A1071" s="475"/>
      <c r="B1071" s="127">
        <v>12</v>
      </c>
      <c r="C1071" s="374">
        <v>7</v>
      </c>
      <c r="D1071" s="374">
        <v>14</v>
      </c>
      <c r="E1071" s="374">
        <v>0</v>
      </c>
      <c r="F1071" s="374">
        <v>0</v>
      </c>
      <c r="G1071" s="374">
        <v>2</v>
      </c>
      <c r="H1071" s="374">
        <v>2</v>
      </c>
      <c r="I1071" s="374">
        <v>0</v>
      </c>
      <c r="J1071" s="374">
        <v>1</v>
      </c>
      <c r="K1071" s="374">
        <v>3</v>
      </c>
      <c r="L1071" s="375">
        <v>4</v>
      </c>
      <c r="M1071" s="154">
        <f t="shared" si="267"/>
        <v>12</v>
      </c>
      <c r="N1071" s="155">
        <f t="shared" si="268"/>
        <v>21</v>
      </c>
      <c r="O1071" s="168">
        <f t="shared" si="269"/>
        <v>0.38709677419354838</v>
      </c>
      <c r="P1071" s="157">
        <f t="shared" si="270"/>
        <v>0.67741935483870963</v>
      </c>
    </row>
    <row r="1072" spans="1:16" ht="13.5" customHeight="1">
      <c r="A1072" s="473">
        <v>2020</v>
      </c>
      <c r="B1072" s="410">
        <v>1</v>
      </c>
      <c r="C1072" s="434">
        <v>20</v>
      </c>
      <c r="D1072" s="434">
        <v>5</v>
      </c>
      <c r="E1072" s="434">
        <v>0</v>
      </c>
      <c r="F1072" s="435">
        <v>0</v>
      </c>
      <c r="G1072" s="434">
        <v>0</v>
      </c>
      <c r="H1072" s="434">
        <v>0</v>
      </c>
      <c r="I1072" s="434">
        <v>1</v>
      </c>
      <c r="J1072" s="434">
        <v>1</v>
      </c>
      <c r="K1072" s="434">
        <v>8</v>
      </c>
      <c r="L1072" s="436">
        <v>12</v>
      </c>
      <c r="M1072" s="424">
        <f t="shared" ref="M1072:M1083" si="271">+C1072+E1072+G1072+I1072+K1072</f>
        <v>29</v>
      </c>
      <c r="N1072" s="425">
        <f t="shared" ref="N1072:N1083" si="272">+D1072+F1072+H1072+J1072+L1072</f>
        <v>18</v>
      </c>
      <c r="O1072" s="430">
        <f t="shared" si="262"/>
        <v>0.93548387096774188</v>
      </c>
      <c r="P1072" s="427">
        <f t="shared" si="262"/>
        <v>0.58064516129032262</v>
      </c>
    </row>
    <row r="1073" spans="1:16" ht="13.5" customHeight="1">
      <c r="A1073" s="474"/>
      <c r="B1073" s="127">
        <v>2</v>
      </c>
      <c r="C1073" s="147">
        <v>3</v>
      </c>
      <c r="D1073" s="147">
        <v>31</v>
      </c>
      <c r="E1073" s="147">
        <v>0</v>
      </c>
      <c r="F1073" s="181">
        <v>0</v>
      </c>
      <c r="G1073" s="147">
        <v>1</v>
      </c>
      <c r="H1073" s="147">
        <v>3</v>
      </c>
      <c r="I1073" s="147">
        <v>0</v>
      </c>
      <c r="J1073" s="147">
        <v>0</v>
      </c>
      <c r="K1073" s="147">
        <v>2</v>
      </c>
      <c r="L1073" s="148">
        <v>8</v>
      </c>
      <c r="M1073" s="154">
        <f t="shared" si="271"/>
        <v>6</v>
      </c>
      <c r="N1073" s="155">
        <f t="shared" si="272"/>
        <v>42</v>
      </c>
      <c r="O1073" s="168">
        <f t="shared" si="262"/>
        <v>0.19354838709677419</v>
      </c>
      <c r="P1073" s="157">
        <f t="shared" si="262"/>
        <v>1.3548387096774193</v>
      </c>
    </row>
    <row r="1074" spans="1:16" ht="13.5" customHeight="1">
      <c r="A1074" s="474"/>
      <c r="B1074" s="127">
        <v>3</v>
      </c>
      <c r="C1074" s="147">
        <v>1</v>
      </c>
      <c r="D1074" s="147">
        <v>2</v>
      </c>
      <c r="E1074" s="147">
        <v>0</v>
      </c>
      <c r="F1074" s="181">
        <v>0</v>
      </c>
      <c r="G1074" s="147">
        <v>0</v>
      </c>
      <c r="H1074" s="147">
        <v>0</v>
      </c>
      <c r="I1074" s="147">
        <v>0</v>
      </c>
      <c r="J1074" s="147">
        <v>0</v>
      </c>
      <c r="K1074" s="147">
        <v>0</v>
      </c>
      <c r="L1074" s="148">
        <v>4</v>
      </c>
      <c r="M1074" s="154">
        <f t="shared" si="271"/>
        <v>1</v>
      </c>
      <c r="N1074" s="155">
        <f t="shared" si="272"/>
        <v>6</v>
      </c>
      <c r="O1074" s="168">
        <f t="shared" si="262"/>
        <v>3.2258064516129031E-2</v>
      </c>
      <c r="P1074" s="157">
        <f t="shared" si="262"/>
        <v>0.19354838709677419</v>
      </c>
    </row>
    <row r="1075" spans="1:16" ht="13.5" customHeight="1">
      <c r="A1075" s="474"/>
      <c r="B1075" s="127">
        <v>4</v>
      </c>
      <c r="C1075" s="147">
        <v>0</v>
      </c>
      <c r="D1075" s="147">
        <v>0</v>
      </c>
      <c r="E1075" s="147">
        <v>0</v>
      </c>
      <c r="F1075" s="181">
        <v>0</v>
      </c>
      <c r="G1075" s="147">
        <v>0</v>
      </c>
      <c r="H1075" s="147">
        <v>0</v>
      </c>
      <c r="I1075" s="147">
        <v>0</v>
      </c>
      <c r="J1075" s="147">
        <v>0</v>
      </c>
      <c r="K1075" s="147">
        <v>0</v>
      </c>
      <c r="L1075" s="148">
        <v>0</v>
      </c>
      <c r="M1075" s="154">
        <f t="shared" si="271"/>
        <v>0</v>
      </c>
      <c r="N1075" s="155">
        <f t="shared" si="272"/>
        <v>0</v>
      </c>
      <c r="O1075" s="168">
        <f t="shared" si="262"/>
        <v>0</v>
      </c>
      <c r="P1075" s="157">
        <f t="shared" si="262"/>
        <v>0</v>
      </c>
    </row>
    <row r="1076" spans="1:16" ht="13.5" customHeight="1">
      <c r="A1076" s="474"/>
      <c r="B1076" s="127">
        <v>5</v>
      </c>
      <c r="C1076" s="147">
        <v>2</v>
      </c>
      <c r="D1076" s="147">
        <v>1</v>
      </c>
      <c r="E1076" s="147">
        <v>0</v>
      </c>
      <c r="F1076" s="181">
        <v>0</v>
      </c>
      <c r="G1076" s="147">
        <v>0</v>
      </c>
      <c r="H1076" s="147">
        <v>0</v>
      </c>
      <c r="I1076" s="147">
        <v>0</v>
      </c>
      <c r="J1076" s="147">
        <v>0</v>
      </c>
      <c r="K1076" s="147">
        <v>0</v>
      </c>
      <c r="L1076" s="148">
        <v>0</v>
      </c>
      <c r="M1076" s="154">
        <f t="shared" si="271"/>
        <v>2</v>
      </c>
      <c r="N1076" s="155">
        <f t="shared" si="272"/>
        <v>1</v>
      </c>
      <c r="O1076" s="168">
        <f t="shared" si="262"/>
        <v>6.4516129032258063E-2</v>
      </c>
      <c r="P1076" s="157">
        <f t="shared" si="262"/>
        <v>3.2258064516129031E-2</v>
      </c>
    </row>
    <row r="1077" spans="1:16" ht="13.5" customHeight="1">
      <c r="A1077" s="474"/>
      <c r="B1077" s="127">
        <v>6</v>
      </c>
      <c r="C1077" s="147">
        <f>集計用!C68</f>
        <v>0</v>
      </c>
      <c r="D1077" s="147">
        <f>集計用!S68</f>
        <v>1</v>
      </c>
      <c r="E1077" s="147">
        <f>集計用!E68</f>
        <v>0</v>
      </c>
      <c r="F1077" s="181">
        <f>集計用!U68</f>
        <v>0</v>
      </c>
      <c r="G1077" s="147">
        <f>集計用!G68</f>
        <v>0</v>
      </c>
      <c r="H1077" s="147">
        <f>集計用!W68</f>
        <v>0</v>
      </c>
      <c r="I1077" s="147">
        <f>集計用!I68</f>
        <v>0</v>
      </c>
      <c r="J1077" s="147">
        <f>集計用!Y68</f>
        <v>0</v>
      </c>
      <c r="K1077" s="147">
        <f>集計用!K68</f>
        <v>0</v>
      </c>
      <c r="L1077" s="148">
        <f>集計用!AA68</f>
        <v>0</v>
      </c>
      <c r="M1077" s="154">
        <f t="shared" si="271"/>
        <v>0</v>
      </c>
      <c r="N1077" s="155">
        <f t="shared" si="272"/>
        <v>1</v>
      </c>
      <c r="O1077" s="168">
        <f>M1077/30</f>
        <v>0</v>
      </c>
      <c r="P1077" s="157">
        <f>N1077/30</f>
        <v>3.3333333333333333E-2</v>
      </c>
    </row>
    <row r="1078" spans="1:16" ht="13.5" customHeight="1">
      <c r="A1078" s="474"/>
      <c r="B1078" s="127">
        <v>7</v>
      </c>
      <c r="C1078" s="158"/>
      <c r="D1078" s="158"/>
      <c r="E1078" s="158"/>
      <c r="F1078" s="158"/>
      <c r="G1078" s="158"/>
      <c r="H1078" s="158"/>
      <c r="I1078" s="158"/>
      <c r="J1078" s="158"/>
      <c r="K1078" s="158"/>
      <c r="L1078" s="158"/>
      <c r="M1078" s="154">
        <f t="shared" si="271"/>
        <v>0</v>
      </c>
      <c r="N1078" s="155">
        <f t="shared" si="272"/>
        <v>0</v>
      </c>
      <c r="O1078" s="168">
        <f t="shared" ref="O1078:O1083" si="273">M1078/31</f>
        <v>0</v>
      </c>
      <c r="P1078" s="157">
        <f t="shared" ref="P1078:P1083" si="274">N1078/31</f>
        <v>0</v>
      </c>
    </row>
    <row r="1079" spans="1:16" ht="13.5" customHeight="1">
      <c r="A1079" s="474"/>
      <c r="B1079" s="127">
        <v>8</v>
      </c>
      <c r="C1079" s="158"/>
      <c r="D1079" s="158"/>
      <c r="E1079" s="158"/>
      <c r="F1079" s="158"/>
      <c r="G1079" s="158"/>
      <c r="H1079" s="158"/>
      <c r="I1079" s="158"/>
      <c r="J1079" s="158"/>
      <c r="K1079" s="158"/>
      <c r="L1079" s="159"/>
      <c r="M1079" s="177">
        <f t="shared" si="271"/>
        <v>0</v>
      </c>
      <c r="N1079" s="158">
        <f t="shared" si="272"/>
        <v>0</v>
      </c>
      <c r="O1079" s="168">
        <f t="shared" si="273"/>
        <v>0</v>
      </c>
      <c r="P1079" s="157">
        <f t="shared" si="274"/>
        <v>0</v>
      </c>
    </row>
    <row r="1080" spans="1:16" ht="13.5" customHeight="1">
      <c r="A1080" s="474"/>
      <c r="B1080" s="127">
        <v>9</v>
      </c>
      <c r="C1080" s="147"/>
      <c r="D1080" s="147"/>
      <c r="E1080" s="147"/>
      <c r="F1080" s="147"/>
      <c r="G1080" s="147"/>
      <c r="H1080" s="147"/>
      <c r="I1080" s="147"/>
      <c r="J1080" s="147"/>
      <c r="K1080" s="147"/>
      <c r="L1080" s="148"/>
      <c r="M1080" s="177">
        <f t="shared" ref="M1080" si="275">+C1080+E1080+G1080+I1080+K1080</f>
        <v>0</v>
      </c>
      <c r="N1080" s="158">
        <f t="shared" ref="N1080" si="276">+D1080+F1080+H1080+J1080+L1080</f>
        <v>0</v>
      </c>
      <c r="O1080" s="168">
        <f>M1080/30</f>
        <v>0</v>
      </c>
      <c r="P1080" s="157">
        <f>N1080/30</f>
        <v>0</v>
      </c>
    </row>
    <row r="1081" spans="1:16" ht="13.5" customHeight="1">
      <c r="A1081" s="474"/>
      <c r="B1081" s="127">
        <v>10</v>
      </c>
      <c r="C1081" s="147"/>
      <c r="D1081" s="147"/>
      <c r="E1081" s="147"/>
      <c r="F1081" s="181"/>
      <c r="G1081" s="147"/>
      <c r="H1081" s="147"/>
      <c r="I1081" s="147"/>
      <c r="J1081" s="147"/>
      <c r="K1081" s="147"/>
      <c r="L1081" s="148"/>
      <c r="M1081" s="154">
        <f t="shared" ref="M1081" si="277">+C1081+E1081+G1081+I1081+K1081</f>
        <v>0</v>
      </c>
      <c r="N1081" s="155">
        <f t="shared" ref="N1081" si="278">+D1081+F1081+H1081+J1081+L1081</f>
        <v>0</v>
      </c>
      <c r="O1081" s="168">
        <f t="shared" ref="O1081" si="279">M1081/31</f>
        <v>0</v>
      </c>
      <c r="P1081" s="157">
        <f t="shared" ref="P1081" si="280">N1081/31</f>
        <v>0</v>
      </c>
    </row>
    <row r="1082" spans="1:16" ht="13.5" customHeight="1">
      <c r="A1082" s="474"/>
      <c r="B1082" s="127">
        <v>11</v>
      </c>
      <c r="C1082" s="367"/>
      <c r="D1082" s="367"/>
      <c r="E1082" s="367"/>
      <c r="F1082" s="367"/>
      <c r="G1082" s="367"/>
      <c r="H1082" s="367"/>
      <c r="I1082" s="367"/>
      <c r="J1082" s="367"/>
      <c r="K1082" s="367"/>
      <c r="L1082" s="368"/>
      <c r="M1082" s="154">
        <f t="shared" si="271"/>
        <v>0</v>
      </c>
      <c r="N1082" s="155">
        <f t="shared" si="272"/>
        <v>0</v>
      </c>
      <c r="O1082" s="168">
        <f t="shared" si="273"/>
        <v>0</v>
      </c>
      <c r="P1082" s="157">
        <f t="shared" si="274"/>
        <v>0</v>
      </c>
    </row>
    <row r="1083" spans="1:16" ht="13.5" customHeight="1" thickBot="1">
      <c r="A1083" s="475"/>
      <c r="B1083" s="127">
        <v>12</v>
      </c>
      <c r="C1083" s="187"/>
      <c r="D1083" s="187"/>
      <c r="E1083" s="187"/>
      <c r="F1083" s="188"/>
      <c r="G1083" s="187"/>
      <c r="H1083" s="187"/>
      <c r="I1083" s="187"/>
      <c r="J1083" s="187"/>
      <c r="K1083" s="187"/>
      <c r="L1083" s="189"/>
      <c r="M1083" s="154">
        <f t="shared" si="271"/>
        <v>0</v>
      </c>
      <c r="N1083" s="155">
        <f t="shared" si="272"/>
        <v>0</v>
      </c>
      <c r="O1083" s="168">
        <f t="shared" si="273"/>
        <v>0</v>
      </c>
      <c r="P1083" s="157">
        <f t="shared" si="274"/>
        <v>0</v>
      </c>
    </row>
    <row r="1084" spans="1:16" ht="18.75" customHeight="1" thickBot="1">
      <c r="A1084" s="180"/>
      <c r="B1084" s="160" t="s">
        <v>5</v>
      </c>
      <c r="C1084" s="161">
        <f>SUM(C1036:C1083)</f>
        <v>210</v>
      </c>
      <c r="D1084" s="161">
        <f t="shared" ref="D1084:K1084" si="281">SUM(D1036:D1083)</f>
        <v>302</v>
      </c>
      <c r="E1084" s="161">
        <f t="shared" si="281"/>
        <v>14</v>
      </c>
      <c r="F1084" s="161">
        <f t="shared" si="281"/>
        <v>14</v>
      </c>
      <c r="G1084" s="161">
        <f t="shared" si="281"/>
        <v>20</v>
      </c>
      <c r="H1084" s="161">
        <f t="shared" si="281"/>
        <v>33</v>
      </c>
      <c r="I1084" s="161">
        <f t="shared" si="281"/>
        <v>17</v>
      </c>
      <c r="J1084" s="161">
        <f t="shared" si="281"/>
        <v>29</v>
      </c>
      <c r="K1084" s="161">
        <f t="shared" si="281"/>
        <v>39</v>
      </c>
      <c r="L1084" s="161">
        <f>SUM(L1036:L1083)</f>
        <v>91</v>
      </c>
      <c r="M1084" s="162">
        <f>SUM(M1036:M1083)</f>
        <v>300</v>
      </c>
      <c r="N1084" s="161">
        <f>SUM(N1036:N1083)</f>
        <v>469</v>
      </c>
      <c r="O1084" s="161">
        <f>SUM(O1036:O1083)</f>
        <v>9.6935483870967722</v>
      </c>
      <c r="P1084" s="161">
        <f>SUM(P1036:P1083)</f>
        <v>15.156989247311827</v>
      </c>
    </row>
    <row r="1086" spans="1:16" ht="11.25" customHeight="1">
      <c r="B1086" s="467" t="s">
        <v>276</v>
      </c>
      <c r="C1086" s="469" t="s">
        <v>29</v>
      </c>
      <c r="D1086" s="470"/>
      <c r="E1086" s="469" t="s">
        <v>30</v>
      </c>
      <c r="F1086" s="470"/>
      <c r="G1086" s="469" t="s">
        <v>31</v>
      </c>
      <c r="H1086" s="470"/>
      <c r="I1086" s="469" t="s">
        <v>58</v>
      </c>
      <c r="J1086" s="470"/>
      <c r="K1086" s="469" t="s">
        <v>57</v>
      </c>
      <c r="L1086" s="471"/>
      <c r="M1086" s="470" t="s">
        <v>5</v>
      </c>
      <c r="N1086" s="472"/>
      <c r="O1086" s="472" t="s">
        <v>33</v>
      </c>
      <c r="P1086" s="472"/>
    </row>
    <row r="1087" spans="1:16" ht="11.25" customHeight="1" thickBot="1">
      <c r="B1087" s="468"/>
      <c r="C1087" s="13" t="s">
        <v>34</v>
      </c>
      <c r="D1087" s="13" t="s">
        <v>35</v>
      </c>
      <c r="E1087" s="13" t="s">
        <v>34</v>
      </c>
      <c r="F1087" s="13" t="s">
        <v>35</v>
      </c>
      <c r="G1087" s="13" t="s">
        <v>34</v>
      </c>
      <c r="H1087" s="13" t="s">
        <v>35</v>
      </c>
      <c r="I1087" s="13" t="s">
        <v>59</v>
      </c>
      <c r="J1087" s="13" t="s">
        <v>60</v>
      </c>
      <c r="K1087" s="13" t="s">
        <v>34</v>
      </c>
      <c r="L1087" s="14" t="s">
        <v>35</v>
      </c>
      <c r="M1087" s="15" t="s">
        <v>34</v>
      </c>
      <c r="N1087" s="13" t="s">
        <v>35</v>
      </c>
      <c r="O1087" s="163" t="s">
        <v>34</v>
      </c>
      <c r="P1087" s="163" t="s">
        <v>35</v>
      </c>
    </row>
    <row r="1088" spans="1:16" ht="13.5" customHeight="1">
      <c r="A1088" s="473">
        <v>2017</v>
      </c>
      <c r="B1088" s="410">
        <v>1</v>
      </c>
      <c r="C1088" s="422"/>
      <c r="D1088" s="422"/>
      <c r="E1088" s="422"/>
      <c r="F1088" s="422"/>
      <c r="G1088" s="422"/>
      <c r="H1088" s="422"/>
      <c r="I1088" s="422"/>
      <c r="J1088" s="422"/>
      <c r="K1088" s="422"/>
      <c r="L1088" s="432"/>
      <c r="M1088" s="424">
        <f t="shared" ref="M1088:M1119" si="282">+C1088+E1088+G1088+I1088+K1088</f>
        <v>0</v>
      </c>
      <c r="N1088" s="425">
        <f t="shared" ref="N1088:N1119" si="283">+D1088+F1088+H1088+J1088+L1088</f>
        <v>0</v>
      </c>
      <c r="O1088" s="430">
        <f t="shared" ref="O1088:P1092" si="284">M1088/31</f>
        <v>0</v>
      </c>
      <c r="P1088" s="427">
        <f t="shared" si="284"/>
        <v>0</v>
      </c>
    </row>
    <row r="1089" spans="1:16" ht="13.5" customHeight="1">
      <c r="A1089" s="474"/>
      <c r="B1089" s="127">
        <v>2</v>
      </c>
      <c r="C1089" s="147"/>
      <c r="D1089" s="147"/>
      <c r="E1089" s="147"/>
      <c r="F1089" s="147"/>
      <c r="G1089" s="147"/>
      <c r="H1089" s="147"/>
      <c r="I1089" s="147"/>
      <c r="J1089" s="147"/>
      <c r="K1089" s="147"/>
      <c r="L1089" s="174"/>
      <c r="M1089" s="149">
        <f t="shared" si="282"/>
        <v>0</v>
      </c>
      <c r="N1089" s="150">
        <f t="shared" si="283"/>
        <v>0</v>
      </c>
      <c r="O1089" s="167">
        <f t="shared" si="284"/>
        <v>0</v>
      </c>
      <c r="P1089" s="152">
        <f t="shared" si="284"/>
        <v>0</v>
      </c>
    </row>
    <row r="1090" spans="1:16" ht="13.5" customHeight="1">
      <c r="A1090" s="474"/>
      <c r="B1090" s="127">
        <v>3</v>
      </c>
      <c r="C1090" s="147"/>
      <c r="D1090" s="147"/>
      <c r="E1090" s="147"/>
      <c r="F1090" s="147"/>
      <c r="G1090" s="147"/>
      <c r="H1090" s="147"/>
      <c r="I1090" s="147"/>
      <c r="J1090" s="147"/>
      <c r="K1090" s="147"/>
      <c r="L1090" s="174"/>
      <c r="M1090" s="149">
        <f t="shared" si="282"/>
        <v>0</v>
      </c>
      <c r="N1090" s="150">
        <f t="shared" si="283"/>
        <v>0</v>
      </c>
      <c r="O1090" s="167">
        <f t="shared" si="284"/>
        <v>0</v>
      </c>
      <c r="P1090" s="152">
        <f t="shared" si="284"/>
        <v>0</v>
      </c>
    </row>
    <row r="1091" spans="1:16" ht="13.5" customHeight="1">
      <c r="A1091" s="474"/>
      <c r="B1091" s="127">
        <v>4</v>
      </c>
      <c r="C1091" s="158"/>
      <c r="D1091" s="158"/>
      <c r="E1091" s="158"/>
      <c r="F1091" s="158"/>
      <c r="G1091" s="158"/>
      <c r="H1091" s="158"/>
      <c r="I1091" s="158"/>
      <c r="J1091" s="158"/>
      <c r="K1091" s="158"/>
      <c r="L1091" s="159"/>
      <c r="M1091" s="154">
        <f t="shared" si="282"/>
        <v>0</v>
      </c>
      <c r="N1091" s="155">
        <f t="shared" si="283"/>
        <v>0</v>
      </c>
      <c r="O1091" s="168">
        <f t="shared" si="284"/>
        <v>0</v>
      </c>
      <c r="P1091" s="157">
        <f t="shared" si="284"/>
        <v>0</v>
      </c>
    </row>
    <row r="1092" spans="1:16" ht="13.5" customHeight="1">
      <c r="A1092" s="474"/>
      <c r="B1092" s="127">
        <v>5</v>
      </c>
      <c r="C1092" s="158"/>
      <c r="D1092" s="158"/>
      <c r="E1092" s="158"/>
      <c r="F1092" s="158"/>
      <c r="G1092" s="158"/>
      <c r="H1092" s="158"/>
      <c r="I1092" s="158"/>
      <c r="J1092" s="158"/>
      <c r="K1092" s="158"/>
      <c r="L1092" s="159"/>
      <c r="M1092" s="154">
        <f t="shared" si="282"/>
        <v>0</v>
      </c>
      <c r="N1092" s="155">
        <f t="shared" si="283"/>
        <v>0</v>
      </c>
      <c r="O1092" s="168">
        <f t="shared" si="284"/>
        <v>0</v>
      </c>
      <c r="P1092" s="157">
        <f t="shared" si="284"/>
        <v>0</v>
      </c>
    </row>
    <row r="1093" spans="1:16" ht="13.5" customHeight="1">
      <c r="A1093" s="474"/>
      <c r="B1093" s="127">
        <v>6</v>
      </c>
      <c r="C1093" s="158"/>
      <c r="D1093" s="158"/>
      <c r="E1093" s="158"/>
      <c r="F1093" s="158"/>
      <c r="G1093" s="158"/>
      <c r="H1093" s="158"/>
      <c r="I1093" s="158"/>
      <c r="J1093" s="158"/>
      <c r="K1093" s="158"/>
      <c r="L1093" s="158"/>
      <c r="M1093" s="154">
        <f t="shared" si="282"/>
        <v>0</v>
      </c>
      <c r="N1093" s="155">
        <f t="shared" si="283"/>
        <v>0</v>
      </c>
      <c r="O1093" s="168">
        <f>M1093/30</f>
        <v>0</v>
      </c>
      <c r="P1093" s="157">
        <f>N1093/30</f>
        <v>0</v>
      </c>
    </row>
    <row r="1094" spans="1:16" ht="13.5" customHeight="1">
      <c r="A1094" s="474"/>
      <c r="B1094" s="127">
        <v>7</v>
      </c>
      <c r="C1094" s="158">
        <v>3</v>
      </c>
      <c r="D1094" s="158">
        <v>5</v>
      </c>
      <c r="E1094" s="158">
        <v>0</v>
      </c>
      <c r="F1094" s="158">
        <v>0</v>
      </c>
      <c r="G1094" s="158">
        <v>0</v>
      </c>
      <c r="H1094" s="158">
        <v>0</v>
      </c>
      <c r="I1094" s="158">
        <v>0</v>
      </c>
      <c r="J1094" s="158">
        <v>0</v>
      </c>
      <c r="K1094" s="158">
        <v>0</v>
      </c>
      <c r="L1094" s="158">
        <v>0</v>
      </c>
      <c r="M1094" s="154">
        <f t="shared" si="282"/>
        <v>3</v>
      </c>
      <c r="N1094" s="155">
        <f t="shared" si="283"/>
        <v>5</v>
      </c>
      <c r="O1094" s="168">
        <f t="shared" ref="O1094:O1104" si="285">M1094/31</f>
        <v>9.6774193548387094E-2</v>
      </c>
      <c r="P1094" s="157">
        <f t="shared" ref="P1094:P1104" si="286">N1094/31</f>
        <v>0.16129032258064516</v>
      </c>
    </row>
    <row r="1095" spans="1:16" ht="13.5" customHeight="1">
      <c r="A1095" s="474"/>
      <c r="B1095" s="127">
        <v>8</v>
      </c>
      <c r="C1095" s="158">
        <v>2</v>
      </c>
      <c r="D1095" s="158">
        <v>3</v>
      </c>
      <c r="E1095" s="158">
        <v>0</v>
      </c>
      <c r="F1095" s="158">
        <v>0</v>
      </c>
      <c r="G1095" s="158">
        <v>0</v>
      </c>
      <c r="H1095" s="158">
        <v>0</v>
      </c>
      <c r="I1095" s="158">
        <v>0</v>
      </c>
      <c r="J1095" s="158">
        <v>0</v>
      </c>
      <c r="K1095" s="158">
        <v>0</v>
      </c>
      <c r="L1095" s="159">
        <v>0</v>
      </c>
      <c r="M1095" s="177">
        <f t="shared" si="282"/>
        <v>2</v>
      </c>
      <c r="N1095" s="158">
        <f t="shared" si="283"/>
        <v>3</v>
      </c>
      <c r="O1095" s="168">
        <f t="shared" si="285"/>
        <v>6.4516129032258063E-2</v>
      </c>
      <c r="P1095" s="157">
        <f t="shared" si="286"/>
        <v>9.6774193548387094E-2</v>
      </c>
    </row>
    <row r="1096" spans="1:16" ht="13.5" customHeight="1">
      <c r="A1096" s="474"/>
      <c r="B1096" s="127">
        <v>9</v>
      </c>
      <c r="C1096" s="147">
        <v>1</v>
      </c>
      <c r="D1096" s="147">
        <v>0</v>
      </c>
      <c r="E1096" s="147">
        <v>0</v>
      </c>
      <c r="F1096" s="147">
        <v>0</v>
      </c>
      <c r="G1096" s="147">
        <v>3</v>
      </c>
      <c r="H1096" s="147">
        <v>2</v>
      </c>
      <c r="I1096" s="147">
        <v>0</v>
      </c>
      <c r="J1096" s="147">
        <v>0</v>
      </c>
      <c r="K1096" s="147">
        <v>0</v>
      </c>
      <c r="L1096" s="148">
        <v>0</v>
      </c>
      <c r="M1096" s="177">
        <f t="shared" si="282"/>
        <v>4</v>
      </c>
      <c r="N1096" s="158">
        <f t="shared" si="283"/>
        <v>2</v>
      </c>
      <c r="O1096" s="168">
        <f t="shared" si="285"/>
        <v>0.12903225806451613</v>
      </c>
      <c r="P1096" s="157">
        <f t="shared" si="286"/>
        <v>6.4516129032258063E-2</v>
      </c>
    </row>
    <row r="1097" spans="1:16" ht="13.5" customHeight="1">
      <c r="A1097" s="474"/>
      <c r="B1097" s="127">
        <v>10</v>
      </c>
      <c r="C1097" s="147">
        <v>3</v>
      </c>
      <c r="D1097" s="147">
        <v>10</v>
      </c>
      <c r="E1097" s="147">
        <v>0</v>
      </c>
      <c r="F1097" s="181">
        <v>0</v>
      </c>
      <c r="G1097" s="147">
        <v>1</v>
      </c>
      <c r="H1097" s="147">
        <v>2</v>
      </c>
      <c r="I1097" s="147">
        <v>0</v>
      </c>
      <c r="J1097" s="147">
        <v>0</v>
      </c>
      <c r="K1097" s="147">
        <v>0</v>
      </c>
      <c r="L1097" s="148">
        <v>0</v>
      </c>
      <c r="M1097" s="154">
        <f t="shared" si="282"/>
        <v>4</v>
      </c>
      <c r="N1097" s="155">
        <f t="shared" si="283"/>
        <v>12</v>
      </c>
      <c r="O1097" s="168">
        <f t="shared" si="285"/>
        <v>0.12903225806451613</v>
      </c>
      <c r="P1097" s="157">
        <f t="shared" si="286"/>
        <v>0.38709677419354838</v>
      </c>
    </row>
    <row r="1098" spans="1:16" ht="13.5" customHeight="1">
      <c r="A1098" s="474"/>
      <c r="B1098" s="127">
        <v>11</v>
      </c>
      <c r="C1098" s="367">
        <v>2</v>
      </c>
      <c r="D1098" s="367">
        <v>1</v>
      </c>
      <c r="E1098" s="367">
        <v>0</v>
      </c>
      <c r="F1098" s="367">
        <v>0</v>
      </c>
      <c r="G1098" s="367">
        <v>1</v>
      </c>
      <c r="H1098" s="367">
        <v>3</v>
      </c>
      <c r="I1098" s="367">
        <v>0</v>
      </c>
      <c r="J1098" s="367">
        <v>0</v>
      </c>
      <c r="K1098" s="367">
        <v>0</v>
      </c>
      <c r="L1098" s="368">
        <v>0</v>
      </c>
      <c r="M1098" s="154">
        <f t="shared" si="282"/>
        <v>3</v>
      </c>
      <c r="N1098" s="155">
        <f t="shared" si="283"/>
        <v>4</v>
      </c>
      <c r="O1098" s="168">
        <f t="shared" si="285"/>
        <v>9.6774193548387094E-2</v>
      </c>
      <c r="P1098" s="157">
        <f t="shared" si="286"/>
        <v>0.12903225806451613</v>
      </c>
    </row>
    <row r="1099" spans="1:16" ht="13.5" customHeight="1" thickBot="1">
      <c r="A1099" s="475"/>
      <c r="B1099" s="127">
        <v>12</v>
      </c>
      <c r="C1099" s="187">
        <v>9</v>
      </c>
      <c r="D1099" s="187">
        <v>10</v>
      </c>
      <c r="E1099" s="187">
        <v>0</v>
      </c>
      <c r="F1099" s="188">
        <v>0</v>
      </c>
      <c r="G1099" s="187">
        <v>0</v>
      </c>
      <c r="H1099" s="187">
        <v>0</v>
      </c>
      <c r="I1099" s="187">
        <v>0</v>
      </c>
      <c r="J1099" s="187">
        <v>0</v>
      </c>
      <c r="K1099" s="187">
        <v>0</v>
      </c>
      <c r="L1099" s="189">
        <v>0</v>
      </c>
      <c r="M1099" s="154">
        <f t="shared" si="282"/>
        <v>9</v>
      </c>
      <c r="N1099" s="155">
        <f t="shared" si="283"/>
        <v>10</v>
      </c>
      <c r="O1099" s="168">
        <f t="shared" si="285"/>
        <v>0.29032258064516131</v>
      </c>
      <c r="P1099" s="157">
        <f t="shared" si="286"/>
        <v>0.32258064516129031</v>
      </c>
    </row>
    <row r="1100" spans="1:16" ht="13.5" customHeight="1">
      <c r="A1100" s="473">
        <v>2018</v>
      </c>
      <c r="B1100" s="410">
        <v>1</v>
      </c>
      <c r="C1100" s="158">
        <v>9</v>
      </c>
      <c r="D1100" s="158">
        <v>12</v>
      </c>
      <c r="E1100" s="158">
        <v>0</v>
      </c>
      <c r="F1100" s="169">
        <v>0</v>
      </c>
      <c r="G1100" s="158">
        <v>0</v>
      </c>
      <c r="H1100" s="158">
        <v>0</v>
      </c>
      <c r="I1100" s="158">
        <v>0</v>
      </c>
      <c r="J1100" s="158">
        <v>0</v>
      </c>
      <c r="K1100" s="158">
        <v>0</v>
      </c>
      <c r="L1100" s="159">
        <v>0</v>
      </c>
      <c r="M1100" s="424">
        <f t="shared" si="282"/>
        <v>9</v>
      </c>
      <c r="N1100" s="425">
        <f t="shared" si="283"/>
        <v>12</v>
      </c>
      <c r="O1100" s="430">
        <f t="shared" si="285"/>
        <v>0.29032258064516131</v>
      </c>
      <c r="P1100" s="427">
        <f t="shared" si="286"/>
        <v>0.38709677419354838</v>
      </c>
    </row>
    <row r="1101" spans="1:16" ht="13.5" customHeight="1">
      <c r="A1101" s="474"/>
      <c r="B1101" s="127">
        <v>2</v>
      </c>
      <c r="C1101" s="158">
        <v>2</v>
      </c>
      <c r="D1101" s="158">
        <v>6</v>
      </c>
      <c r="E1101" s="158">
        <v>4</v>
      </c>
      <c r="F1101" s="169">
        <v>2</v>
      </c>
      <c r="G1101" s="158">
        <v>2</v>
      </c>
      <c r="H1101" s="158">
        <v>0</v>
      </c>
      <c r="I1101" s="158">
        <v>0</v>
      </c>
      <c r="J1101" s="158">
        <v>0</v>
      </c>
      <c r="K1101" s="158">
        <v>0</v>
      </c>
      <c r="L1101" s="159">
        <v>0</v>
      </c>
      <c r="M1101" s="154">
        <f t="shared" si="282"/>
        <v>8</v>
      </c>
      <c r="N1101" s="155">
        <f t="shared" si="283"/>
        <v>8</v>
      </c>
      <c r="O1101" s="168">
        <f t="shared" si="285"/>
        <v>0.25806451612903225</v>
      </c>
      <c r="P1101" s="157">
        <f t="shared" si="286"/>
        <v>0.25806451612903225</v>
      </c>
    </row>
    <row r="1102" spans="1:16" ht="13.5" customHeight="1">
      <c r="A1102" s="474"/>
      <c r="B1102" s="127">
        <v>3</v>
      </c>
      <c r="C1102" s="158">
        <v>12</v>
      </c>
      <c r="D1102" s="158">
        <v>9</v>
      </c>
      <c r="E1102" s="158">
        <v>8</v>
      </c>
      <c r="F1102" s="169">
        <v>18</v>
      </c>
      <c r="G1102" s="158">
        <v>0</v>
      </c>
      <c r="H1102" s="158">
        <v>2</v>
      </c>
      <c r="I1102" s="158">
        <v>0</v>
      </c>
      <c r="J1102" s="158">
        <v>0</v>
      </c>
      <c r="K1102" s="158">
        <v>0</v>
      </c>
      <c r="L1102" s="159">
        <v>0</v>
      </c>
      <c r="M1102" s="154">
        <f t="shared" si="282"/>
        <v>20</v>
      </c>
      <c r="N1102" s="155">
        <f t="shared" si="283"/>
        <v>29</v>
      </c>
      <c r="O1102" s="168">
        <f t="shared" si="285"/>
        <v>0.64516129032258063</v>
      </c>
      <c r="P1102" s="157">
        <f t="shared" si="286"/>
        <v>0.93548387096774188</v>
      </c>
    </row>
    <row r="1103" spans="1:16" ht="13.5" customHeight="1">
      <c r="A1103" s="474"/>
      <c r="B1103" s="127">
        <v>4</v>
      </c>
      <c r="C1103" s="158">
        <v>8</v>
      </c>
      <c r="D1103" s="158">
        <v>12</v>
      </c>
      <c r="E1103" s="158">
        <v>7</v>
      </c>
      <c r="F1103" s="169">
        <v>11</v>
      </c>
      <c r="G1103" s="158">
        <v>4</v>
      </c>
      <c r="H1103" s="158">
        <v>4</v>
      </c>
      <c r="I1103" s="158">
        <v>1</v>
      </c>
      <c r="J1103" s="158">
        <v>2</v>
      </c>
      <c r="K1103" s="158">
        <v>0</v>
      </c>
      <c r="L1103" s="159">
        <v>0</v>
      </c>
      <c r="M1103" s="154">
        <f t="shared" si="282"/>
        <v>20</v>
      </c>
      <c r="N1103" s="155">
        <f t="shared" si="283"/>
        <v>29</v>
      </c>
      <c r="O1103" s="168">
        <f t="shared" si="285"/>
        <v>0.64516129032258063</v>
      </c>
      <c r="P1103" s="157">
        <f t="shared" si="286"/>
        <v>0.93548387096774188</v>
      </c>
    </row>
    <row r="1104" spans="1:16" ht="13.5" customHeight="1">
      <c r="A1104" s="474"/>
      <c r="B1104" s="127">
        <v>5</v>
      </c>
      <c r="C1104" s="158">
        <v>9</v>
      </c>
      <c r="D1104" s="158">
        <v>21</v>
      </c>
      <c r="E1104" s="158">
        <v>4</v>
      </c>
      <c r="F1104" s="169">
        <v>8</v>
      </c>
      <c r="G1104" s="158">
        <v>4</v>
      </c>
      <c r="H1104" s="158">
        <v>8</v>
      </c>
      <c r="I1104" s="158">
        <v>0</v>
      </c>
      <c r="J1104" s="158">
        <v>0</v>
      </c>
      <c r="K1104" s="158">
        <v>2</v>
      </c>
      <c r="L1104" s="159">
        <v>0</v>
      </c>
      <c r="M1104" s="154">
        <f t="shared" si="282"/>
        <v>19</v>
      </c>
      <c r="N1104" s="155">
        <f t="shared" si="283"/>
        <v>37</v>
      </c>
      <c r="O1104" s="168">
        <f t="shared" si="285"/>
        <v>0.61290322580645162</v>
      </c>
      <c r="P1104" s="157">
        <f t="shared" si="286"/>
        <v>1.1935483870967742</v>
      </c>
    </row>
    <row r="1105" spans="1:16" ht="13.5" customHeight="1">
      <c r="A1105" s="474"/>
      <c r="B1105" s="127">
        <v>6</v>
      </c>
      <c r="C1105" s="158">
        <v>4</v>
      </c>
      <c r="D1105" s="158">
        <v>5</v>
      </c>
      <c r="E1105" s="158">
        <v>5</v>
      </c>
      <c r="F1105" s="169">
        <v>11</v>
      </c>
      <c r="G1105" s="158">
        <v>0</v>
      </c>
      <c r="H1105" s="158">
        <v>0</v>
      </c>
      <c r="I1105" s="158">
        <v>0</v>
      </c>
      <c r="J1105" s="158">
        <v>0</v>
      </c>
      <c r="K1105" s="158">
        <v>0</v>
      </c>
      <c r="L1105" s="159">
        <v>2</v>
      </c>
      <c r="M1105" s="154">
        <f t="shared" si="282"/>
        <v>9</v>
      </c>
      <c r="N1105" s="155">
        <f t="shared" si="283"/>
        <v>18</v>
      </c>
      <c r="O1105" s="168">
        <f>M1105/30</f>
        <v>0.3</v>
      </c>
      <c r="P1105" s="157">
        <f>N1105/30</f>
        <v>0.6</v>
      </c>
    </row>
    <row r="1106" spans="1:16" ht="13.5" customHeight="1">
      <c r="A1106" s="474"/>
      <c r="B1106" s="127">
        <v>7</v>
      </c>
      <c r="C1106" s="158">
        <v>8</v>
      </c>
      <c r="D1106" s="158">
        <v>7</v>
      </c>
      <c r="E1106" s="158">
        <v>11</v>
      </c>
      <c r="F1106" s="158">
        <v>11</v>
      </c>
      <c r="G1106" s="158">
        <v>0</v>
      </c>
      <c r="H1106" s="158">
        <v>0</v>
      </c>
      <c r="I1106" s="158">
        <v>0</v>
      </c>
      <c r="J1106" s="158">
        <v>0</v>
      </c>
      <c r="K1106" s="158">
        <v>0</v>
      </c>
      <c r="L1106" s="158">
        <v>0</v>
      </c>
      <c r="M1106" s="154">
        <f t="shared" si="282"/>
        <v>19</v>
      </c>
      <c r="N1106" s="155">
        <f t="shared" si="283"/>
        <v>18</v>
      </c>
      <c r="O1106" s="168">
        <f t="shared" ref="O1106:P1128" si="287">M1106/31</f>
        <v>0.61290322580645162</v>
      </c>
      <c r="P1106" s="157">
        <f t="shared" si="287"/>
        <v>0.58064516129032262</v>
      </c>
    </row>
    <row r="1107" spans="1:16" ht="13.5" customHeight="1">
      <c r="A1107" s="474"/>
      <c r="B1107" s="127">
        <v>8</v>
      </c>
      <c r="C1107" s="158">
        <v>6</v>
      </c>
      <c r="D1107" s="158">
        <v>7</v>
      </c>
      <c r="E1107" s="158">
        <v>6</v>
      </c>
      <c r="F1107" s="158">
        <v>14</v>
      </c>
      <c r="G1107" s="158">
        <v>5</v>
      </c>
      <c r="H1107" s="158">
        <v>5</v>
      </c>
      <c r="I1107" s="158">
        <v>0</v>
      </c>
      <c r="J1107" s="158">
        <v>0</v>
      </c>
      <c r="K1107" s="158">
        <v>1</v>
      </c>
      <c r="L1107" s="159">
        <v>2</v>
      </c>
      <c r="M1107" s="177">
        <f t="shared" si="282"/>
        <v>18</v>
      </c>
      <c r="N1107" s="158">
        <f t="shared" si="283"/>
        <v>28</v>
      </c>
      <c r="O1107" s="168">
        <f t="shared" si="287"/>
        <v>0.58064516129032262</v>
      </c>
      <c r="P1107" s="157">
        <f t="shared" si="287"/>
        <v>0.90322580645161288</v>
      </c>
    </row>
    <row r="1108" spans="1:16" ht="13.5" customHeight="1">
      <c r="A1108" s="474"/>
      <c r="B1108" s="127">
        <v>9</v>
      </c>
      <c r="C1108" s="147">
        <v>8</v>
      </c>
      <c r="D1108" s="147">
        <v>12</v>
      </c>
      <c r="E1108" s="147">
        <v>8</v>
      </c>
      <c r="F1108" s="147">
        <v>10</v>
      </c>
      <c r="G1108" s="147">
        <v>0</v>
      </c>
      <c r="H1108" s="147">
        <v>3</v>
      </c>
      <c r="I1108" s="147">
        <v>2</v>
      </c>
      <c r="J1108" s="147">
        <v>6</v>
      </c>
      <c r="K1108" s="147">
        <v>0</v>
      </c>
      <c r="L1108" s="148">
        <v>0</v>
      </c>
      <c r="M1108" s="177">
        <f t="shared" si="282"/>
        <v>18</v>
      </c>
      <c r="N1108" s="158">
        <f t="shared" si="283"/>
        <v>31</v>
      </c>
      <c r="O1108" s="168">
        <f t="shared" si="287"/>
        <v>0.58064516129032262</v>
      </c>
      <c r="P1108" s="157">
        <f t="shared" si="287"/>
        <v>1</v>
      </c>
    </row>
    <row r="1109" spans="1:16" ht="13.5" customHeight="1">
      <c r="A1109" s="474"/>
      <c r="B1109" s="127">
        <v>10</v>
      </c>
      <c r="C1109" s="147">
        <v>13</v>
      </c>
      <c r="D1109" s="147">
        <v>22</v>
      </c>
      <c r="E1109" s="147">
        <v>14</v>
      </c>
      <c r="F1109" s="181">
        <v>23</v>
      </c>
      <c r="G1109" s="147">
        <v>1</v>
      </c>
      <c r="H1109" s="147">
        <v>1</v>
      </c>
      <c r="I1109" s="147">
        <v>0</v>
      </c>
      <c r="J1109" s="147">
        <v>0</v>
      </c>
      <c r="K1109" s="147">
        <v>0</v>
      </c>
      <c r="L1109" s="148">
        <v>0</v>
      </c>
      <c r="M1109" s="154">
        <f t="shared" si="282"/>
        <v>28</v>
      </c>
      <c r="N1109" s="155">
        <f t="shared" si="283"/>
        <v>46</v>
      </c>
      <c r="O1109" s="168">
        <f t="shared" si="287"/>
        <v>0.90322580645161288</v>
      </c>
      <c r="P1109" s="157">
        <f t="shared" si="287"/>
        <v>1.4838709677419355</v>
      </c>
    </row>
    <row r="1110" spans="1:16" ht="13.5" customHeight="1">
      <c r="A1110" s="474"/>
      <c r="B1110" s="127">
        <v>11</v>
      </c>
      <c r="C1110" s="367">
        <v>6</v>
      </c>
      <c r="D1110" s="367">
        <v>8</v>
      </c>
      <c r="E1110" s="367">
        <v>5</v>
      </c>
      <c r="F1110" s="367">
        <v>10</v>
      </c>
      <c r="G1110" s="367">
        <v>2</v>
      </c>
      <c r="H1110" s="367">
        <v>4</v>
      </c>
      <c r="I1110" s="367">
        <v>0</v>
      </c>
      <c r="J1110" s="367">
        <v>0</v>
      </c>
      <c r="K1110" s="367">
        <v>0</v>
      </c>
      <c r="L1110" s="368">
        <v>0</v>
      </c>
      <c r="M1110" s="154">
        <f t="shared" si="282"/>
        <v>13</v>
      </c>
      <c r="N1110" s="155">
        <f t="shared" si="283"/>
        <v>22</v>
      </c>
      <c r="O1110" s="168">
        <f t="shared" si="287"/>
        <v>0.41935483870967744</v>
      </c>
      <c r="P1110" s="157">
        <f t="shared" si="287"/>
        <v>0.70967741935483875</v>
      </c>
    </row>
    <row r="1111" spans="1:16" ht="13.5" customHeight="1" thickBot="1">
      <c r="A1111" s="475"/>
      <c r="B1111" s="127">
        <v>12</v>
      </c>
      <c r="C1111" s="187">
        <v>9</v>
      </c>
      <c r="D1111" s="187">
        <v>10</v>
      </c>
      <c r="E1111" s="187">
        <v>14</v>
      </c>
      <c r="F1111" s="188">
        <v>10</v>
      </c>
      <c r="G1111" s="187">
        <v>5</v>
      </c>
      <c r="H1111" s="187">
        <v>2</v>
      </c>
      <c r="I1111" s="187">
        <v>2</v>
      </c>
      <c r="J1111" s="187">
        <v>2</v>
      </c>
      <c r="K1111" s="187">
        <v>0</v>
      </c>
      <c r="L1111" s="189">
        <v>0</v>
      </c>
      <c r="M1111" s="154">
        <f t="shared" si="282"/>
        <v>30</v>
      </c>
      <c r="N1111" s="155">
        <f t="shared" si="283"/>
        <v>24</v>
      </c>
      <c r="O1111" s="168">
        <f t="shared" si="287"/>
        <v>0.967741935483871</v>
      </c>
      <c r="P1111" s="157">
        <f t="shared" si="287"/>
        <v>0.77419354838709675</v>
      </c>
    </row>
    <row r="1112" spans="1:16" ht="13.5" customHeight="1">
      <c r="A1112" s="473">
        <v>2019</v>
      </c>
      <c r="B1112" s="410">
        <v>1</v>
      </c>
      <c r="C1112" s="158">
        <v>10</v>
      </c>
      <c r="D1112" s="158">
        <v>31</v>
      </c>
      <c r="E1112" s="158">
        <v>17</v>
      </c>
      <c r="F1112" s="169">
        <v>31</v>
      </c>
      <c r="G1112" s="158">
        <v>1</v>
      </c>
      <c r="H1112" s="158">
        <v>5</v>
      </c>
      <c r="I1112" s="158">
        <v>3</v>
      </c>
      <c r="J1112" s="158">
        <v>3</v>
      </c>
      <c r="K1112" s="158">
        <v>0</v>
      </c>
      <c r="L1112" s="159">
        <v>0</v>
      </c>
      <c r="M1112" s="424">
        <f t="shared" si="282"/>
        <v>31</v>
      </c>
      <c r="N1112" s="425">
        <f t="shared" si="283"/>
        <v>70</v>
      </c>
      <c r="O1112" s="430">
        <f t="shared" ref="O1112:O1116" si="288">M1112/31</f>
        <v>1</v>
      </c>
      <c r="P1112" s="427">
        <f t="shared" ref="P1112:P1116" si="289">N1112/31</f>
        <v>2.2580645161290325</v>
      </c>
    </row>
    <row r="1113" spans="1:16" ht="13.5" customHeight="1">
      <c r="A1113" s="474"/>
      <c r="B1113" s="127">
        <v>2</v>
      </c>
      <c r="C1113" s="158">
        <v>22</v>
      </c>
      <c r="D1113" s="158">
        <v>32</v>
      </c>
      <c r="E1113" s="158">
        <v>5</v>
      </c>
      <c r="F1113" s="169">
        <v>9</v>
      </c>
      <c r="G1113" s="158">
        <v>0</v>
      </c>
      <c r="H1113" s="158">
        <v>2</v>
      </c>
      <c r="I1113" s="158">
        <v>0</v>
      </c>
      <c r="J1113" s="158">
        <v>0</v>
      </c>
      <c r="K1113" s="158">
        <v>0</v>
      </c>
      <c r="L1113" s="159">
        <v>0</v>
      </c>
      <c r="M1113" s="154">
        <f t="shared" si="282"/>
        <v>27</v>
      </c>
      <c r="N1113" s="155">
        <f t="shared" si="283"/>
        <v>43</v>
      </c>
      <c r="O1113" s="168">
        <f t="shared" si="288"/>
        <v>0.87096774193548387</v>
      </c>
      <c r="P1113" s="157">
        <f t="shared" si="289"/>
        <v>1.3870967741935485</v>
      </c>
    </row>
    <row r="1114" spans="1:16" ht="13.5" customHeight="1">
      <c r="A1114" s="474"/>
      <c r="B1114" s="127">
        <v>3</v>
      </c>
      <c r="C1114" s="158">
        <v>12</v>
      </c>
      <c r="D1114" s="158">
        <v>17</v>
      </c>
      <c r="E1114" s="158">
        <v>5</v>
      </c>
      <c r="F1114" s="169">
        <v>4</v>
      </c>
      <c r="G1114" s="158">
        <v>5</v>
      </c>
      <c r="H1114" s="158">
        <v>7</v>
      </c>
      <c r="I1114" s="158">
        <v>4</v>
      </c>
      <c r="J1114" s="158">
        <v>4</v>
      </c>
      <c r="K1114" s="158">
        <v>0</v>
      </c>
      <c r="L1114" s="159">
        <v>0</v>
      </c>
      <c r="M1114" s="154">
        <f t="shared" si="282"/>
        <v>26</v>
      </c>
      <c r="N1114" s="155">
        <f t="shared" si="283"/>
        <v>32</v>
      </c>
      <c r="O1114" s="168">
        <f t="shared" si="288"/>
        <v>0.83870967741935487</v>
      </c>
      <c r="P1114" s="157">
        <f t="shared" si="289"/>
        <v>1.032258064516129</v>
      </c>
    </row>
    <row r="1115" spans="1:16" ht="13.5" customHeight="1">
      <c r="A1115" s="474"/>
      <c r="B1115" s="127">
        <v>4</v>
      </c>
      <c r="C1115" s="158">
        <v>18</v>
      </c>
      <c r="D1115" s="158">
        <v>25</v>
      </c>
      <c r="E1115" s="158">
        <v>5</v>
      </c>
      <c r="F1115" s="169">
        <v>3</v>
      </c>
      <c r="G1115" s="158">
        <v>1</v>
      </c>
      <c r="H1115" s="158">
        <v>4</v>
      </c>
      <c r="I1115" s="158">
        <v>0</v>
      </c>
      <c r="J1115" s="158">
        <v>0</v>
      </c>
      <c r="K1115" s="158">
        <v>0</v>
      </c>
      <c r="L1115" s="159">
        <v>0</v>
      </c>
      <c r="M1115" s="154">
        <f t="shared" si="282"/>
        <v>24</v>
      </c>
      <c r="N1115" s="155">
        <f t="shared" si="283"/>
        <v>32</v>
      </c>
      <c r="O1115" s="168">
        <f t="shared" si="288"/>
        <v>0.77419354838709675</v>
      </c>
      <c r="P1115" s="157">
        <f t="shared" si="289"/>
        <v>1.032258064516129</v>
      </c>
    </row>
    <row r="1116" spans="1:16" ht="13.5" customHeight="1">
      <c r="A1116" s="474"/>
      <c r="B1116" s="127">
        <v>5</v>
      </c>
      <c r="C1116" s="158">
        <v>16</v>
      </c>
      <c r="D1116" s="158">
        <v>28</v>
      </c>
      <c r="E1116" s="158">
        <v>4</v>
      </c>
      <c r="F1116" s="169">
        <v>15</v>
      </c>
      <c r="G1116" s="158">
        <v>2</v>
      </c>
      <c r="H1116" s="158">
        <v>1</v>
      </c>
      <c r="I1116" s="158">
        <v>2</v>
      </c>
      <c r="J1116" s="158">
        <v>2</v>
      </c>
      <c r="K1116" s="158">
        <v>0</v>
      </c>
      <c r="L1116" s="159">
        <v>0</v>
      </c>
      <c r="M1116" s="154">
        <f t="shared" si="282"/>
        <v>24</v>
      </c>
      <c r="N1116" s="155">
        <f t="shared" si="283"/>
        <v>46</v>
      </c>
      <c r="O1116" s="168">
        <f t="shared" si="288"/>
        <v>0.77419354838709675</v>
      </c>
      <c r="P1116" s="157">
        <f t="shared" si="289"/>
        <v>1.4838709677419355</v>
      </c>
    </row>
    <row r="1117" spans="1:16" ht="13.5" customHeight="1">
      <c r="A1117" s="474"/>
      <c r="B1117" s="127">
        <v>6</v>
      </c>
      <c r="C1117" s="158">
        <v>9</v>
      </c>
      <c r="D1117" s="158">
        <v>11</v>
      </c>
      <c r="E1117" s="158">
        <v>2</v>
      </c>
      <c r="F1117" s="169">
        <v>3</v>
      </c>
      <c r="G1117" s="158">
        <v>1</v>
      </c>
      <c r="H1117" s="158">
        <v>5</v>
      </c>
      <c r="I1117" s="158">
        <v>0</v>
      </c>
      <c r="J1117" s="158">
        <v>0</v>
      </c>
      <c r="K1117" s="158">
        <v>0</v>
      </c>
      <c r="L1117" s="159">
        <v>0</v>
      </c>
      <c r="M1117" s="154">
        <f t="shared" si="282"/>
        <v>12</v>
      </c>
      <c r="N1117" s="155">
        <f t="shared" si="283"/>
        <v>19</v>
      </c>
      <c r="O1117" s="168">
        <f>M1117/30</f>
        <v>0.4</v>
      </c>
      <c r="P1117" s="157">
        <f>N1117/30</f>
        <v>0.6333333333333333</v>
      </c>
    </row>
    <row r="1118" spans="1:16" ht="13.5" customHeight="1">
      <c r="A1118" s="474"/>
      <c r="B1118" s="127">
        <v>7</v>
      </c>
      <c r="C1118" s="158">
        <v>23</v>
      </c>
      <c r="D1118" s="158">
        <v>26</v>
      </c>
      <c r="E1118" s="158">
        <v>2</v>
      </c>
      <c r="F1118" s="158">
        <v>2</v>
      </c>
      <c r="G1118" s="158">
        <v>2</v>
      </c>
      <c r="H1118" s="158">
        <v>0</v>
      </c>
      <c r="I1118" s="158">
        <v>3</v>
      </c>
      <c r="J1118" s="158">
        <v>3</v>
      </c>
      <c r="K1118" s="158">
        <v>0</v>
      </c>
      <c r="L1118" s="158">
        <v>0</v>
      </c>
      <c r="M1118" s="154">
        <f t="shared" si="282"/>
        <v>30</v>
      </c>
      <c r="N1118" s="155">
        <f t="shared" si="283"/>
        <v>31</v>
      </c>
      <c r="O1118" s="168">
        <f t="shared" ref="O1118:O1119" si="290">M1118/31</f>
        <v>0.967741935483871</v>
      </c>
      <c r="P1118" s="157">
        <f t="shared" ref="P1118:P1119" si="291">N1118/31</f>
        <v>1</v>
      </c>
    </row>
    <row r="1119" spans="1:16" ht="13.5" customHeight="1">
      <c r="A1119" s="474"/>
      <c r="B1119" s="127">
        <v>8</v>
      </c>
      <c r="C1119" s="158">
        <v>21</v>
      </c>
      <c r="D1119" s="158">
        <v>31</v>
      </c>
      <c r="E1119" s="158">
        <v>1</v>
      </c>
      <c r="F1119" s="158">
        <v>1</v>
      </c>
      <c r="G1119" s="158">
        <v>1</v>
      </c>
      <c r="H1119" s="158">
        <v>9</v>
      </c>
      <c r="I1119" s="158">
        <v>0</v>
      </c>
      <c r="J1119" s="158">
        <v>4</v>
      </c>
      <c r="K1119" s="158">
        <v>0</v>
      </c>
      <c r="L1119" s="159">
        <v>0</v>
      </c>
      <c r="M1119" s="177">
        <f t="shared" si="282"/>
        <v>23</v>
      </c>
      <c r="N1119" s="158">
        <f t="shared" si="283"/>
        <v>45</v>
      </c>
      <c r="O1119" s="168">
        <f t="shared" si="290"/>
        <v>0.74193548387096775</v>
      </c>
      <c r="P1119" s="157">
        <f t="shared" si="291"/>
        <v>1.4516129032258065</v>
      </c>
    </row>
    <row r="1120" spans="1:16" ht="13.5" customHeight="1">
      <c r="A1120" s="474"/>
      <c r="B1120" s="127">
        <v>9</v>
      </c>
      <c r="C1120" s="147">
        <v>20</v>
      </c>
      <c r="D1120" s="147">
        <v>28</v>
      </c>
      <c r="E1120" s="147">
        <v>0</v>
      </c>
      <c r="F1120" s="147">
        <v>0</v>
      </c>
      <c r="G1120" s="147">
        <v>0</v>
      </c>
      <c r="H1120" s="147">
        <v>0</v>
      </c>
      <c r="I1120" s="147">
        <v>0</v>
      </c>
      <c r="J1120" s="147">
        <v>0</v>
      </c>
      <c r="K1120" s="147">
        <v>0</v>
      </c>
      <c r="L1120" s="148">
        <v>0</v>
      </c>
      <c r="M1120" s="177">
        <v>20</v>
      </c>
      <c r="N1120" s="158">
        <v>28</v>
      </c>
      <c r="O1120" s="168">
        <v>0.64516129032258063</v>
      </c>
      <c r="P1120" s="157">
        <v>0.90322580645161288</v>
      </c>
    </row>
    <row r="1121" spans="1:16" ht="13.5" customHeight="1">
      <c r="A1121" s="474"/>
      <c r="B1121" s="127">
        <v>10</v>
      </c>
      <c r="C1121" s="147">
        <v>12</v>
      </c>
      <c r="D1121" s="147">
        <v>19</v>
      </c>
      <c r="E1121" s="147">
        <v>1</v>
      </c>
      <c r="F1121" s="181">
        <v>2</v>
      </c>
      <c r="G1121" s="147">
        <v>2</v>
      </c>
      <c r="H1121" s="147">
        <v>5</v>
      </c>
      <c r="I1121" s="147">
        <v>0</v>
      </c>
      <c r="J1121" s="147">
        <v>0</v>
      </c>
      <c r="K1121" s="147">
        <v>0</v>
      </c>
      <c r="L1121" s="148">
        <v>0</v>
      </c>
      <c r="M1121" s="154">
        <f t="shared" ref="M1121:M1123" si="292">+C1121+E1121+G1121+I1121+K1121</f>
        <v>15</v>
      </c>
      <c r="N1121" s="155">
        <f t="shared" ref="N1121:N1123" si="293">+D1121+F1121+H1121+J1121+L1121</f>
        <v>26</v>
      </c>
      <c r="O1121" s="168">
        <f t="shared" ref="O1121:O1123" si="294">M1121/31</f>
        <v>0.4838709677419355</v>
      </c>
      <c r="P1121" s="157">
        <f t="shared" ref="P1121:P1123" si="295">N1121/31</f>
        <v>0.83870967741935487</v>
      </c>
    </row>
    <row r="1122" spans="1:16" ht="13.5" customHeight="1">
      <c r="A1122" s="474"/>
      <c r="B1122" s="127">
        <v>11</v>
      </c>
      <c r="C1122" s="367">
        <v>9</v>
      </c>
      <c r="D1122" s="367">
        <v>11</v>
      </c>
      <c r="E1122" s="367">
        <v>1</v>
      </c>
      <c r="F1122" s="367">
        <v>1</v>
      </c>
      <c r="G1122" s="367">
        <v>0</v>
      </c>
      <c r="H1122" s="367">
        <v>0</v>
      </c>
      <c r="I1122" s="367">
        <v>0</v>
      </c>
      <c r="J1122" s="367">
        <v>0</v>
      </c>
      <c r="K1122" s="367">
        <v>0</v>
      </c>
      <c r="L1122" s="368">
        <v>0</v>
      </c>
      <c r="M1122" s="154">
        <f t="shared" si="292"/>
        <v>10</v>
      </c>
      <c r="N1122" s="155">
        <f t="shared" si="293"/>
        <v>12</v>
      </c>
      <c r="O1122" s="168">
        <f t="shared" si="294"/>
        <v>0.32258064516129031</v>
      </c>
      <c r="P1122" s="157">
        <f t="shared" si="295"/>
        <v>0.38709677419354838</v>
      </c>
    </row>
    <row r="1123" spans="1:16" ht="13.5" customHeight="1" thickBot="1">
      <c r="A1123" s="475"/>
      <c r="B1123" s="127">
        <v>12</v>
      </c>
      <c r="C1123" s="374">
        <v>12</v>
      </c>
      <c r="D1123" s="374">
        <v>8</v>
      </c>
      <c r="E1123" s="374">
        <v>0</v>
      </c>
      <c r="F1123" s="374">
        <v>0</v>
      </c>
      <c r="G1123" s="374">
        <v>0</v>
      </c>
      <c r="H1123" s="374">
        <v>0</v>
      </c>
      <c r="I1123" s="374">
        <v>0</v>
      </c>
      <c r="J1123" s="374">
        <v>0</v>
      </c>
      <c r="K1123" s="374">
        <v>0</v>
      </c>
      <c r="L1123" s="375">
        <v>0</v>
      </c>
      <c r="M1123" s="154">
        <f t="shared" si="292"/>
        <v>12</v>
      </c>
      <c r="N1123" s="155">
        <f t="shared" si="293"/>
        <v>8</v>
      </c>
      <c r="O1123" s="168">
        <f t="shared" si="294"/>
        <v>0.38709677419354838</v>
      </c>
      <c r="P1123" s="157">
        <f t="shared" si="295"/>
        <v>0.25806451612903225</v>
      </c>
    </row>
    <row r="1124" spans="1:16" ht="13.5" customHeight="1">
      <c r="A1124" s="473">
        <v>2020</v>
      </c>
      <c r="B1124" s="410">
        <v>1</v>
      </c>
      <c r="C1124" s="434">
        <v>14</v>
      </c>
      <c r="D1124" s="434">
        <v>24</v>
      </c>
      <c r="E1124" s="434">
        <v>0</v>
      </c>
      <c r="F1124" s="435">
        <v>0</v>
      </c>
      <c r="G1124" s="434">
        <v>0</v>
      </c>
      <c r="H1124" s="434">
        <v>0</v>
      </c>
      <c r="I1124" s="434">
        <v>0</v>
      </c>
      <c r="J1124" s="434">
        <v>0</v>
      </c>
      <c r="K1124" s="434">
        <v>0</v>
      </c>
      <c r="L1124" s="436">
        <v>0</v>
      </c>
      <c r="M1124" s="424">
        <f t="shared" ref="M1124:M1135" si="296">+C1124+E1124+G1124+I1124+K1124</f>
        <v>14</v>
      </c>
      <c r="N1124" s="425">
        <f t="shared" ref="N1124:N1135" si="297">+D1124+F1124+H1124+J1124+L1124</f>
        <v>24</v>
      </c>
      <c r="O1124" s="430">
        <f t="shared" si="287"/>
        <v>0.45161290322580644</v>
      </c>
      <c r="P1124" s="427">
        <f t="shared" si="287"/>
        <v>0.77419354838709675</v>
      </c>
    </row>
    <row r="1125" spans="1:16" ht="13.5" customHeight="1">
      <c r="A1125" s="474"/>
      <c r="B1125" s="127">
        <v>2</v>
      </c>
      <c r="C1125" s="147">
        <v>9</v>
      </c>
      <c r="D1125" s="147">
        <v>15</v>
      </c>
      <c r="E1125" s="147">
        <v>0</v>
      </c>
      <c r="F1125" s="181">
        <v>0</v>
      </c>
      <c r="G1125" s="147">
        <v>0</v>
      </c>
      <c r="H1125" s="147">
        <v>0</v>
      </c>
      <c r="I1125" s="147">
        <v>0</v>
      </c>
      <c r="J1125" s="147">
        <v>0</v>
      </c>
      <c r="K1125" s="147">
        <v>0</v>
      </c>
      <c r="L1125" s="148">
        <v>0</v>
      </c>
      <c r="M1125" s="154">
        <f t="shared" si="296"/>
        <v>9</v>
      </c>
      <c r="N1125" s="155">
        <f t="shared" si="297"/>
        <v>15</v>
      </c>
      <c r="O1125" s="168">
        <f t="shared" si="287"/>
        <v>0.29032258064516131</v>
      </c>
      <c r="P1125" s="157">
        <f t="shared" si="287"/>
        <v>0.4838709677419355</v>
      </c>
    </row>
    <row r="1126" spans="1:16" ht="13.5" customHeight="1">
      <c r="A1126" s="474"/>
      <c r="B1126" s="127">
        <v>3</v>
      </c>
      <c r="C1126" s="147">
        <v>13</v>
      </c>
      <c r="D1126" s="147">
        <v>13</v>
      </c>
      <c r="E1126" s="147">
        <v>0</v>
      </c>
      <c r="F1126" s="181">
        <v>0</v>
      </c>
      <c r="G1126" s="147">
        <v>0</v>
      </c>
      <c r="H1126" s="147">
        <v>0</v>
      </c>
      <c r="I1126" s="147">
        <v>0</v>
      </c>
      <c r="J1126" s="147">
        <v>0</v>
      </c>
      <c r="K1126" s="147">
        <v>0</v>
      </c>
      <c r="L1126" s="148">
        <v>0</v>
      </c>
      <c r="M1126" s="154">
        <f t="shared" si="296"/>
        <v>13</v>
      </c>
      <c r="N1126" s="155">
        <f t="shared" si="297"/>
        <v>13</v>
      </c>
      <c r="O1126" s="168">
        <f t="shared" si="287"/>
        <v>0.41935483870967744</v>
      </c>
      <c r="P1126" s="157">
        <f t="shared" si="287"/>
        <v>0.41935483870967744</v>
      </c>
    </row>
    <row r="1127" spans="1:16" ht="13.5" customHeight="1">
      <c r="A1127" s="474"/>
      <c r="B1127" s="127">
        <v>4</v>
      </c>
      <c r="C1127" s="147">
        <v>4</v>
      </c>
      <c r="D1127" s="147">
        <v>4</v>
      </c>
      <c r="E1127" s="147">
        <v>0</v>
      </c>
      <c r="F1127" s="181">
        <v>0</v>
      </c>
      <c r="G1127" s="147">
        <v>0</v>
      </c>
      <c r="H1127" s="147">
        <v>0</v>
      </c>
      <c r="I1127" s="147">
        <v>0</v>
      </c>
      <c r="J1127" s="147">
        <v>0</v>
      </c>
      <c r="K1127" s="147">
        <v>0</v>
      </c>
      <c r="L1127" s="148">
        <v>0</v>
      </c>
      <c r="M1127" s="154">
        <f t="shared" si="296"/>
        <v>4</v>
      </c>
      <c r="N1127" s="155">
        <f t="shared" si="297"/>
        <v>4</v>
      </c>
      <c r="O1127" s="168">
        <f t="shared" si="287"/>
        <v>0.12903225806451613</v>
      </c>
      <c r="P1127" s="157">
        <f t="shared" si="287"/>
        <v>0.12903225806451613</v>
      </c>
    </row>
    <row r="1128" spans="1:16" ht="13.5" customHeight="1">
      <c r="A1128" s="474"/>
      <c r="B1128" s="127">
        <v>5</v>
      </c>
      <c r="C1128" s="147">
        <v>0</v>
      </c>
      <c r="D1128" s="147">
        <v>0</v>
      </c>
      <c r="E1128" s="147">
        <v>0</v>
      </c>
      <c r="F1128" s="181">
        <v>0</v>
      </c>
      <c r="G1128" s="147">
        <v>0</v>
      </c>
      <c r="H1128" s="147">
        <v>0</v>
      </c>
      <c r="I1128" s="147">
        <v>0</v>
      </c>
      <c r="J1128" s="147">
        <v>0</v>
      </c>
      <c r="K1128" s="147">
        <v>0</v>
      </c>
      <c r="L1128" s="148">
        <v>0</v>
      </c>
      <c r="M1128" s="154">
        <f t="shared" si="296"/>
        <v>0</v>
      </c>
      <c r="N1128" s="155">
        <f t="shared" si="297"/>
        <v>0</v>
      </c>
      <c r="O1128" s="168">
        <f t="shared" si="287"/>
        <v>0</v>
      </c>
      <c r="P1128" s="157">
        <f t="shared" si="287"/>
        <v>0</v>
      </c>
    </row>
    <row r="1129" spans="1:16" ht="13.5" customHeight="1">
      <c r="A1129" s="474"/>
      <c r="B1129" s="127">
        <v>6</v>
      </c>
      <c r="C1129" s="147">
        <f>集計用!C76</f>
        <v>4</v>
      </c>
      <c r="D1129" s="147">
        <f>集計用!S76</f>
        <v>2</v>
      </c>
      <c r="E1129" s="147">
        <f>集計用!E76</f>
        <v>0</v>
      </c>
      <c r="F1129" s="181">
        <f>集計用!U76</f>
        <v>0</v>
      </c>
      <c r="G1129" s="147">
        <f>集計用!G76</f>
        <v>0</v>
      </c>
      <c r="H1129" s="147">
        <f>集計用!W76</f>
        <v>0</v>
      </c>
      <c r="I1129" s="147">
        <f>集計用!I76</f>
        <v>0</v>
      </c>
      <c r="J1129" s="147">
        <f>集計用!Y76</f>
        <v>0</v>
      </c>
      <c r="K1129" s="147">
        <f>集計用!K76</f>
        <v>0</v>
      </c>
      <c r="L1129" s="148">
        <f>集計用!AA76</f>
        <v>0</v>
      </c>
      <c r="M1129" s="154">
        <f t="shared" si="296"/>
        <v>4</v>
      </c>
      <c r="N1129" s="155">
        <f t="shared" si="297"/>
        <v>2</v>
      </c>
      <c r="O1129" s="168">
        <f>M1129/30</f>
        <v>0.13333333333333333</v>
      </c>
      <c r="P1129" s="157">
        <f>N1129/30</f>
        <v>6.6666666666666666E-2</v>
      </c>
    </row>
    <row r="1130" spans="1:16" ht="13.5" customHeight="1">
      <c r="A1130" s="474"/>
      <c r="B1130" s="127">
        <v>7</v>
      </c>
      <c r="C1130" s="158"/>
      <c r="D1130" s="158"/>
      <c r="E1130" s="158"/>
      <c r="F1130" s="158"/>
      <c r="G1130" s="158"/>
      <c r="H1130" s="158"/>
      <c r="I1130" s="158"/>
      <c r="J1130" s="158"/>
      <c r="K1130" s="158"/>
      <c r="L1130" s="158"/>
      <c r="M1130" s="154">
        <f t="shared" si="296"/>
        <v>0</v>
      </c>
      <c r="N1130" s="155">
        <f t="shared" si="297"/>
        <v>0</v>
      </c>
      <c r="O1130" s="168">
        <f t="shared" ref="O1130:O1135" si="298">M1130/31</f>
        <v>0</v>
      </c>
      <c r="P1130" s="157">
        <f t="shared" ref="P1130:P1135" si="299">N1130/31</f>
        <v>0</v>
      </c>
    </row>
    <row r="1131" spans="1:16" ht="13.5" customHeight="1">
      <c r="A1131" s="474"/>
      <c r="B1131" s="127">
        <v>8</v>
      </c>
      <c r="C1131" s="158"/>
      <c r="D1131" s="158"/>
      <c r="E1131" s="158"/>
      <c r="F1131" s="158"/>
      <c r="G1131" s="158"/>
      <c r="H1131" s="158"/>
      <c r="I1131" s="158"/>
      <c r="J1131" s="158"/>
      <c r="K1131" s="158"/>
      <c r="L1131" s="159"/>
      <c r="M1131" s="177">
        <f t="shared" si="296"/>
        <v>0</v>
      </c>
      <c r="N1131" s="158">
        <f t="shared" si="297"/>
        <v>0</v>
      </c>
      <c r="O1131" s="168">
        <f t="shared" si="298"/>
        <v>0</v>
      </c>
      <c r="P1131" s="157">
        <f t="shared" si="299"/>
        <v>0</v>
      </c>
    </row>
    <row r="1132" spans="1:16" ht="13.5" customHeight="1">
      <c r="A1132" s="474"/>
      <c r="B1132" s="127">
        <v>9</v>
      </c>
      <c r="C1132" s="147"/>
      <c r="D1132" s="147"/>
      <c r="E1132" s="147"/>
      <c r="F1132" s="147"/>
      <c r="G1132" s="147"/>
      <c r="H1132" s="147"/>
      <c r="I1132" s="147"/>
      <c r="J1132" s="147"/>
      <c r="K1132" s="147"/>
      <c r="L1132" s="148"/>
      <c r="M1132" s="177">
        <f t="shared" ref="M1132" si="300">+C1132+E1132+G1132+I1132+K1132</f>
        <v>0</v>
      </c>
      <c r="N1132" s="158">
        <f t="shared" ref="N1132" si="301">+D1132+F1132+H1132+J1132+L1132</f>
        <v>0</v>
      </c>
      <c r="O1132" s="168">
        <f>M1132/30</f>
        <v>0</v>
      </c>
      <c r="P1132" s="157">
        <f>N1132/30</f>
        <v>0</v>
      </c>
    </row>
    <row r="1133" spans="1:16" ht="13.5" customHeight="1">
      <c r="A1133" s="474"/>
      <c r="B1133" s="127">
        <v>10</v>
      </c>
      <c r="C1133" s="147"/>
      <c r="D1133" s="147"/>
      <c r="E1133" s="147"/>
      <c r="F1133" s="181"/>
      <c r="G1133" s="147"/>
      <c r="H1133" s="147"/>
      <c r="I1133" s="147"/>
      <c r="J1133" s="147"/>
      <c r="K1133" s="147"/>
      <c r="L1133" s="148"/>
      <c r="M1133" s="154">
        <f t="shared" ref="M1133" si="302">+C1133+E1133+G1133+I1133+K1133</f>
        <v>0</v>
      </c>
      <c r="N1133" s="155">
        <f t="shared" ref="N1133" si="303">+D1133+F1133+H1133+J1133+L1133</f>
        <v>0</v>
      </c>
      <c r="O1133" s="168">
        <f t="shared" ref="O1133" si="304">M1133/31</f>
        <v>0</v>
      </c>
      <c r="P1133" s="157">
        <f t="shared" ref="P1133" si="305">N1133/31</f>
        <v>0</v>
      </c>
    </row>
    <row r="1134" spans="1:16" ht="13.5" customHeight="1">
      <c r="A1134" s="474"/>
      <c r="B1134" s="127">
        <v>11</v>
      </c>
      <c r="C1134" s="367"/>
      <c r="D1134" s="367"/>
      <c r="E1134" s="367"/>
      <c r="F1134" s="367"/>
      <c r="G1134" s="367"/>
      <c r="H1134" s="367"/>
      <c r="I1134" s="367"/>
      <c r="J1134" s="367"/>
      <c r="K1134" s="367"/>
      <c r="L1134" s="368"/>
      <c r="M1134" s="154">
        <f t="shared" si="296"/>
        <v>0</v>
      </c>
      <c r="N1134" s="155">
        <f t="shared" si="297"/>
        <v>0</v>
      </c>
      <c r="O1134" s="168">
        <f t="shared" si="298"/>
        <v>0</v>
      </c>
      <c r="P1134" s="157">
        <f t="shared" si="299"/>
        <v>0</v>
      </c>
    </row>
    <row r="1135" spans="1:16" ht="13.5" customHeight="1" thickBot="1">
      <c r="A1135" s="475"/>
      <c r="B1135" s="127">
        <v>12</v>
      </c>
      <c r="C1135" s="187"/>
      <c r="D1135" s="187"/>
      <c r="E1135" s="187"/>
      <c r="F1135" s="188"/>
      <c r="G1135" s="187"/>
      <c r="H1135" s="187"/>
      <c r="I1135" s="187"/>
      <c r="J1135" s="187"/>
      <c r="K1135" s="187"/>
      <c r="L1135" s="189"/>
      <c r="M1135" s="154">
        <f t="shared" si="296"/>
        <v>0</v>
      </c>
      <c r="N1135" s="155">
        <f t="shared" si="297"/>
        <v>0</v>
      </c>
      <c r="O1135" s="168">
        <f t="shared" si="298"/>
        <v>0</v>
      </c>
      <c r="P1135" s="157">
        <f t="shared" si="299"/>
        <v>0</v>
      </c>
    </row>
    <row r="1136" spans="1:16" ht="18.75" customHeight="1" thickBot="1">
      <c r="A1136" s="180"/>
      <c r="B1136" s="160" t="s">
        <v>5</v>
      </c>
      <c r="C1136" s="161">
        <f>SUM(C1088:C1135)</f>
        <v>342</v>
      </c>
      <c r="D1136" s="161">
        <f t="shared" ref="D1136:K1136" si="306">SUM(D1088:D1135)</f>
        <v>485</v>
      </c>
      <c r="E1136" s="161">
        <f t="shared" si="306"/>
        <v>129</v>
      </c>
      <c r="F1136" s="161">
        <f t="shared" si="306"/>
        <v>199</v>
      </c>
      <c r="G1136" s="161">
        <f t="shared" si="306"/>
        <v>43</v>
      </c>
      <c r="H1136" s="161">
        <f t="shared" si="306"/>
        <v>74</v>
      </c>
      <c r="I1136" s="161">
        <f t="shared" si="306"/>
        <v>17</v>
      </c>
      <c r="J1136" s="161">
        <f t="shared" si="306"/>
        <v>26</v>
      </c>
      <c r="K1136" s="161">
        <f t="shared" si="306"/>
        <v>3</v>
      </c>
      <c r="L1136" s="161">
        <f>SUM(L1088:L1135)</f>
        <v>4</v>
      </c>
      <c r="M1136" s="162">
        <f>SUM(M1088:M1135)</f>
        <v>534</v>
      </c>
      <c r="N1136" s="161">
        <f>SUM(N1088:N1135)</f>
        <v>788</v>
      </c>
      <c r="O1136" s="161">
        <f>SUM(O1088:O1135)</f>
        <v>17.252688172043005</v>
      </c>
      <c r="P1136" s="161">
        <f>SUM(P1088:P1135)</f>
        <v>25.461290322580641</v>
      </c>
    </row>
    <row r="1138" spans="1:16" ht="11.25" customHeight="1">
      <c r="B1138" s="467" t="s">
        <v>82</v>
      </c>
      <c r="C1138" s="469" t="s">
        <v>29</v>
      </c>
      <c r="D1138" s="470"/>
      <c r="E1138" s="469" t="s">
        <v>30</v>
      </c>
      <c r="F1138" s="470"/>
      <c r="G1138" s="469" t="s">
        <v>31</v>
      </c>
      <c r="H1138" s="470"/>
      <c r="I1138" s="469" t="s">
        <v>58</v>
      </c>
      <c r="J1138" s="470"/>
      <c r="K1138" s="469" t="s">
        <v>57</v>
      </c>
      <c r="L1138" s="471"/>
      <c r="M1138" s="470" t="s">
        <v>5</v>
      </c>
      <c r="N1138" s="472"/>
      <c r="O1138" s="472" t="s">
        <v>33</v>
      </c>
      <c r="P1138" s="472"/>
    </row>
    <row r="1139" spans="1:16" ht="11.25" customHeight="1" thickBot="1">
      <c r="B1139" s="468"/>
      <c r="C1139" s="13" t="s">
        <v>34</v>
      </c>
      <c r="D1139" s="13" t="s">
        <v>35</v>
      </c>
      <c r="E1139" s="13" t="s">
        <v>34</v>
      </c>
      <c r="F1139" s="13" t="s">
        <v>35</v>
      </c>
      <c r="G1139" s="13" t="s">
        <v>34</v>
      </c>
      <c r="H1139" s="13" t="s">
        <v>35</v>
      </c>
      <c r="I1139" s="13" t="s">
        <v>59</v>
      </c>
      <c r="J1139" s="13" t="s">
        <v>60</v>
      </c>
      <c r="K1139" s="13" t="s">
        <v>34</v>
      </c>
      <c r="L1139" s="14" t="s">
        <v>35</v>
      </c>
      <c r="M1139" s="15" t="s">
        <v>34</v>
      </c>
      <c r="N1139" s="13" t="s">
        <v>35</v>
      </c>
      <c r="O1139" s="163" t="s">
        <v>34</v>
      </c>
      <c r="P1139" s="163" t="s">
        <v>35</v>
      </c>
    </row>
    <row r="1140" spans="1:16" ht="13.5" customHeight="1">
      <c r="A1140" s="473">
        <v>2017</v>
      </c>
      <c r="B1140" s="410">
        <v>1</v>
      </c>
      <c r="C1140" s="422"/>
      <c r="D1140" s="422"/>
      <c r="E1140" s="422"/>
      <c r="F1140" s="422"/>
      <c r="G1140" s="422"/>
      <c r="H1140" s="422"/>
      <c r="I1140" s="422"/>
      <c r="J1140" s="422"/>
      <c r="K1140" s="422"/>
      <c r="L1140" s="432"/>
      <c r="M1140" s="424">
        <f t="shared" ref="M1140:M1171" si="307">+C1140+E1140+G1140+I1140+K1140</f>
        <v>0</v>
      </c>
      <c r="N1140" s="425">
        <f t="shared" ref="N1140:N1171" si="308">+D1140+F1140+H1140+J1140+L1140</f>
        <v>0</v>
      </c>
      <c r="O1140" s="430">
        <f t="shared" ref="O1140:P1144" si="309">M1140/31</f>
        <v>0</v>
      </c>
      <c r="P1140" s="427">
        <f t="shared" si="309"/>
        <v>0</v>
      </c>
    </row>
    <row r="1141" spans="1:16" ht="13.5" customHeight="1">
      <c r="A1141" s="474"/>
      <c r="B1141" s="127">
        <v>2</v>
      </c>
      <c r="C1141" s="147"/>
      <c r="D1141" s="147"/>
      <c r="E1141" s="147"/>
      <c r="F1141" s="147"/>
      <c r="G1141" s="147"/>
      <c r="H1141" s="147"/>
      <c r="I1141" s="147"/>
      <c r="J1141" s="147"/>
      <c r="K1141" s="147"/>
      <c r="L1141" s="174"/>
      <c r="M1141" s="149">
        <f t="shared" si="307"/>
        <v>0</v>
      </c>
      <c r="N1141" s="150">
        <f t="shared" si="308"/>
        <v>0</v>
      </c>
      <c r="O1141" s="167">
        <f t="shared" si="309"/>
        <v>0</v>
      </c>
      <c r="P1141" s="152">
        <f t="shared" si="309"/>
        <v>0</v>
      </c>
    </row>
    <row r="1142" spans="1:16" ht="13.5" customHeight="1">
      <c r="A1142" s="474"/>
      <c r="B1142" s="127">
        <v>3</v>
      </c>
      <c r="C1142" s="147"/>
      <c r="D1142" s="147"/>
      <c r="E1142" s="147"/>
      <c r="F1142" s="147"/>
      <c r="G1142" s="147"/>
      <c r="H1142" s="147"/>
      <c r="I1142" s="147"/>
      <c r="J1142" s="147"/>
      <c r="K1142" s="147"/>
      <c r="L1142" s="174"/>
      <c r="M1142" s="149">
        <f t="shared" si="307"/>
        <v>0</v>
      </c>
      <c r="N1142" s="150">
        <f t="shared" si="308"/>
        <v>0</v>
      </c>
      <c r="O1142" s="167">
        <f t="shared" si="309"/>
        <v>0</v>
      </c>
      <c r="P1142" s="152">
        <f t="shared" si="309"/>
        <v>0</v>
      </c>
    </row>
    <row r="1143" spans="1:16" ht="13.5" customHeight="1">
      <c r="A1143" s="474"/>
      <c r="B1143" s="127">
        <v>4</v>
      </c>
      <c r="C1143" s="158"/>
      <c r="D1143" s="158"/>
      <c r="E1143" s="158"/>
      <c r="F1143" s="158"/>
      <c r="G1143" s="158"/>
      <c r="H1143" s="158"/>
      <c r="I1143" s="158"/>
      <c r="J1143" s="158"/>
      <c r="K1143" s="158"/>
      <c r="L1143" s="159"/>
      <c r="M1143" s="154">
        <f t="shared" si="307"/>
        <v>0</v>
      </c>
      <c r="N1143" s="155">
        <f t="shared" si="308"/>
        <v>0</v>
      </c>
      <c r="O1143" s="168">
        <f t="shared" si="309"/>
        <v>0</v>
      </c>
      <c r="P1143" s="157">
        <f t="shared" si="309"/>
        <v>0</v>
      </c>
    </row>
    <row r="1144" spans="1:16" ht="13.5" customHeight="1">
      <c r="A1144" s="474"/>
      <c r="B1144" s="127">
        <v>5</v>
      </c>
      <c r="C1144" s="158"/>
      <c r="D1144" s="158"/>
      <c r="E1144" s="158"/>
      <c r="F1144" s="158"/>
      <c r="G1144" s="158"/>
      <c r="H1144" s="158"/>
      <c r="I1144" s="158"/>
      <c r="J1144" s="158"/>
      <c r="K1144" s="158"/>
      <c r="L1144" s="159"/>
      <c r="M1144" s="154">
        <f t="shared" si="307"/>
        <v>0</v>
      </c>
      <c r="N1144" s="155">
        <f t="shared" si="308"/>
        <v>0</v>
      </c>
      <c r="O1144" s="168">
        <f t="shared" si="309"/>
        <v>0</v>
      </c>
      <c r="P1144" s="157">
        <f t="shared" si="309"/>
        <v>0</v>
      </c>
    </row>
    <row r="1145" spans="1:16" ht="13.5" customHeight="1">
      <c r="A1145" s="474"/>
      <c r="B1145" s="127">
        <v>6</v>
      </c>
      <c r="C1145" s="158"/>
      <c r="D1145" s="158"/>
      <c r="E1145" s="158"/>
      <c r="F1145" s="158"/>
      <c r="G1145" s="158"/>
      <c r="H1145" s="158"/>
      <c r="I1145" s="158"/>
      <c r="J1145" s="158"/>
      <c r="K1145" s="158"/>
      <c r="L1145" s="158"/>
      <c r="M1145" s="154">
        <f t="shared" si="307"/>
        <v>0</v>
      </c>
      <c r="N1145" s="155">
        <f t="shared" si="308"/>
        <v>0</v>
      </c>
      <c r="O1145" s="168">
        <f>M1145/30</f>
        <v>0</v>
      </c>
      <c r="P1145" s="157">
        <f>N1145/30</f>
        <v>0</v>
      </c>
    </row>
    <row r="1146" spans="1:16" ht="13.5" customHeight="1">
      <c r="A1146" s="474"/>
      <c r="B1146" s="127">
        <v>7</v>
      </c>
      <c r="C1146" s="158">
        <v>2</v>
      </c>
      <c r="D1146" s="158">
        <v>0</v>
      </c>
      <c r="E1146" s="158">
        <v>0</v>
      </c>
      <c r="F1146" s="158">
        <v>0</v>
      </c>
      <c r="G1146" s="158">
        <v>0</v>
      </c>
      <c r="H1146" s="158">
        <v>0</v>
      </c>
      <c r="I1146" s="158">
        <v>0</v>
      </c>
      <c r="J1146" s="158">
        <v>0</v>
      </c>
      <c r="K1146" s="158">
        <v>0</v>
      </c>
      <c r="L1146" s="158">
        <v>0</v>
      </c>
      <c r="M1146" s="154">
        <f t="shared" si="307"/>
        <v>2</v>
      </c>
      <c r="N1146" s="155">
        <f t="shared" si="308"/>
        <v>0</v>
      </c>
      <c r="O1146" s="168">
        <f t="shared" ref="O1146:O1156" si="310">M1146/31</f>
        <v>6.4516129032258063E-2</v>
      </c>
      <c r="P1146" s="157">
        <f t="shared" ref="P1146:P1156" si="311">N1146/31</f>
        <v>0</v>
      </c>
    </row>
    <row r="1147" spans="1:16" ht="13.5" customHeight="1">
      <c r="A1147" s="474"/>
      <c r="B1147" s="127">
        <v>8</v>
      </c>
      <c r="C1147" s="158">
        <v>0</v>
      </c>
      <c r="D1147" s="158">
        <v>2</v>
      </c>
      <c r="E1147" s="158">
        <v>0</v>
      </c>
      <c r="F1147" s="158">
        <v>0</v>
      </c>
      <c r="G1147" s="158">
        <v>1</v>
      </c>
      <c r="H1147" s="158">
        <v>0</v>
      </c>
      <c r="I1147" s="158">
        <v>0</v>
      </c>
      <c r="J1147" s="158">
        <v>0</v>
      </c>
      <c r="K1147" s="158">
        <v>0</v>
      </c>
      <c r="L1147" s="159">
        <v>0</v>
      </c>
      <c r="M1147" s="177">
        <f t="shared" si="307"/>
        <v>1</v>
      </c>
      <c r="N1147" s="158">
        <f t="shared" si="308"/>
        <v>2</v>
      </c>
      <c r="O1147" s="168">
        <f t="shared" si="310"/>
        <v>3.2258064516129031E-2</v>
      </c>
      <c r="P1147" s="157">
        <f t="shared" si="311"/>
        <v>6.4516129032258063E-2</v>
      </c>
    </row>
    <row r="1148" spans="1:16" ht="13.5" customHeight="1">
      <c r="A1148" s="474"/>
      <c r="B1148" s="127">
        <v>9</v>
      </c>
      <c r="C1148" s="147">
        <v>1</v>
      </c>
      <c r="D1148" s="147">
        <v>0</v>
      </c>
      <c r="E1148" s="147">
        <v>0</v>
      </c>
      <c r="F1148" s="147">
        <v>0</v>
      </c>
      <c r="G1148" s="147">
        <v>2</v>
      </c>
      <c r="H1148" s="147">
        <v>2</v>
      </c>
      <c r="I1148" s="147">
        <v>0</v>
      </c>
      <c r="J1148" s="147">
        <v>0</v>
      </c>
      <c r="K1148" s="147">
        <v>0</v>
      </c>
      <c r="L1148" s="148">
        <v>0</v>
      </c>
      <c r="M1148" s="177">
        <f t="shared" si="307"/>
        <v>3</v>
      </c>
      <c r="N1148" s="158">
        <f t="shared" si="308"/>
        <v>2</v>
      </c>
      <c r="O1148" s="168">
        <f t="shared" si="310"/>
        <v>9.6774193548387094E-2</v>
      </c>
      <c r="P1148" s="157">
        <f t="shared" si="311"/>
        <v>6.4516129032258063E-2</v>
      </c>
    </row>
    <row r="1149" spans="1:16" ht="13.5" customHeight="1">
      <c r="A1149" s="474"/>
      <c r="B1149" s="127">
        <v>10</v>
      </c>
      <c r="C1149" s="147">
        <v>4</v>
      </c>
      <c r="D1149" s="147">
        <v>15</v>
      </c>
      <c r="E1149" s="147">
        <v>0</v>
      </c>
      <c r="F1149" s="181">
        <v>0</v>
      </c>
      <c r="G1149" s="147">
        <v>1</v>
      </c>
      <c r="H1149" s="147">
        <v>4</v>
      </c>
      <c r="I1149" s="147">
        <v>0</v>
      </c>
      <c r="J1149" s="147">
        <v>0</v>
      </c>
      <c r="K1149" s="147">
        <v>2</v>
      </c>
      <c r="L1149" s="148">
        <v>4</v>
      </c>
      <c r="M1149" s="154">
        <f t="shared" si="307"/>
        <v>7</v>
      </c>
      <c r="N1149" s="155">
        <f t="shared" si="308"/>
        <v>23</v>
      </c>
      <c r="O1149" s="168">
        <f t="shared" si="310"/>
        <v>0.22580645161290322</v>
      </c>
      <c r="P1149" s="157">
        <f t="shared" si="311"/>
        <v>0.74193548387096775</v>
      </c>
    </row>
    <row r="1150" spans="1:16" ht="13.5" customHeight="1">
      <c r="A1150" s="474"/>
      <c r="B1150" s="127">
        <v>11</v>
      </c>
      <c r="C1150" s="367">
        <v>0</v>
      </c>
      <c r="D1150" s="367">
        <v>0</v>
      </c>
      <c r="E1150" s="367">
        <v>0</v>
      </c>
      <c r="F1150" s="367">
        <v>0</v>
      </c>
      <c r="G1150" s="367">
        <v>0</v>
      </c>
      <c r="H1150" s="367">
        <v>0</v>
      </c>
      <c r="I1150" s="367">
        <v>0</v>
      </c>
      <c r="J1150" s="367">
        <v>0</v>
      </c>
      <c r="K1150" s="367">
        <v>0</v>
      </c>
      <c r="L1150" s="368">
        <v>0</v>
      </c>
      <c r="M1150" s="154">
        <f t="shared" si="307"/>
        <v>0</v>
      </c>
      <c r="N1150" s="155">
        <f t="shared" si="308"/>
        <v>0</v>
      </c>
      <c r="O1150" s="168">
        <f t="shared" si="310"/>
        <v>0</v>
      </c>
      <c r="P1150" s="157">
        <f t="shared" si="311"/>
        <v>0</v>
      </c>
    </row>
    <row r="1151" spans="1:16" ht="13.5" customHeight="1" thickBot="1">
      <c r="A1151" s="475"/>
      <c r="B1151" s="127">
        <v>12</v>
      </c>
      <c r="C1151" s="187">
        <v>0</v>
      </c>
      <c r="D1151" s="187">
        <v>0</v>
      </c>
      <c r="E1151" s="187">
        <v>0</v>
      </c>
      <c r="F1151" s="188">
        <v>0</v>
      </c>
      <c r="G1151" s="187">
        <v>0</v>
      </c>
      <c r="H1151" s="187">
        <v>0</v>
      </c>
      <c r="I1151" s="187">
        <v>0</v>
      </c>
      <c r="J1151" s="187">
        <v>0</v>
      </c>
      <c r="K1151" s="187">
        <v>0</v>
      </c>
      <c r="L1151" s="189">
        <v>0</v>
      </c>
      <c r="M1151" s="154">
        <f t="shared" si="307"/>
        <v>0</v>
      </c>
      <c r="N1151" s="155">
        <f t="shared" si="308"/>
        <v>0</v>
      </c>
      <c r="O1151" s="168">
        <f t="shared" si="310"/>
        <v>0</v>
      </c>
      <c r="P1151" s="157">
        <f t="shared" si="311"/>
        <v>0</v>
      </c>
    </row>
    <row r="1152" spans="1:16" ht="13.5" customHeight="1">
      <c r="A1152" s="473">
        <v>2018</v>
      </c>
      <c r="B1152" s="410">
        <v>1</v>
      </c>
      <c r="C1152" s="158">
        <v>0</v>
      </c>
      <c r="D1152" s="158">
        <v>0</v>
      </c>
      <c r="E1152" s="158">
        <v>0</v>
      </c>
      <c r="F1152" s="169">
        <v>0</v>
      </c>
      <c r="G1152" s="158">
        <v>0</v>
      </c>
      <c r="H1152" s="158">
        <v>0</v>
      </c>
      <c r="I1152" s="158">
        <v>0</v>
      </c>
      <c r="J1152" s="158">
        <v>0</v>
      </c>
      <c r="K1152" s="158">
        <v>0</v>
      </c>
      <c r="L1152" s="159">
        <v>0</v>
      </c>
      <c r="M1152" s="424">
        <f t="shared" si="307"/>
        <v>0</v>
      </c>
      <c r="N1152" s="425">
        <f t="shared" si="308"/>
        <v>0</v>
      </c>
      <c r="O1152" s="430">
        <f t="shared" si="310"/>
        <v>0</v>
      </c>
      <c r="P1152" s="427">
        <f t="shared" si="311"/>
        <v>0</v>
      </c>
    </row>
    <row r="1153" spans="1:16" ht="13.5" customHeight="1">
      <c r="A1153" s="474"/>
      <c r="B1153" s="127">
        <v>2</v>
      </c>
      <c r="C1153" s="158">
        <v>0</v>
      </c>
      <c r="D1153" s="158">
        <v>0</v>
      </c>
      <c r="E1153" s="158">
        <v>0</v>
      </c>
      <c r="F1153" s="169">
        <v>0</v>
      </c>
      <c r="G1153" s="158">
        <v>0</v>
      </c>
      <c r="H1153" s="158">
        <v>0</v>
      </c>
      <c r="I1153" s="158">
        <v>0</v>
      </c>
      <c r="J1153" s="158">
        <v>0</v>
      </c>
      <c r="K1153" s="158">
        <v>0</v>
      </c>
      <c r="L1153" s="159">
        <v>0</v>
      </c>
      <c r="M1153" s="154">
        <f t="shared" si="307"/>
        <v>0</v>
      </c>
      <c r="N1153" s="155">
        <f t="shared" si="308"/>
        <v>0</v>
      </c>
      <c r="O1153" s="168">
        <f t="shared" si="310"/>
        <v>0</v>
      </c>
      <c r="P1153" s="157">
        <f t="shared" si="311"/>
        <v>0</v>
      </c>
    </row>
    <row r="1154" spans="1:16" ht="13.5" customHeight="1">
      <c r="A1154" s="474"/>
      <c r="B1154" s="127">
        <v>3</v>
      </c>
      <c r="C1154" s="158">
        <v>0</v>
      </c>
      <c r="D1154" s="158">
        <v>0</v>
      </c>
      <c r="E1154" s="158">
        <v>0</v>
      </c>
      <c r="F1154" s="169">
        <v>0</v>
      </c>
      <c r="G1154" s="158">
        <v>0</v>
      </c>
      <c r="H1154" s="158">
        <v>0</v>
      </c>
      <c r="I1154" s="158">
        <v>0</v>
      </c>
      <c r="J1154" s="158">
        <v>0</v>
      </c>
      <c r="K1154" s="158">
        <v>0</v>
      </c>
      <c r="L1154" s="159">
        <v>0</v>
      </c>
      <c r="M1154" s="154">
        <f t="shared" si="307"/>
        <v>0</v>
      </c>
      <c r="N1154" s="155">
        <f t="shared" si="308"/>
        <v>0</v>
      </c>
      <c r="O1154" s="168">
        <f t="shared" si="310"/>
        <v>0</v>
      </c>
      <c r="P1154" s="157">
        <f t="shared" si="311"/>
        <v>0</v>
      </c>
    </row>
    <row r="1155" spans="1:16" ht="13.5" customHeight="1">
      <c r="A1155" s="474"/>
      <c r="B1155" s="127">
        <v>4</v>
      </c>
      <c r="C1155" s="158">
        <v>1</v>
      </c>
      <c r="D1155" s="158">
        <v>0</v>
      </c>
      <c r="E1155" s="158">
        <v>0</v>
      </c>
      <c r="F1155" s="169">
        <v>0</v>
      </c>
      <c r="G1155" s="158">
        <v>0</v>
      </c>
      <c r="H1155" s="158">
        <v>0</v>
      </c>
      <c r="I1155" s="158">
        <v>0</v>
      </c>
      <c r="J1155" s="158">
        <v>0</v>
      </c>
      <c r="K1155" s="158">
        <v>2</v>
      </c>
      <c r="L1155" s="159">
        <v>0</v>
      </c>
      <c r="M1155" s="154">
        <f t="shared" si="307"/>
        <v>3</v>
      </c>
      <c r="N1155" s="155">
        <f t="shared" si="308"/>
        <v>0</v>
      </c>
      <c r="O1155" s="168">
        <f t="shared" si="310"/>
        <v>9.6774193548387094E-2</v>
      </c>
      <c r="P1155" s="157">
        <f t="shared" si="311"/>
        <v>0</v>
      </c>
    </row>
    <row r="1156" spans="1:16" ht="13.5" customHeight="1">
      <c r="A1156" s="474"/>
      <c r="B1156" s="127">
        <v>5</v>
      </c>
      <c r="C1156" s="158">
        <v>5</v>
      </c>
      <c r="D1156" s="158">
        <v>7</v>
      </c>
      <c r="E1156" s="158">
        <v>0</v>
      </c>
      <c r="F1156" s="169">
        <v>0</v>
      </c>
      <c r="G1156" s="158">
        <v>3</v>
      </c>
      <c r="H1156" s="158">
        <v>0</v>
      </c>
      <c r="I1156" s="158">
        <v>0</v>
      </c>
      <c r="J1156" s="158">
        <v>0</v>
      </c>
      <c r="K1156" s="158">
        <v>0</v>
      </c>
      <c r="L1156" s="159">
        <v>2</v>
      </c>
      <c r="M1156" s="154">
        <f t="shared" si="307"/>
        <v>8</v>
      </c>
      <c r="N1156" s="155">
        <f t="shared" si="308"/>
        <v>9</v>
      </c>
      <c r="O1156" s="168">
        <f t="shared" si="310"/>
        <v>0.25806451612903225</v>
      </c>
      <c r="P1156" s="157">
        <f t="shared" si="311"/>
        <v>0.29032258064516131</v>
      </c>
    </row>
    <row r="1157" spans="1:16" ht="13.5" customHeight="1">
      <c r="A1157" s="474"/>
      <c r="B1157" s="127">
        <v>6</v>
      </c>
      <c r="C1157" s="158">
        <v>8</v>
      </c>
      <c r="D1157" s="158">
        <v>15</v>
      </c>
      <c r="E1157" s="158">
        <v>0</v>
      </c>
      <c r="F1157" s="169">
        <v>0</v>
      </c>
      <c r="G1157" s="158">
        <v>0</v>
      </c>
      <c r="H1157" s="158">
        <v>0</v>
      </c>
      <c r="I1157" s="158">
        <v>0</v>
      </c>
      <c r="J1157" s="158">
        <v>0</v>
      </c>
      <c r="K1157" s="158">
        <v>0</v>
      </c>
      <c r="L1157" s="159">
        <v>0</v>
      </c>
      <c r="M1157" s="154">
        <f t="shared" si="307"/>
        <v>8</v>
      </c>
      <c r="N1157" s="155">
        <f t="shared" si="308"/>
        <v>15</v>
      </c>
      <c r="O1157" s="168">
        <f>M1157/30</f>
        <v>0.26666666666666666</v>
      </c>
      <c r="P1157" s="157">
        <f>N1157/30</f>
        <v>0.5</v>
      </c>
    </row>
    <row r="1158" spans="1:16" ht="13.5" customHeight="1">
      <c r="A1158" s="474"/>
      <c r="B1158" s="127">
        <v>7</v>
      </c>
      <c r="C1158" s="158">
        <v>14</v>
      </c>
      <c r="D1158" s="158">
        <v>24</v>
      </c>
      <c r="E1158" s="158">
        <v>0</v>
      </c>
      <c r="F1158" s="158">
        <v>0</v>
      </c>
      <c r="G1158" s="158">
        <v>4</v>
      </c>
      <c r="H1158" s="158">
        <v>6</v>
      </c>
      <c r="I1158" s="158">
        <v>0</v>
      </c>
      <c r="J1158" s="158">
        <v>0</v>
      </c>
      <c r="K1158" s="158">
        <v>0</v>
      </c>
      <c r="L1158" s="158">
        <v>0</v>
      </c>
      <c r="M1158" s="154">
        <f t="shared" si="307"/>
        <v>18</v>
      </c>
      <c r="N1158" s="155">
        <f t="shared" si="308"/>
        <v>30</v>
      </c>
      <c r="O1158" s="168">
        <f t="shared" ref="O1158:P1180" si="312">M1158/31</f>
        <v>0.58064516129032262</v>
      </c>
      <c r="P1158" s="157">
        <f t="shared" si="312"/>
        <v>0.967741935483871</v>
      </c>
    </row>
    <row r="1159" spans="1:16" ht="13.5" customHeight="1">
      <c r="A1159" s="474"/>
      <c r="B1159" s="127">
        <v>8</v>
      </c>
      <c r="C1159" s="158">
        <v>19</v>
      </c>
      <c r="D1159" s="158">
        <v>16</v>
      </c>
      <c r="E1159" s="158">
        <v>0</v>
      </c>
      <c r="F1159" s="158">
        <v>0</v>
      </c>
      <c r="G1159" s="158">
        <v>4</v>
      </c>
      <c r="H1159" s="158">
        <v>2</v>
      </c>
      <c r="I1159" s="158">
        <v>0</v>
      </c>
      <c r="J1159" s="158">
        <v>0</v>
      </c>
      <c r="K1159" s="158">
        <v>4</v>
      </c>
      <c r="L1159" s="159">
        <v>0</v>
      </c>
      <c r="M1159" s="177">
        <f t="shared" si="307"/>
        <v>27</v>
      </c>
      <c r="N1159" s="158">
        <f t="shared" si="308"/>
        <v>18</v>
      </c>
      <c r="O1159" s="168">
        <f t="shared" si="312"/>
        <v>0.87096774193548387</v>
      </c>
      <c r="P1159" s="157">
        <f t="shared" si="312"/>
        <v>0.58064516129032262</v>
      </c>
    </row>
    <row r="1160" spans="1:16" ht="13.5" customHeight="1">
      <c r="A1160" s="474"/>
      <c r="B1160" s="127">
        <v>9</v>
      </c>
      <c r="C1160" s="147">
        <v>16</v>
      </c>
      <c r="D1160" s="147">
        <v>23</v>
      </c>
      <c r="E1160" s="147">
        <v>0</v>
      </c>
      <c r="F1160" s="147">
        <v>0</v>
      </c>
      <c r="G1160" s="147">
        <v>5</v>
      </c>
      <c r="H1160" s="147">
        <v>0</v>
      </c>
      <c r="I1160" s="147">
        <v>0</v>
      </c>
      <c r="J1160" s="147">
        <v>0</v>
      </c>
      <c r="K1160" s="147">
        <v>0</v>
      </c>
      <c r="L1160" s="148">
        <v>0</v>
      </c>
      <c r="M1160" s="177">
        <f t="shared" si="307"/>
        <v>21</v>
      </c>
      <c r="N1160" s="158">
        <f t="shared" si="308"/>
        <v>23</v>
      </c>
      <c r="O1160" s="168">
        <f t="shared" si="312"/>
        <v>0.67741935483870963</v>
      </c>
      <c r="P1160" s="157">
        <f t="shared" si="312"/>
        <v>0.74193548387096775</v>
      </c>
    </row>
    <row r="1161" spans="1:16" ht="13.5" customHeight="1">
      <c r="A1161" s="474"/>
      <c r="B1161" s="127">
        <v>10</v>
      </c>
      <c r="C1161" s="147">
        <v>14</v>
      </c>
      <c r="D1161" s="147">
        <v>73</v>
      </c>
      <c r="E1161" s="147">
        <v>0</v>
      </c>
      <c r="F1161" s="181">
        <v>0</v>
      </c>
      <c r="G1161" s="147">
        <v>2</v>
      </c>
      <c r="H1161" s="147">
        <v>32</v>
      </c>
      <c r="I1161" s="147">
        <v>0</v>
      </c>
      <c r="J1161" s="147">
        <v>0</v>
      </c>
      <c r="K1161" s="147">
        <v>1</v>
      </c>
      <c r="L1161" s="148">
        <v>0</v>
      </c>
      <c r="M1161" s="154">
        <f t="shared" si="307"/>
        <v>17</v>
      </c>
      <c r="N1161" s="155">
        <f t="shared" si="308"/>
        <v>105</v>
      </c>
      <c r="O1161" s="168">
        <f t="shared" si="312"/>
        <v>0.54838709677419351</v>
      </c>
      <c r="P1161" s="157">
        <f t="shared" si="312"/>
        <v>3.3870967741935485</v>
      </c>
    </row>
    <row r="1162" spans="1:16" ht="13.5" customHeight="1">
      <c r="A1162" s="474"/>
      <c r="B1162" s="127">
        <v>11</v>
      </c>
      <c r="C1162" s="367">
        <v>0</v>
      </c>
      <c r="D1162" s="367">
        <v>0</v>
      </c>
      <c r="E1162" s="367">
        <v>0</v>
      </c>
      <c r="F1162" s="367">
        <v>0</v>
      </c>
      <c r="G1162" s="367">
        <v>0</v>
      </c>
      <c r="H1162" s="367">
        <v>0</v>
      </c>
      <c r="I1162" s="367">
        <v>0</v>
      </c>
      <c r="J1162" s="367">
        <v>0</v>
      </c>
      <c r="K1162" s="367">
        <v>0</v>
      </c>
      <c r="L1162" s="368">
        <v>0</v>
      </c>
      <c r="M1162" s="154">
        <f t="shared" si="307"/>
        <v>0</v>
      </c>
      <c r="N1162" s="155">
        <f t="shared" si="308"/>
        <v>0</v>
      </c>
      <c r="O1162" s="168">
        <f t="shared" si="312"/>
        <v>0</v>
      </c>
      <c r="P1162" s="157">
        <f t="shared" si="312"/>
        <v>0</v>
      </c>
    </row>
    <row r="1163" spans="1:16" ht="13.5" customHeight="1" thickBot="1">
      <c r="A1163" s="475"/>
      <c r="B1163" s="127">
        <v>12</v>
      </c>
      <c r="C1163" s="187">
        <v>0</v>
      </c>
      <c r="D1163" s="187">
        <v>0</v>
      </c>
      <c r="E1163" s="187">
        <v>0</v>
      </c>
      <c r="F1163" s="188">
        <v>0</v>
      </c>
      <c r="G1163" s="187">
        <v>0</v>
      </c>
      <c r="H1163" s="187">
        <v>0</v>
      </c>
      <c r="I1163" s="187">
        <v>0</v>
      </c>
      <c r="J1163" s="187">
        <v>0</v>
      </c>
      <c r="K1163" s="187">
        <v>0</v>
      </c>
      <c r="L1163" s="189">
        <v>0</v>
      </c>
      <c r="M1163" s="154">
        <f t="shared" si="307"/>
        <v>0</v>
      </c>
      <c r="N1163" s="155">
        <f t="shared" si="308"/>
        <v>0</v>
      </c>
      <c r="O1163" s="168">
        <f t="shared" si="312"/>
        <v>0</v>
      </c>
      <c r="P1163" s="157">
        <f t="shared" si="312"/>
        <v>0</v>
      </c>
    </row>
    <row r="1164" spans="1:16" ht="13.5" customHeight="1">
      <c r="A1164" s="473">
        <v>2019</v>
      </c>
      <c r="B1164" s="410">
        <v>1</v>
      </c>
      <c r="C1164" s="158">
        <v>0</v>
      </c>
      <c r="D1164" s="158">
        <v>0</v>
      </c>
      <c r="E1164" s="158">
        <v>0</v>
      </c>
      <c r="F1164" s="169">
        <v>0</v>
      </c>
      <c r="G1164" s="158">
        <v>0</v>
      </c>
      <c r="H1164" s="158">
        <v>0</v>
      </c>
      <c r="I1164" s="158">
        <v>0</v>
      </c>
      <c r="J1164" s="158">
        <v>0</v>
      </c>
      <c r="K1164" s="158">
        <v>0</v>
      </c>
      <c r="L1164" s="159">
        <v>0</v>
      </c>
      <c r="M1164" s="424">
        <f t="shared" si="307"/>
        <v>0</v>
      </c>
      <c r="N1164" s="425">
        <f t="shared" si="308"/>
        <v>0</v>
      </c>
      <c r="O1164" s="430">
        <f t="shared" ref="O1164:O1168" si="313">M1164/31</f>
        <v>0</v>
      </c>
      <c r="P1164" s="427">
        <f t="shared" ref="P1164:P1168" si="314">N1164/31</f>
        <v>0</v>
      </c>
    </row>
    <row r="1165" spans="1:16" ht="13.5" customHeight="1">
      <c r="A1165" s="474"/>
      <c r="B1165" s="127">
        <v>2</v>
      </c>
      <c r="C1165" s="158">
        <v>0</v>
      </c>
      <c r="D1165" s="158">
        <v>0</v>
      </c>
      <c r="E1165" s="158">
        <v>0</v>
      </c>
      <c r="F1165" s="169">
        <v>0</v>
      </c>
      <c r="G1165" s="158">
        <v>0</v>
      </c>
      <c r="H1165" s="158">
        <v>0</v>
      </c>
      <c r="I1165" s="158">
        <v>0</v>
      </c>
      <c r="J1165" s="158">
        <v>0</v>
      </c>
      <c r="K1165" s="158">
        <v>0</v>
      </c>
      <c r="L1165" s="159">
        <v>0</v>
      </c>
      <c r="M1165" s="154">
        <f t="shared" si="307"/>
        <v>0</v>
      </c>
      <c r="N1165" s="155">
        <f t="shared" si="308"/>
        <v>0</v>
      </c>
      <c r="O1165" s="168">
        <f t="shared" si="313"/>
        <v>0</v>
      </c>
      <c r="P1165" s="157">
        <f t="shared" si="314"/>
        <v>0</v>
      </c>
    </row>
    <row r="1166" spans="1:16" ht="13.5" customHeight="1">
      <c r="A1166" s="474"/>
      <c r="B1166" s="127">
        <v>3</v>
      </c>
      <c r="C1166" s="158">
        <v>2</v>
      </c>
      <c r="D1166" s="158">
        <v>0</v>
      </c>
      <c r="E1166" s="158">
        <v>0</v>
      </c>
      <c r="F1166" s="169">
        <v>0</v>
      </c>
      <c r="G1166" s="158">
        <v>0</v>
      </c>
      <c r="H1166" s="158">
        <v>0</v>
      </c>
      <c r="I1166" s="158">
        <v>0</v>
      </c>
      <c r="J1166" s="158">
        <v>0</v>
      </c>
      <c r="K1166" s="158">
        <v>0</v>
      </c>
      <c r="L1166" s="159">
        <v>0</v>
      </c>
      <c r="M1166" s="154">
        <f t="shared" si="307"/>
        <v>2</v>
      </c>
      <c r="N1166" s="155">
        <f t="shared" si="308"/>
        <v>0</v>
      </c>
      <c r="O1166" s="168">
        <f t="shared" si="313"/>
        <v>6.4516129032258063E-2</v>
      </c>
      <c r="P1166" s="157">
        <f t="shared" si="314"/>
        <v>0</v>
      </c>
    </row>
    <row r="1167" spans="1:16" ht="13.5" customHeight="1">
      <c r="A1167" s="474"/>
      <c r="B1167" s="127">
        <v>4</v>
      </c>
      <c r="C1167" s="158">
        <v>7</v>
      </c>
      <c r="D1167" s="158">
        <v>4</v>
      </c>
      <c r="E1167" s="158">
        <v>0</v>
      </c>
      <c r="F1167" s="169">
        <v>0</v>
      </c>
      <c r="G1167" s="158">
        <v>2</v>
      </c>
      <c r="H1167" s="158">
        <v>0</v>
      </c>
      <c r="I1167" s="158">
        <v>0</v>
      </c>
      <c r="J1167" s="158">
        <v>0</v>
      </c>
      <c r="K1167" s="158">
        <v>0</v>
      </c>
      <c r="L1167" s="159">
        <v>0</v>
      </c>
      <c r="M1167" s="154">
        <f t="shared" si="307"/>
        <v>9</v>
      </c>
      <c r="N1167" s="155">
        <f t="shared" si="308"/>
        <v>4</v>
      </c>
      <c r="O1167" s="168">
        <f t="shared" si="313"/>
        <v>0.29032258064516131</v>
      </c>
      <c r="P1167" s="157">
        <f t="shared" si="314"/>
        <v>0.12903225806451613</v>
      </c>
    </row>
    <row r="1168" spans="1:16" ht="13.5" customHeight="1">
      <c r="A1168" s="474"/>
      <c r="B1168" s="127">
        <v>5</v>
      </c>
      <c r="C1168" s="158">
        <v>2</v>
      </c>
      <c r="D1168" s="158">
        <v>8</v>
      </c>
      <c r="E1168" s="158">
        <v>0</v>
      </c>
      <c r="F1168" s="169">
        <v>0</v>
      </c>
      <c r="G1168" s="158">
        <v>4</v>
      </c>
      <c r="H1168" s="158">
        <v>0</v>
      </c>
      <c r="I1168" s="158">
        <v>0</v>
      </c>
      <c r="J1168" s="158">
        <v>0</v>
      </c>
      <c r="K1168" s="158">
        <v>0</v>
      </c>
      <c r="L1168" s="159">
        <v>0</v>
      </c>
      <c r="M1168" s="154">
        <f t="shared" si="307"/>
        <v>6</v>
      </c>
      <c r="N1168" s="155">
        <f t="shared" si="308"/>
        <v>8</v>
      </c>
      <c r="O1168" s="168">
        <f t="shared" si="313"/>
        <v>0.19354838709677419</v>
      </c>
      <c r="P1168" s="157">
        <f t="shared" si="314"/>
        <v>0.25806451612903225</v>
      </c>
    </row>
    <row r="1169" spans="1:16" ht="13.5" customHeight="1">
      <c r="A1169" s="474"/>
      <c r="B1169" s="127">
        <v>6</v>
      </c>
      <c r="C1169" s="158">
        <v>2</v>
      </c>
      <c r="D1169" s="158">
        <v>3</v>
      </c>
      <c r="E1169" s="158">
        <v>0</v>
      </c>
      <c r="F1169" s="169">
        <v>0</v>
      </c>
      <c r="G1169" s="158">
        <v>2</v>
      </c>
      <c r="H1169" s="158">
        <v>2</v>
      </c>
      <c r="I1169" s="158">
        <v>0</v>
      </c>
      <c r="J1169" s="158">
        <v>0</v>
      </c>
      <c r="K1169" s="158">
        <v>2</v>
      </c>
      <c r="L1169" s="159">
        <v>0</v>
      </c>
      <c r="M1169" s="154">
        <f t="shared" si="307"/>
        <v>6</v>
      </c>
      <c r="N1169" s="155">
        <f t="shared" si="308"/>
        <v>5</v>
      </c>
      <c r="O1169" s="168">
        <f>M1169/30</f>
        <v>0.2</v>
      </c>
      <c r="P1169" s="157">
        <f>N1169/30</f>
        <v>0.16666666666666666</v>
      </c>
    </row>
    <row r="1170" spans="1:16" ht="13.5" customHeight="1">
      <c r="A1170" s="474"/>
      <c r="B1170" s="127">
        <v>7</v>
      </c>
      <c r="C1170" s="158">
        <v>18</v>
      </c>
      <c r="D1170" s="158">
        <v>33</v>
      </c>
      <c r="E1170" s="158">
        <v>0</v>
      </c>
      <c r="F1170" s="158">
        <v>0</v>
      </c>
      <c r="G1170" s="158">
        <v>3</v>
      </c>
      <c r="H1170" s="158">
        <v>10</v>
      </c>
      <c r="I1170" s="158">
        <v>0</v>
      </c>
      <c r="J1170" s="158">
        <v>0</v>
      </c>
      <c r="K1170" s="158">
        <v>2</v>
      </c>
      <c r="L1170" s="158">
        <v>10</v>
      </c>
      <c r="M1170" s="154">
        <f t="shared" si="307"/>
        <v>23</v>
      </c>
      <c r="N1170" s="155">
        <f t="shared" si="308"/>
        <v>53</v>
      </c>
      <c r="O1170" s="168">
        <f t="shared" ref="O1170:O1171" si="315">M1170/31</f>
        <v>0.74193548387096775</v>
      </c>
      <c r="P1170" s="157">
        <f t="shared" ref="P1170:P1171" si="316">N1170/31</f>
        <v>1.7096774193548387</v>
      </c>
    </row>
    <row r="1171" spans="1:16" ht="13.5" customHeight="1">
      <c r="A1171" s="474"/>
      <c r="B1171" s="127">
        <v>8</v>
      </c>
      <c r="C1171" s="158">
        <v>20</v>
      </c>
      <c r="D1171" s="158">
        <v>30</v>
      </c>
      <c r="E1171" s="158">
        <v>0</v>
      </c>
      <c r="F1171" s="158">
        <v>0</v>
      </c>
      <c r="G1171" s="158">
        <v>0</v>
      </c>
      <c r="H1171" s="158">
        <v>4</v>
      </c>
      <c r="I1171" s="158">
        <v>0</v>
      </c>
      <c r="J1171" s="158">
        <v>0</v>
      </c>
      <c r="K1171" s="158">
        <v>1</v>
      </c>
      <c r="L1171" s="159">
        <v>0</v>
      </c>
      <c r="M1171" s="177">
        <f t="shared" si="307"/>
        <v>21</v>
      </c>
      <c r="N1171" s="158">
        <f t="shared" si="308"/>
        <v>34</v>
      </c>
      <c r="O1171" s="168">
        <f t="shared" si="315"/>
        <v>0.67741935483870963</v>
      </c>
      <c r="P1171" s="157">
        <f t="shared" si="316"/>
        <v>1.096774193548387</v>
      </c>
    </row>
    <row r="1172" spans="1:16" ht="13.5" customHeight="1">
      <c r="A1172" s="474"/>
      <c r="B1172" s="127">
        <v>9</v>
      </c>
      <c r="C1172" s="147">
        <v>17</v>
      </c>
      <c r="D1172" s="147">
        <v>30</v>
      </c>
      <c r="E1172" s="147">
        <v>0</v>
      </c>
      <c r="F1172" s="147">
        <v>0</v>
      </c>
      <c r="G1172" s="147">
        <v>7</v>
      </c>
      <c r="H1172" s="147">
        <v>8</v>
      </c>
      <c r="I1172" s="147">
        <v>0</v>
      </c>
      <c r="J1172" s="147">
        <v>0</v>
      </c>
      <c r="K1172" s="147">
        <v>2</v>
      </c>
      <c r="L1172" s="148">
        <v>0</v>
      </c>
      <c r="M1172" s="177">
        <v>26</v>
      </c>
      <c r="N1172" s="158">
        <v>38</v>
      </c>
      <c r="O1172" s="168">
        <v>0.83870967741935487</v>
      </c>
      <c r="P1172" s="157">
        <v>1.2258064516129032</v>
      </c>
    </row>
    <row r="1173" spans="1:16" ht="13.5" customHeight="1">
      <c r="A1173" s="474"/>
      <c r="B1173" s="127">
        <v>10</v>
      </c>
      <c r="C1173" s="147">
        <v>14</v>
      </c>
      <c r="D1173" s="147">
        <v>75</v>
      </c>
      <c r="E1173" s="147">
        <v>0</v>
      </c>
      <c r="F1173" s="181">
        <v>0</v>
      </c>
      <c r="G1173" s="147">
        <v>1</v>
      </c>
      <c r="H1173" s="147">
        <v>10</v>
      </c>
      <c r="I1173" s="147">
        <v>0</v>
      </c>
      <c r="J1173" s="147">
        <v>0</v>
      </c>
      <c r="K1173" s="147">
        <v>0</v>
      </c>
      <c r="L1173" s="148">
        <v>6</v>
      </c>
      <c r="M1173" s="154">
        <f t="shared" ref="M1173:M1175" si="317">+C1173+E1173+G1173+I1173+K1173</f>
        <v>15</v>
      </c>
      <c r="N1173" s="155">
        <f t="shared" ref="N1173:N1175" si="318">+D1173+F1173+H1173+J1173+L1173</f>
        <v>91</v>
      </c>
      <c r="O1173" s="168">
        <f t="shared" ref="O1173:O1175" si="319">M1173/31</f>
        <v>0.4838709677419355</v>
      </c>
      <c r="P1173" s="157">
        <f t="shared" ref="P1173:P1175" si="320">N1173/31</f>
        <v>2.935483870967742</v>
      </c>
    </row>
    <row r="1174" spans="1:16" ht="13.5" customHeight="1">
      <c r="A1174" s="474"/>
      <c r="B1174" s="127">
        <v>11</v>
      </c>
      <c r="C1174" s="367">
        <v>0</v>
      </c>
      <c r="D1174" s="367">
        <v>0</v>
      </c>
      <c r="E1174" s="367">
        <v>0</v>
      </c>
      <c r="F1174" s="367">
        <v>0</v>
      </c>
      <c r="G1174" s="367">
        <v>0</v>
      </c>
      <c r="H1174" s="367">
        <v>0</v>
      </c>
      <c r="I1174" s="367">
        <v>0</v>
      </c>
      <c r="J1174" s="367">
        <v>0</v>
      </c>
      <c r="K1174" s="367">
        <v>0</v>
      </c>
      <c r="L1174" s="368">
        <v>0</v>
      </c>
      <c r="M1174" s="154">
        <f t="shared" si="317"/>
        <v>0</v>
      </c>
      <c r="N1174" s="155">
        <f t="shared" si="318"/>
        <v>0</v>
      </c>
      <c r="O1174" s="168">
        <f t="shared" si="319"/>
        <v>0</v>
      </c>
      <c r="P1174" s="157">
        <f t="shared" si="320"/>
        <v>0</v>
      </c>
    </row>
    <row r="1175" spans="1:16" ht="13.5" customHeight="1" thickBot="1">
      <c r="A1175" s="475"/>
      <c r="B1175" s="127">
        <v>12</v>
      </c>
      <c r="C1175" s="187">
        <v>0</v>
      </c>
      <c r="D1175" s="187">
        <v>0</v>
      </c>
      <c r="E1175" s="187">
        <v>0</v>
      </c>
      <c r="F1175" s="188">
        <v>0</v>
      </c>
      <c r="G1175" s="187">
        <v>0</v>
      </c>
      <c r="H1175" s="187">
        <v>0</v>
      </c>
      <c r="I1175" s="187">
        <v>0</v>
      </c>
      <c r="J1175" s="187">
        <v>0</v>
      </c>
      <c r="K1175" s="187">
        <v>0</v>
      </c>
      <c r="L1175" s="189">
        <v>0</v>
      </c>
      <c r="M1175" s="154">
        <f t="shared" si="317"/>
        <v>0</v>
      </c>
      <c r="N1175" s="155">
        <f t="shared" si="318"/>
        <v>0</v>
      </c>
      <c r="O1175" s="168">
        <f t="shared" si="319"/>
        <v>0</v>
      </c>
      <c r="P1175" s="157">
        <f t="shared" si="320"/>
        <v>0</v>
      </c>
    </row>
    <row r="1176" spans="1:16" ht="13.5" customHeight="1">
      <c r="A1176" s="473">
        <v>2020</v>
      </c>
      <c r="B1176" s="410">
        <v>1</v>
      </c>
      <c r="C1176" s="158">
        <v>0</v>
      </c>
      <c r="D1176" s="158">
        <v>0</v>
      </c>
      <c r="E1176" s="158">
        <v>0</v>
      </c>
      <c r="F1176" s="169">
        <v>0</v>
      </c>
      <c r="G1176" s="158">
        <v>0</v>
      </c>
      <c r="H1176" s="158">
        <v>0</v>
      </c>
      <c r="I1176" s="158">
        <v>0</v>
      </c>
      <c r="J1176" s="158">
        <v>0</v>
      </c>
      <c r="K1176" s="158">
        <v>0</v>
      </c>
      <c r="L1176" s="159">
        <v>0</v>
      </c>
      <c r="M1176" s="424">
        <f t="shared" ref="M1176:M1187" si="321">+C1176+E1176+G1176+I1176+K1176</f>
        <v>0</v>
      </c>
      <c r="N1176" s="425">
        <f t="shared" ref="N1176:N1187" si="322">+D1176+F1176+H1176+J1176+L1176</f>
        <v>0</v>
      </c>
      <c r="O1176" s="430">
        <f t="shared" si="312"/>
        <v>0</v>
      </c>
      <c r="P1176" s="427">
        <f t="shared" si="312"/>
        <v>0</v>
      </c>
    </row>
    <row r="1177" spans="1:16" ht="13.5" customHeight="1">
      <c r="A1177" s="474"/>
      <c r="B1177" s="127">
        <v>2</v>
      </c>
      <c r="C1177" s="158">
        <v>0</v>
      </c>
      <c r="D1177" s="158">
        <v>0</v>
      </c>
      <c r="E1177" s="158">
        <v>0</v>
      </c>
      <c r="F1177" s="169">
        <v>0</v>
      </c>
      <c r="G1177" s="158">
        <v>0</v>
      </c>
      <c r="H1177" s="158">
        <v>0</v>
      </c>
      <c r="I1177" s="158">
        <v>0</v>
      </c>
      <c r="J1177" s="158">
        <v>0</v>
      </c>
      <c r="K1177" s="158">
        <v>0</v>
      </c>
      <c r="L1177" s="159">
        <v>0</v>
      </c>
      <c r="M1177" s="154">
        <f t="shared" si="321"/>
        <v>0</v>
      </c>
      <c r="N1177" s="155">
        <f t="shared" si="322"/>
        <v>0</v>
      </c>
      <c r="O1177" s="168">
        <f t="shared" si="312"/>
        <v>0</v>
      </c>
      <c r="P1177" s="157">
        <f t="shared" si="312"/>
        <v>0</v>
      </c>
    </row>
    <row r="1178" spans="1:16" ht="13.5" customHeight="1">
      <c r="A1178" s="474"/>
      <c r="B1178" s="127">
        <v>3</v>
      </c>
      <c r="C1178" s="158">
        <v>0</v>
      </c>
      <c r="D1178" s="158">
        <v>0</v>
      </c>
      <c r="E1178" s="158">
        <v>0</v>
      </c>
      <c r="F1178" s="169">
        <v>0</v>
      </c>
      <c r="G1178" s="158">
        <v>0</v>
      </c>
      <c r="H1178" s="158">
        <v>0</v>
      </c>
      <c r="I1178" s="158">
        <v>0</v>
      </c>
      <c r="J1178" s="158">
        <v>0</v>
      </c>
      <c r="K1178" s="158">
        <v>0</v>
      </c>
      <c r="L1178" s="159">
        <v>0</v>
      </c>
      <c r="M1178" s="154">
        <f t="shared" si="321"/>
        <v>0</v>
      </c>
      <c r="N1178" s="155">
        <f t="shared" si="322"/>
        <v>0</v>
      </c>
      <c r="O1178" s="168">
        <f t="shared" si="312"/>
        <v>0</v>
      </c>
      <c r="P1178" s="157">
        <f t="shared" si="312"/>
        <v>0</v>
      </c>
    </row>
    <row r="1179" spans="1:16" ht="13.5" customHeight="1">
      <c r="A1179" s="474"/>
      <c r="B1179" s="127">
        <v>4</v>
      </c>
      <c r="C1179" s="158">
        <v>0</v>
      </c>
      <c r="D1179" s="158">
        <v>0</v>
      </c>
      <c r="E1179" s="158">
        <v>0</v>
      </c>
      <c r="F1179" s="169">
        <v>0</v>
      </c>
      <c r="G1179" s="158">
        <v>0</v>
      </c>
      <c r="H1179" s="158">
        <v>0</v>
      </c>
      <c r="I1179" s="158">
        <v>0</v>
      </c>
      <c r="J1179" s="158">
        <v>0</v>
      </c>
      <c r="K1179" s="158">
        <v>0</v>
      </c>
      <c r="L1179" s="159">
        <v>0</v>
      </c>
      <c r="M1179" s="154">
        <f t="shared" si="321"/>
        <v>0</v>
      </c>
      <c r="N1179" s="155">
        <f t="shared" si="322"/>
        <v>0</v>
      </c>
      <c r="O1179" s="168">
        <f t="shared" si="312"/>
        <v>0</v>
      </c>
      <c r="P1179" s="157">
        <f t="shared" si="312"/>
        <v>0</v>
      </c>
    </row>
    <row r="1180" spans="1:16" ht="13.5" customHeight="1">
      <c r="A1180" s="474"/>
      <c r="B1180" s="127">
        <v>5</v>
      </c>
      <c r="C1180" s="158">
        <v>0</v>
      </c>
      <c r="D1180" s="158">
        <v>0</v>
      </c>
      <c r="E1180" s="158">
        <v>0</v>
      </c>
      <c r="F1180" s="169">
        <v>0</v>
      </c>
      <c r="G1180" s="158">
        <v>0</v>
      </c>
      <c r="H1180" s="158">
        <v>0</v>
      </c>
      <c r="I1180" s="158">
        <v>0</v>
      </c>
      <c r="J1180" s="158">
        <v>0</v>
      </c>
      <c r="K1180" s="158">
        <v>0</v>
      </c>
      <c r="L1180" s="159">
        <v>0</v>
      </c>
      <c r="M1180" s="154">
        <f t="shared" si="321"/>
        <v>0</v>
      </c>
      <c r="N1180" s="155">
        <f t="shared" si="322"/>
        <v>0</v>
      </c>
      <c r="O1180" s="168">
        <f t="shared" si="312"/>
        <v>0</v>
      </c>
      <c r="P1180" s="157">
        <f t="shared" si="312"/>
        <v>0</v>
      </c>
    </row>
    <row r="1181" spans="1:16" ht="13.5" customHeight="1">
      <c r="A1181" s="474"/>
      <c r="B1181" s="127">
        <v>6</v>
      </c>
      <c r="C1181" s="158">
        <f>集計用!C57</f>
        <v>0</v>
      </c>
      <c r="D1181" s="158">
        <f>集計用!S57</f>
        <v>0</v>
      </c>
      <c r="E1181" s="158">
        <f>集計用!E57</f>
        <v>0</v>
      </c>
      <c r="F1181" s="169">
        <f>集計用!U57</f>
        <v>0</v>
      </c>
      <c r="G1181" s="158">
        <f>集計用!G57</f>
        <v>0</v>
      </c>
      <c r="H1181" s="158">
        <f>集計用!W57</f>
        <v>0</v>
      </c>
      <c r="I1181" s="158">
        <f>集計用!I57</f>
        <v>0</v>
      </c>
      <c r="J1181" s="158">
        <f>集計用!Y57</f>
        <v>0</v>
      </c>
      <c r="K1181" s="158">
        <f>集計用!K57</f>
        <v>0</v>
      </c>
      <c r="L1181" s="159">
        <f>集計用!AA57</f>
        <v>0</v>
      </c>
      <c r="M1181" s="154">
        <f t="shared" si="321"/>
        <v>0</v>
      </c>
      <c r="N1181" s="155">
        <f t="shared" si="322"/>
        <v>0</v>
      </c>
      <c r="O1181" s="168">
        <f>M1181/30</f>
        <v>0</v>
      </c>
      <c r="P1181" s="157">
        <f>N1181/30</f>
        <v>0</v>
      </c>
    </row>
    <row r="1182" spans="1:16" ht="13.5" customHeight="1">
      <c r="A1182" s="474"/>
      <c r="B1182" s="127">
        <v>7</v>
      </c>
      <c r="C1182" s="158"/>
      <c r="D1182" s="158"/>
      <c r="E1182" s="158"/>
      <c r="F1182" s="158"/>
      <c r="G1182" s="158"/>
      <c r="H1182" s="158"/>
      <c r="I1182" s="158"/>
      <c r="J1182" s="158"/>
      <c r="K1182" s="158"/>
      <c r="L1182" s="158"/>
      <c r="M1182" s="154">
        <f t="shared" si="321"/>
        <v>0</v>
      </c>
      <c r="N1182" s="155">
        <f t="shared" si="322"/>
        <v>0</v>
      </c>
      <c r="O1182" s="168">
        <f t="shared" ref="O1182:O1187" si="323">M1182/31</f>
        <v>0</v>
      </c>
      <c r="P1182" s="157">
        <f t="shared" ref="P1182:P1187" si="324">N1182/31</f>
        <v>0</v>
      </c>
    </row>
    <row r="1183" spans="1:16" ht="13.5" customHeight="1">
      <c r="A1183" s="474"/>
      <c r="B1183" s="127">
        <v>8</v>
      </c>
      <c r="C1183" s="158"/>
      <c r="D1183" s="158"/>
      <c r="E1183" s="158"/>
      <c r="F1183" s="158"/>
      <c r="G1183" s="158"/>
      <c r="H1183" s="158"/>
      <c r="I1183" s="158"/>
      <c r="J1183" s="158"/>
      <c r="K1183" s="158"/>
      <c r="L1183" s="159"/>
      <c r="M1183" s="177">
        <f t="shared" si="321"/>
        <v>0</v>
      </c>
      <c r="N1183" s="158">
        <f t="shared" si="322"/>
        <v>0</v>
      </c>
      <c r="O1183" s="168">
        <f t="shared" si="323"/>
        <v>0</v>
      </c>
      <c r="P1183" s="157">
        <f t="shared" si="324"/>
        <v>0</v>
      </c>
    </row>
    <row r="1184" spans="1:16" ht="13.5" customHeight="1">
      <c r="A1184" s="474"/>
      <c r="B1184" s="127">
        <v>9</v>
      </c>
      <c r="C1184" s="147"/>
      <c r="D1184" s="147"/>
      <c r="E1184" s="147"/>
      <c r="F1184" s="147"/>
      <c r="G1184" s="147"/>
      <c r="H1184" s="147"/>
      <c r="I1184" s="147"/>
      <c r="J1184" s="147"/>
      <c r="K1184" s="147"/>
      <c r="L1184" s="148"/>
      <c r="M1184" s="177">
        <f t="shared" ref="M1184" si="325">+C1184+E1184+G1184+I1184+K1184</f>
        <v>0</v>
      </c>
      <c r="N1184" s="158">
        <f t="shared" ref="N1184" si="326">+D1184+F1184+H1184+J1184+L1184</f>
        <v>0</v>
      </c>
      <c r="O1184" s="168">
        <f>M1184/30</f>
        <v>0</v>
      </c>
      <c r="P1184" s="157">
        <f>N1184/30</f>
        <v>0</v>
      </c>
    </row>
    <row r="1185" spans="1:16" ht="13.5" customHeight="1">
      <c r="A1185" s="474"/>
      <c r="B1185" s="127">
        <v>10</v>
      </c>
      <c r="C1185" s="147"/>
      <c r="D1185" s="147"/>
      <c r="E1185" s="147"/>
      <c r="F1185" s="181"/>
      <c r="G1185" s="147"/>
      <c r="H1185" s="147"/>
      <c r="I1185" s="147"/>
      <c r="J1185" s="147"/>
      <c r="K1185" s="147"/>
      <c r="L1185" s="148"/>
      <c r="M1185" s="154">
        <f t="shared" ref="M1185" si="327">+C1185+E1185+G1185+I1185+K1185</f>
        <v>0</v>
      </c>
      <c r="N1185" s="155">
        <f t="shared" ref="N1185" si="328">+D1185+F1185+H1185+J1185+L1185</f>
        <v>0</v>
      </c>
      <c r="O1185" s="168">
        <f t="shared" ref="O1185" si="329">M1185/31</f>
        <v>0</v>
      </c>
      <c r="P1185" s="157">
        <f t="shared" ref="P1185" si="330">N1185/31</f>
        <v>0</v>
      </c>
    </row>
    <row r="1186" spans="1:16" ht="13.5" customHeight="1">
      <c r="A1186" s="474"/>
      <c r="B1186" s="127">
        <v>11</v>
      </c>
      <c r="C1186" s="367"/>
      <c r="D1186" s="367"/>
      <c r="E1186" s="367"/>
      <c r="F1186" s="367"/>
      <c r="G1186" s="367"/>
      <c r="H1186" s="367"/>
      <c r="I1186" s="367"/>
      <c r="J1186" s="367"/>
      <c r="K1186" s="367"/>
      <c r="L1186" s="368"/>
      <c r="M1186" s="154">
        <f t="shared" si="321"/>
        <v>0</v>
      </c>
      <c r="N1186" s="155">
        <f t="shared" si="322"/>
        <v>0</v>
      </c>
      <c r="O1186" s="168">
        <f t="shared" si="323"/>
        <v>0</v>
      </c>
      <c r="P1186" s="157">
        <f t="shared" si="324"/>
        <v>0</v>
      </c>
    </row>
    <row r="1187" spans="1:16" ht="13.5" customHeight="1" thickBot="1">
      <c r="A1187" s="475"/>
      <c r="B1187" s="127">
        <v>12</v>
      </c>
      <c r="C1187" s="187"/>
      <c r="D1187" s="187"/>
      <c r="E1187" s="187"/>
      <c r="F1187" s="188"/>
      <c r="G1187" s="187"/>
      <c r="H1187" s="187"/>
      <c r="I1187" s="187"/>
      <c r="J1187" s="187"/>
      <c r="K1187" s="187"/>
      <c r="L1187" s="189"/>
      <c r="M1187" s="154">
        <f t="shared" si="321"/>
        <v>0</v>
      </c>
      <c r="N1187" s="155">
        <f t="shared" si="322"/>
        <v>0</v>
      </c>
      <c r="O1187" s="168">
        <f t="shared" si="323"/>
        <v>0</v>
      </c>
      <c r="P1187" s="157">
        <f t="shared" si="324"/>
        <v>0</v>
      </c>
    </row>
    <row r="1188" spans="1:16" ht="18.75" customHeight="1" thickBot="1">
      <c r="A1188" s="180"/>
      <c r="B1188" s="160" t="s">
        <v>5</v>
      </c>
      <c r="C1188" s="161">
        <f>SUM(C1140:C1187)</f>
        <v>166</v>
      </c>
      <c r="D1188" s="161">
        <f t="shared" ref="D1188:K1188" si="331">SUM(D1140:D1187)</f>
        <v>358</v>
      </c>
      <c r="E1188" s="161">
        <f t="shared" si="331"/>
        <v>0</v>
      </c>
      <c r="F1188" s="161">
        <f t="shared" si="331"/>
        <v>0</v>
      </c>
      <c r="G1188" s="161">
        <f t="shared" si="331"/>
        <v>41</v>
      </c>
      <c r="H1188" s="161">
        <f t="shared" si="331"/>
        <v>80</v>
      </c>
      <c r="I1188" s="161">
        <f t="shared" si="331"/>
        <v>0</v>
      </c>
      <c r="J1188" s="161">
        <f t="shared" si="331"/>
        <v>0</v>
      </c>
      <c r="K1188" s="161">
        <f t="shared" si="331"/>
        <v>16</v>
      </c>
      <c r="L1188" s="161">
        <f>SUM(L1140:L1187)</f>
        <v>22</v>
      </c>
      <c r="M1188" s="162">
        <f>SUM(M1140:M1187)</f>
        <v>223</v>
      </c>
      <c r="N1188" s="161">
        <f>SUM(N1140:N1187)</f>
        <v>460</v>
      </c>
      <c r="O1188" s="161">
        <f>SUM(O1140:O1187)</f>
        <v>7.2086021505376348</v>
      </c>
      <c r="P1188" s="161">
        <f>SUM(P1140:P1187)</f>
        <v>14.860215053763442</v>
      </c>
    </row>
    <row r="1190" spans="1:16" ht="11.25" customHeight="1">
      <c r="B1190" s="467" t="s">
        <v>83</v>
      </c>
      <c r="C1190" s="469" t="s">
        <v>29</v>
      </c>
      <c r="D1190" s="470"/>
      <c r="E1190" s="469" t="s">
        <v>30</v>
      </c>
      <c r="F1190" s="470"/>
      <c r="G1190" s="469" t="s">
        <v>31</v>
      </c>
      <c r="H1190" s="470"/>
      <c r="I1190" s="469" t="s">
        <v>58</v>
      </c>
      <c r="J1190" s="470"/>
      <c r="K1190" s="469" t="s">
        <v>57</v>
      </c>
      <c r="L1190" s="471"/>
      <c r="M1190" s="470" t="s">
        <v>5</v>
      </c>
      <c r="N1190" s="472"/>
      <c r="O1190" s="472" t="s">
        <v>33</v>
      </c>
      <c r="P1190" s="472"/>
    </row>
    <row r="1191" spans="1:16" ht="11.25" customHeight="1" thickBot="1">
      <c r="B1191" s="468"/>
      <c r="C1191" s="13" t="s">
        <v>34</v>
      </c>
      <c r="D1191" s="13" t="s">
        <v>35</v>
      </c>
      <c r="E1191" s="13" t="s">
        <v>34</v>
      </c>
      <c r="F1191" s="13" t="s">
        <v>35</v>
      </c>
      <c r="G1191" s="13" t="s">
        <v>34</v>
      </c>
      <c r="H1191" s="13" t="s">
        <v>35</v>
      </c>
      <c r="I1191" s="13" t="s">
        <v>59</v>
      </c>
      <c r="J1191" s="13" t="s">
        <v>60</v>
      </c>
      <c r="K1191" s="13" t="s">
        <v>34</v>
      </c>
      <c r="L1191" s="14" t="s">
        <v>35</v>
      </c>
      <c r="M1191" s="15" t="s">
        <v>34</v>
      </c>
      <c r="N1191" s="13" t="s">
        <v>35</v>
      </c>
      <c r="O1191" s="163" t="s">
        <v>34</v>
      </c>
      <c r="P1191" s="163" t="s">
        <v>35</v>
      </c>
    </row>
    <row r="1192" spans="1:16" ht="13.5" customHeight="1">
      <c r="A1192" s="473">
        <v>2017</v>
      </c>
      <c r="B1192" s="410">
        <v>1</v>
      </c>
      <c r="C1192" s="422"/>
      <c r="D1192" s="422"/>
      <c r="E1192" s="422"/>
      <c r="F1192" s="422"/>
      <c r="G1192" s="422"/>
      <c r="H1192" s="422"/>
      <c r="I1192" s="422"/>
      <c r="J1192" s="422"/>
      <c r="K1192" s="422"/>
      <c r="L1192" s="432"/>
      <c r="M1192" s="424">
        <f t="shared" ref="M1192:M1223" si="332">+C1192+E1192+G1192+I1192+K1192</f>
        <v>0</v>
      </c>
      <c r="N1192" s="425">
        <f t="shared" ref="N1192:N1223" si="333">+D1192+F1192+H1192+J1192+L1192</f>
        <v>0</v>
      </c>
      <c r="O1192" s="430">
        <f t="shared" ref="O1192:P1196" si="334">M1192/31</f>
        <v>0</v>
      </c>
      <c r="P1192" s="427">
        <f t="shared" si="334"/>
        <v>0</v>
      </c>
    </row>
    <row r="1193" spans="1:16" ht="13.5" customHeight="1">
      <c r="A1193" s="474"/>
      <c r="B1193" s="127">
        <v>2</v>
      </c>
      <c r="C1193" s="147"/>
      <c r="D1193" s="147"/>
      <c r="E1193" s="147"/>
      <c r="F1193" s="147"/>
      <c r="G1193" s="147"/>
      <c r="H1193" s="147"/>
      <c r="I1193" s="147"/>
      <c r="J1193" s="147"/>
      <c r="K1193" s="147"/>
      <c r="L1193" s="174"/>
      <c r="M1193" s="149">
        <f t="shared" si="332"/>
        <v>0</v>
      </c>
      <c r="N1193" s="150">
        <f t="shared" si="333"/>
        <v>0</v>
      </c>
      <c r="O1193" s="167">
        <f t="shared" si="334"/>
        <v>0</v>
      </c>
      <c r="P1193" s="152">
        <f t="shared" si="334"/>
        <v>0</v>
      </c>
    </row>
    <row r="1194" spans="1:16" ht="13.5" customHeight="1">
      <c r="A1194" s="474"/>
      <c r="B1194" s="127">
        <v>3</v>
      </c>
      <c r="C1194" s="147"/>
      <c r="D1194" s="147"/>
      <c r="E1194" s="147"/>
      <c r="F1194" s="147"/>
      <c r="G1194" s="147"/>
      <c r="H1194" s="147"/>
      <c r="I1194" s="147"/>
      <c r="J1194" s="147"/>
      <c r="K1194" s="147"/>
      <c r="L1194" s="174"/>
      <c r="M1194" s="149">
        <f t="shared" si="332"/>
        <v>0</v>
      </c>
      <c r="N1194" s="150">
        <f t="shared" si="333"/>
        <v>0</v>
      </c>
      <c r="O1194" s="167">
        <f t="shared" si="334"/>
        <v>0</v>
      </c>
      <c r="P1194" s="152">
        <f t="shared" si="334"/>
        <v>0</v>
      </c>
    </row>
    <row r="1195" spans="1:16" ht="13.5" customHeight="1">
      <c r="A1195" s="474"/>
      <c r="B1195" s="127">
        <v>4</v>
      </c>
      <c r="C1195" s="158"/>
      <c r="D1195" s="158"/>
      <c r="E1195" s="158"/>
      <c r="F1195" s="158"/>
      <c r="G1195" s="158"/>
      <c r="H1195" s="158"/>
      <c r="I1195" s="158"/>
      <c r="J1195" s="158"/>
      <c r="K1195" s="158"/>
      <c r="L1195" s="159"/>
      <c r="M1195" s="154">
        <f t="shared" si="332"/>
        <v>0</v>
      </c>
      <c r="N1195" s="155">
        <f t="shared" si="333"/>
        <v>0</v>
      </c>
      <c r="O1195" s="168">
        <f t="shared" si="334"/>
        <v>0</v>
      </c>
      <c r="P1195" s="157">
        <f t="shared" si="334"/>
        <v>0</v>
      </c>
    </row>
    <row r="1196" spans="1:16" ht="13.5" customHeight="1">
      <c r="A1196" s="474"/>
      <c r="B1196" s="127">
        <v>5</v>
      </c>
      <c r="C1196" s="158"/>
      <c r="D1196" s="158"/>
      <c r="E1196" s="158"/>
      <c r="F1196" s="158"/>
      <c r="G1196" s="158"/>
      <c r="H1196" s="158"/>
      <c r="I1196" s="158"/>
      <c r="J1196" s="158"/>
      <c r="K1196" s="158"/>
      <c r="L1196" s="159"/>
      <c r="M1196" s="154">
        <f t="shared" si="332"/>
        <v>0</v>
      </c>
      <c r="N1196" s="155">
        <f t="shared" si="333"/>
        <v>0</v>
      </c>
      <c r="O1196" s="168">
        <f t="shared" si="334"/>
        <v>0</v>
      </c>
      <c r="P1196" s="157">
        <f t="shared" si="334"/>
        <v>0</v>
      </c>
    </row>
    <row r="1197" spans="1:16" ht="13.5" customHeight="1">
      <c r="A1197" s="474"/>
      <c r="B1197" s="127">
        <v>6</v>
      </c>
      <c r="C1197" s="158"/>
      <c r="D1197" s="158"/>
      <c r="E1197" s="158"/>
      <c r="F1197" s="158"/>
      <c r="G1197" s="158"/>
      <c r="H1197" s="158"/>
      <c r="I1197" s="158"/>
      <c r="J1197" s="158"/>
      <c r="K1197" s="158"/>
      <c r="L1197" s="158"/>
      <c r="M1197" s="154">
        <f t="shared" si="332"/>
        <v>0</v>
      </c>
      <c r="N1197" s="155">
        <f t="shared" si="333"/>
        <v>0</v>
      </c>
      <c r="O1197" s="168">
        <f>M1197/30</f>
        <v>0</v>
      </c>
      <c r="P1197" s="157">
        <f>N1197/30</f>
        <v>0</v>
      </c>
    </row>
    <row r="1198" spans="1:16" ht="13.5" customHeight="1">
      <c r="A1198" s="474"/>
      <c r="B1198" s="127">
        <v>7</v>
      </c>
      <c r="C1198" s="158">
        <v>2</v>
      </c>
      <c r="D1198" s="158">
        <v>7</v>
      </c>
      <c r="E1198" s="158">
        <v>0</v>
      </c>
      <c r="F1198" s="158">
        <v>0</v>
      </c>
      <c r="G1198" s="158">
        <v>0</v>
      </c>
      <c r="H1198" s="158">
        <v>0</v>
      </c>
      <c r="I1198" s="158">
        <v>0</v>
      </c>
      <c r="J1198" s="158">
        <v>0</v>
      </c>
      <c r="K1198" s="158">
        <v>0</v>
      </c>
      <c r="L1198" s="158">
        <v>0</v>
      </c>
      <c r="M1198" s="154">
        <f t="shared" si="332"/>
        <v>2</v>
      </c>
      <c r="N1198" s="155">
        <f t="shared" si="333"/>
        <v>7</v>
      </c>
      <c r="O1198" s="168">
        <f t="shared" ref="O1198:O1208" si="335">M1198/31</f>
        <v>6.4516129032258063E-2</v>
      </c>
      <c r="P1198" s="157">
        <f t="shared" ref="P1198:P1208" si="336">N1198/31</f>
        <v>0.22580645161290322</v>
      </c>
    </row>
    <row r="1199" spans="1:16" ht="13.5" customHeight="1">
      <c r="A1199" s="474"/>
      <c r="B1199" s="127">
        <v>8</v>
      </c>
      <c r="C1199" s="158">
        <v>0</v>
      </c>
      <c r="D1199" s="158">
        <v>0</v>
      </c>
      <c r="E1199" s="158">
        <v>0</v>
      </c>
      <c r="F1199" s="158">
        <v>0</v>
      </c>
      <c r="G1199" s="158">
        <v>0</v>
      </c>
      <c r="H1199" s="158">
        <v>0</v>
      </c>
      <c r="I1199" s="158">
        <v>0</v>
      </c>
      <c r="J1199" s="158">
        <v>0</v>
      </c>
      <c r="K1199" s="158">
        <v>0</v>
      </c>
      <c r="L1199" s="159">
        <v>0</v>
      </c>
      <c r="M1199" s="177">
        <f t="shared" si="332"/>
        <v>0</v>
      </c>
      <c r="N1199" s="158">
        <f t="shared" si="333"/>
        <v>0</v>
      </c>
      <c r="O1199" s="168">
        <f t="shared" si="335"/>
        <v>0</v>
      </c>
      <c r="P1199" s="157">
        <f t="shared" si="336"/>
        <v>0</v>
      </c>
    </row>
    <row r="1200" spans="1:16" ht="13.5" customHeight="1">
      <c r="A1200" s="474"/>
      <c r="B1200" s="127">
        <v>9</v>
      </c>
      <c r="C1200" s="147">
        <v>1</v>
      </c>
      <c r="D1200" s="147">
        <v>2</v>
      </c>
      <c r="E1200" s="147">
        <v>0</v>
      </c>
      <c r="F1200" s="147">
        <v>0</v>
      </c>
      <c r="G1200" s="147">
        <v>0</v>
      </c>
      <c r="H1200" s="147">
        <v>0</v>
      </c>
      <c r="I1200" s="147">
        <v>0</v>
      </c>
      <c r="J1200" s="147">
        <v>0</v>
      </c>
      <c r="K1200" s="147">
        <v>0</v>
      </c>
      <c r="L1200" s="148">
        <v>0</v>
      </c>
      <c r="M1200" s="177">
        <f t="shared" si="332"/>
        <v>1</v>
      </c>
      <c r="N1200" s="158">
        <f t="shared" si="333"/>
        <v>2</v>
      </c>
      <c r="O1200" s="168">
        <f t="shared" si="335"/>
        <v>3.2258064516129031E-2</v>
      </c>
      <c r="P1200" s="157">
        <f t="shared" si="336"/>
        <v>6.4516129032258063E-2</v>
      </c>
    </row>
    <row r="1201" spans="1:16" ht="13.5" customHeight="1">
      <c r="A1201" s="474"/>
      <c r="B1201" s="127">
        <v>10</v>
      </c>
      <c r="C1201" s="147">
        <v>2</v>
      </c>
      <c r="D1201" s="147">
        <v>3</v>
      </c>
      <c r="E1201" s="147">
        <v>0</v>
      </c>
      <c r="F1201" s="181">
        <v>0</v>
      </c>
      <c r="G1201" s="147">
        <v>0</v>
      </c>
      <c r="H1201" s="147">
        <v>0</v>
      </c>
      <c r="I1201" s="147">
        <v>1</v>
      </c>
      <c r="J1201" s="147">
        <v>2</v>
      </c>
      <c r="K1201" s="147">
        <v>0</v>
      </c>
      <c r="L1201" s="148">
        <v>0</v>
      </c>
      <c r="M1201" s="154">
        <f t="shared" si="332"/>
        <v>3</v>
      </c>
      <c r="N1201" s="155">
        <f t="shared" si="333"/>
        <v>5</v>
      </c>
      <c r="O1201" s="168">
        <f t="shared" si="335"/>
        <v>9.6774193548387094E-2</v>
      </c>
      <c r="P1201" s="157">
        <f t="shared" si="336"/>
        <v>0.16129032258064516</v>
      </c>
    </row>
    <row r="1202" spans="1:16" ht="13.5" customHeight="1">
      <c r="A1202" s="474"/>
      <c r="B1202" s="127">
        <v>11</v>
      </c>
      <c r="C1202" s="367">
        <v>0</v>
      </c>
      <c r="D1202" s="367">
        <v>0</v>
      </c>
      <c r="E1202" s="367">
        <v>0</v>
      </c>
      <c r="F1202" s="367">
        <v>0</v>
      </c>
      <c r="G1202" s="367">
        <v>0</v>
      </c>
      <c r="H1202" s="367">
        <v>0</v>
      </c>
      <c r="I1202" s="367">
        <v>0</v>
      </c>
      <c r="J1202" s="367">
        <v>0</v>
      </c>
      <c r="K1202" s="367">
        <v>0</v>
      </c>
      <c r="L1202" s="368">
        <v>0</v>
      </c>
      <c r="M1202" s="154">
        <f t="shared" si="332"/>
        <v>0</v>
      </c>
      <c r="N1202" s="155">
        <f t="shared" si="333"/>
        <v>0</v>
      </c>
      <c r="O1202" s="168">
        <f t="shared" si="335"/>
        <v>0</v>
      </c>
      <c r="P1202" s="157">
        <f t="shared" si="336"/>
        <v>0</v>
      </c>
    </row>
    <row r="1203" spans="1:16" ht="13.5" customHeight="1" thickBot="1">
      <c r="A1203" s="475"/>
      <c r="B1203" s="127">
        <v>12</v>
      </c>
      <c r="C1203" s="187">
        <v>1</v>
      </c>
      <c r="D1203" s="187">
        <v>2</v>
      </c>
      <c r="E1203" s="187">
        <v>0</v>
      </c>
      <c r="F1203" s="188">
        <v>0</v>
      </c>
      <c r="G1203" s="187">
        <v>0</v>
      </c>
      <c r="H1203" s="187">
        <v>0</v>
      </c>
      <c r="I1203" s="187">
        <v>0</v>
      </c>
      <c r="J1203" s="187">
        <v>0</v>
      </c>
      <c r="K1203" s="187">
        <v>0</v>
      </c>
      <c r="L1203" s="189">
        <v>0</v>
      </c>
      <c r="M1203" s="154">
        <f t="shared" si="332"/>
        <v>1</v>
      </c>
      <c r="N1203" s="155">
        <f t="shared" si="333"/>
        <v>2</v>
      </c>
      <c r="O1203" s="168">
        <f t="shared" si="335"/>
        <v>3.2258064516129031E-2</v>
      </c>
      <c r="P1203" s="157">
        <f t="shared" si="336"/>
        <v>6.4516129032258063E-2</v>
      </c>
    </row>
    <row r="1204" spans="1:16" ht="13.5" customHeight="1">
      <c r="A1204" s="473">
        <v>2018</v>
      </c>
      <c r="B1204" s="410">
        <v>1</v>
      </c>
      <c r="C1204" s="158">
        <v>0</v>
      </c>
      <c r="D1204" s="158">
        <v>0</v>
      </c>
      <c r="E1204" s="158">
        <v>0</v>
      </c>
      <c r="F1204" s="169">
        <v>0</v>
      </c>
      <c r="G1204" s="158">
        <v>0</v>
      </c>
      <c r="H1204" s="158">
        <v>0</v>
      </c>
      <c r="I1204" s="158">
        <v>0</v>
      </c>
      <c r="J1204" s="158">
        <v>0</v>
      </c>
      <c r="K1204" s="158">
        <v>0</v>
      </c>
      <c r="L1204" s="159">
        <v>0</v>
      </c>
      <c r="M1204" s="424">
        <f t="shared" si="332"/>
        <v>0</v>
      </c>
      <c r="N1204" s="425">
        <f t="shared" si="333"/>
        <v>0</v>
      </c>
      <c r="O1204" s="430">
        <f t="shared" si="335"/>
        <v>0</v>
      </c>
      <c r="P1204" s="427">
        <f t="shared" si="336"/>
        <v>0</v>
      </c>
    </row>
    <row r="1205" spans="1:16" ht="13.5" customHeight="1">
      <c r="A1205" s="474"/>
      <c r="B1205" s="127">
        <v>2</v>
      </c>
      <c r="C1205" s="158">
        <v>0</v>
      </c>
      <c r="D1205" s="158">
        <v>0</v>
      </c>
      <c r="E1205" s="158">
        <v>0</v>
      </c>
      <c r="F1205" s="169">
        <v>0</v>
      </c>
      <c r="G1205" s="158">
        <v>0</v>
      </c>
      <c r="H1205" s="158">
        <v>0</v>
      </c>
      <c r="I1205" s="158">
        <v>0</v>
      </c>
      <c r="J1205" s="158">
        <v>0</v>
      </c>
      <c r="K1205" s="158">
        <v>0</v>
      </c>
      <c r="L1205" s="159">
        <v>0</v>
      </c>
      <c r="M1205" s="154">
        <f t="shared" si="332"/>
        <v>0</v>
      </c>
      <c r="N1205" s="155">
        <f t="shared" si="333"/>
        <v>0</v>
      </c>
      <c r="O1205" s="168">
        <f t="shared" si="335"/>
        <v>0</v>
      </c>
      <c r="P1205" s="157">
        <f t="shared" si="336"/>
        <v>0</v>
      </c>
    </row>
    <row r="1206" spans="1:16" ht="13.5" customHeight="1">
      <c r="A1206" s="474"/>
      <c r="B1206" s="127">
        <v>3</v>
      </c>
      <c r="C1206" s="158">
        <v>1</v>
      </c>
      <c r="D1206" s="158">
        <v>0</v>
      </c>
      <c r="E1206" s="158">
        <v>0</v>
      </c>
      <c r="F1206" s="169">
        <v>0</v>
      </c>
      <c r="G1206" s="158">
        <v>0</v>
      </c>
      <c r="H1206" s="158">
        <v>0</v>
      </c>
      <c r="I1206" s="158">
        <v>0</v>
      </c>
      <c r="J1206" s="158">
        <v>0</v>
      </c>
      <c r="K1206" s="158">
        <v>0</v>
      </c>
      <c r="L1206" s="159">
        <v>0</v>
      </c>
      <c r="M1206" s="154">
        <f t="shared" si="332"/>
        <v>1</v>
      </c>
      <c r="N1206" s="155">
        <f t="shared" si="333"/>
        <v>0</v>
      </c>
      <c r="O1206" s="168">
        <f t="shared" si="335"/>
        <v>3.2258064516129031E-2</v>
      </c>
      <c r="P1206" s="157">
        <f t="shared" si="336"/>
        <v>0</v>
      </c>
    </row>
    <row r="1207" spans="1:16" ht="13.5" customHeight="1">
      <c r="A1207" s="474"/>
      <c r="B1207" s="127">
        <v>4</v>
      </c>
      <c r="C1207" s="158">
        <v>0</v>
      </c>
      <c r="D1207" s="158">
        <v>1</v>
      </c>
      <c r="E1207" s="158">
        <v>0</v>
      </c>
      <c r="F1207" s="169">
        <v>0</v>
      </c>
      <c r="G1207" s="158">
        <v>0</v>
      </c>
      <c r="H1207" s="158">
        <v>0</v>
      </c>
      <c r="I1207" s="158">
        <v>0</v>
      </c>
      <c r="J1207" s="158">
        <v>0</v>
      </c>
      <c r="K1207" s="158">
        <v>0</v>
      </c>
      <c r="L1207" s="159">
        <v>0</v>
      </c>
      <c r="M1207" s="154">
        <f t="shared" si="332"/>
        <v>0</v>
      </c>
      <c r="N1207" s="155">
        <f t="shared" si="333"/>
        <v>1</v>
      </c>
      <c r="O1207" s="168">
        <f t="shared" si="335"/>
        <v>0</v>
      </c>
      <c r="P1207" s="157">
        <f t="shared" si="336"/>
        <v>3.2258064516129031E-2</v>
      </c>
    </row>
    <row r="1208" spans="1:16" ht="13.5" customHeight="1">
      <c r="A1208" s="474"/>
      <c r="B1208" s="127">
        <v>5</v>
      </c>
      <c r="C1208" s="158">
        <v>3</v>
      </c>
      <c r="D1208" s="158">
        <v>3</v>
      </c>
      <c r="E1208" s="158">
        <v>0</v>
      </c>
      <c r="F1208" s="169">
        <v>0</v>
      </c>
      <c r="G1208" s="158">
        <v>0</v>
      </c>
      <c r="H1208" s="158">
        <v>0</v>
      </c>
      <c r="I1208" s="158">
        <v>0</v>
      </c>
      <c r="J1208" s="158">
        <v>0</v>
      </c>
      <c r="K1208" s="158">
        <v>0</v>
      </c>
      <c r="L1208" s="159">
        <v>0</v>
      </c>
      <c r="M1208" s="154">
        <f t="shared" si="332"/>
        <v>3</v>
      </c>
      <c r="N1208" s="155">
        <f t="shared" si="333"/>
        <v>3</v>
      </c>
      <c r="O1208" s="168">
        <f t="shared" si="335"/>
        <v>9.6774193548387094E-2</v>
      </c>
      <c r="P1208" s="157">
        <f t="shared" si="336"/>
        <v>9.6774193548387094E-2</v>
      </c>
    </row>
    <row r="1209" spans="1:16" ht="13.5" customHeight="1">
      <c r="A1209" s="474"/>
      <c r="B1209" s="127">
        <v>6</v>
      </c>
      <c r="C1209" s="158">
        <v>1</v>
      </c>
      <c r="D1209" s="158">
        <v>0</v>
      </c>
      <c r="E1209" s="158">
        <v>0</v>
      </c>
      <c r="F1209" s="169">
        <v>0</v>
      </c>
      <c r="G1209" s="158">
        <v>0</v>
      </c>
      <c r="H1209" s="158">
        <v>0</v>
      </c>
      <c r="I1209" s="158">
        <v>0</v>
      </c>
      <c r="J1209" s="158">
        <v>0</v>
      </c>
      <c r="K1209" s="158">
        <v>0</v>
      </c>
      <c r="L1209" s="159">
        <v>0</v>
      </c>
      <c r="M1209" s="154">
        <f t="shared" si="332"/>
        <v>1</v>
      </c>
      <c r="N1209" s="155">
        <f t="shared" si="333"/>
        <v>0</v>
      </c>
      <c r="O1209" s="168">
        <f>M1209/30</f>
        <v>3.3333333333333333E-2</v>
      </c>
      <c r="P1209" s="157">
        <f>N1209/30</f>
        <v>0</v>
      </c>
    </row>
    <row r="1210" spans="1:16" ht="13.5" customHeight="1">
      <c r="A1210" s="474"/>
      <c r="B1210" s="127">
        <v>7</v>
      </c>
      <c r="C1210" s="158">
        <v>1</v>
      </c>
      <c r="D1210" s="158">
        <v>2</v>
      </c>
      <c r="E1210" s="158">
        <v>1</v>
      </c>
      <c r="F1210" s="158">
        <v>0</v>
      </c>
      <c r="G1210" s="158">
        <v>0</v>
      </c>
      <c r="H1210" s="158">
        <v>0</v>
      </c>
      <c r="I1210" s="158">
        <v>0</v>
      </c>
      <c r="J1210" s="158">
        <v>0</v>
      </c>
      <c r="K1210" s="158">
        <v>0</v>
      </c>
      <c r="L1210" s="158">
        <v>0</v>
      </c>
      <c r="M1210" s="154">
        <f t="shared" si="332"/>
        <v>2</v>
      </c>
      <c r="N1210" s="155">
        <f t="shared" si="333"/>
        <v>2</v>
      </c>
      <c r="O1210" s="168">
        <f t="shared" ref="O1210:P1232" si="337">M1210/31</f>
        <v>6.4516129032258063E-2</v>
      </c>
      <c r="P1210" s="157">
        <f t="shared" si="337"/>
        <v>6.4516129032258063E-2</v>
      </c>
    </row>
    <row r="1211" spans="1:16" ht="13.5" customHeight="1">
      <c r="A1211" s="474"/>
      <c r="B1211" s="127">
        <v>8</v>
      </c>
      <c r="C1211" s="158">
        <v>1</v>
      </c>
      <c r="D1211" s="158">
        <v>0</v>
      </c>
      <c r="E1211" s="158">
        <v>5</v>
      </c>
      <c r="F1211" s="158">
        <v>18</v>
      </c>
      <c r="G1211" s="158">
        <v>0</v>
      </c>
      <c r="H1211" s="158">
        <v>0</v>
      </c>
      <c r="I1211" s="158">
        <v>0</v>
      </c>
      <c r="J1211" s="158">
        <v>0</v>
      </c>
      <c r="K1211" s="158">
        <v>0</v>
      </c>
      <c r="L1211" s="159">
        <v>0</v>
      </c>
      <c r="M1211" s="177">
        <f t="shared" si="332"/>
        <v>6</v>
      </c>
      <c r="N1211" s="158">
        <f t="shared" si="333"/>
        <v>18</v>
      </c>
      <c r="O1211" s="168">
        <f t="shared" si="337"/>
        <v>0.19354838709677419</v>
      </c>
      <c r="P1211" s="157">
        <f t="shared" si="337"/>
        <v>0.58064516129032262</v>
      </c>
    </row>
    <row r="1212" spans="1:16" ht="13.5" customHeight="1">
      <c r="A1212" s="474"/>
      <c r="B1212" s="127">
        <v>9</v>
      </c>
      <c r="C1212" s="147">
        <v>3</v>
      </c>
      <c r="D1212" s="147">
        <v>5</v>
      </c>
      <c r="E1212" s="147">
        <v>2</v>
      </c>
      <c r="F1212" s="147">
        <v>6</v>
      </c>
      <c r="G1212" s="147">
        <v>1</v>
      </c>
      <c r="H1212" s="147">
        <v>0</v>
      </c>
      <c r="I1212" s="147">
        <v>0</v>
      </c>
      <c r="J1212" s="147">
        <v>0</v>
      </c>
      <c r="K1212" s="147">
        <v>0</v>
      </c>
      <c r="L1212" s="148">
        <v>0</v>
      </c>
      <c r="M1212" s="177">
        <f t="shared" si="332"/>
        <v>6</v>
      </c>
      <c r="N1212" s="158">
        <f t="shared" si="333"/>
        <v>11</v>
      </c>
      <c r="O1212" s="168">
        <f t="shared" si="337"/>
        <v>0.19354838709677419</v>
      </c>
      <c r="P1212" s="157">
        <f t="shared" si="337"/>
        <v>0.35483870967741937</v>
      </c>
    </row>
    <row r="1213" spans="1:16" ht="13.5" customHeight="1">
      <c r="A1213" s="474"/>
      <c r="B1213" s="127">
        <v>10</v>
      </c>
      <c r="C1213" s="147">
        <v>4</v>
      </c>
      <c r="D1213" s="147">
        <v>5</v>
      </c>
      <c r="E1213" s="147">
        <v>1</v>
      </c>
      <c r="F1213" s="181">
        <v>2</v>
      </c>
      <c r="G1213" s="147">
        <v>0</v>
      </c>
      <c r="H1213" s="147">
        <v>1</v>
      </c>
      <c r="I1213" s="147">
        <v>0</v>
      </c>
      <c r="J1213" s="147">
        <v>0</v>
      </c>
      <c r="K1213" s="147">
        <v>0</v>
      </c>
      <c r="L1213" s="148">
        <v>0</v>
      </c>
      <c r="M1213" s="154">
        <f t="shared" si="332"/>
        <v>5</v>
      </c>
      <c r="N1213" s="155">
        <f t="shared" si="333"/>
        <v>8</v>
      </c>
      <c r="O1213" s="168">
        <f t="shared" si="337"/>
        <v>0.16129032258064516</v>
      </c>
      <c r="P1213" s="157">
        <f t="shared" si="337"/>
        <v>0.25806451612903225</v>
      </c>
    </row>
    <row r="1214" spans="1:16" ht="13.5" customHeight="1">
      <c r="A1214" s="474"/>
      <c r="B1214" s="127">
        <v>11</v>
      </c>
      <c r="C1214" s="367">
        <v>7</v>
      </c>
      <c r="D1214" s="367">
        <v>10</v>
      </c>
      <c r="E1214" s="367">
        <v>2</v>
      </c>
      <c r="F1214" s="367">
        <v>0</v>
      </c>
      <c r="G1214" s="367">
        <v>0</v>
      </c>
      <c r="H1214" s="367">
        <v>0</v>
      </c>
      <c r="I1214" s="367">
        <v>0</v>
      </c>
      <c r="J1214" s="367">
        <v>0</v>
      </c>
      <c r="K1214" s="367">
        <v>0</v>
      </c>
      <c r="L1214" s="368">
        <v>0</v>
      </c>
      <c r="M1214" s="154">
        <f t="shared" si="332"/>
        <v>9</v>
      </c>
      <c r="N1214" s="155">
        <f t="shared" si="333"/>
        <v>10</v>
      </c>
      <c r="O1214" s="168">
        <f t="shared" si="337"/>
        <v>0.29032258064516131</v>
      </c>
      <c r="P1214" s="157">
        <f t="shared" si="337"/>
        <v>0.32258064516129031</v>
      </c>
    </row>
    <row r="1215" spans="1:16" ht="13.5" customHeight="1" thickBot="1">
      <c r="A1215" s="475"/>
      <c r="B1215" s="127">
        <v>12</v>
      </c>
      <c r="C1215" s="187">
        <v>8</v>
      </c>
      <c r="D1215" s="187">
        <v>8</v>
      </c>
      <c r="E1215" s="187">
        <v>1</v>
      </c>
      <c r="F1215" s="188">
        <v>0</v>
      </c>
      <c r="G1215" s="187">
        <v>0</v>
      </c>
      <c r="H1215" s="187">
        <v>0</v>
      </c>
      <c r="I1215" s="187">
        <v>1</v>
      </c>
      <c r="J1215" s="187">
        <v>2</v>
      </c>
      <c r="K1215" s="187">
        <v>0</v>
      </c>
      <c r="L1215" s="189">
        <v>0</v>
      </c>
      <c r="M1215" s="154">
        <f t="shared" si="332"/>
        <v>10</v>
      </c>
      <c r="N1215" s="155">
        <f t="shared" si="333"/>
        <v>10</v>
      </c>
      <c r="O1215" s="168">
        <f t="shared" si="337"/>
        <v>0.32258064516129031</v>
      </c>
      <c r="P1215" s="157">
        <f t="shared" si="337"/>
        <v>0.32258064516129031</v>
      </c>
    </row>
    <row r="1216" spans="1:16" ht="13.5" customHeight="1">
      <c r="A1216" s="473">
        <v>2019</v>
      </c>
      <c r="B1216" s="410">
        <v>1</v>
      </c>
      <c r="C1216" s="158">
        <v>0</v>
      </c>
      <c r="D1216" s="158">
        <v>0</v>
      </c>
      <c r="E1216" s="158">
        <v>0</v>
      </c>
      <c r="F1216" s="169">
        <v>2</v>
      </c>
      <c r="G1216" s="158">
        <v>2</v>
      </c>
      <c r="H1216" s="158">
        <v>0</v>
      </c>
      <c r="I1216" s="158">
        <v>0</v>
      </c>
      <c r="J1216" s="158">
        <v>0</v>
      </c>
      <c r="K1216" s="158">
        <v>0</v>
      </c>
      <c r="L1216" s="159">
        <v>0</v>
      </c>
      <c r="M1216" s="424">
        <f t="shared" si="332"/>
        <v>2</v>
      </c>
      <c r="N1216" s="425">
        <f t="shared" si="333"/>
        <v>2</v>
      </c>
      <c r="O1216" s="430">
        <f t="shared" ref="O1216:O1220" si="338">M1216/31</f>
        <v>6.4516129032258063E-2</v>
      </c>
      <c r="P1216" s="427">
        <f t="shared" ref="P1216:P1220" si="339">N1216/31</f>
        <v>6.4516129032258063E-2</v>
      </c>
    </row>
    <row r="1217" spans="1:16" ht="13.5" customHeight="1">
      <c r="A1217" s="474"/>
      <c r="B1217" s="127">
        <v>2</v>
      </c>
      <c r="C1217" s="158">
        <v>2</v>
      </c>
      <c r="D1217" s="158">
        <v>2</v>
      </c>
      <c r="E1217" s="158">
        <v>0</v>
      </c>
      <c r="F1217" s="169">
        <v>0</v>
      </c>
      <c r="G1217" s="158">
        <v>0</v>
      </c>
      <c r="H1217" s="158">
        <v>4</v>
      </c>
      <c r="I1217" s="158">
        <v>0</v>
      </c>
      <c r="J1217" s="158">
        <v>0</v>
      </c>
      <c r="K1217" s="158">
        <v>0</v>
      </c>
      <c r="L1217" s="159">
        <v>0</v>
      </c>
      <c r="M1217" s="154">
        <f t="shared" si="332"/>
        <v>2</v>
      </c>
      <c r="N1217" s="155">
        <f t="shared" si="333"/>
        <v>6</v>
      </c>
      <c r="O1217" s="168">
        <f t="shared" si="338"/>
        <v>6.4516129032258063E-2</v>
      </c>
      <c r="P1217" s="157">
        <f t="shared" si="339"/>
        <v>0.19354838709677419</v>
      </c>
    </row>
    <row r="1218" spans="1:16" ht="13.5" customHeight="1">
      <c r="A1218" s="474"/>
      <c r="B1218" s="127">
        <v>3</v>
      </c>
      <c r="C1218" s="158">
        <v>2</v>
      </c>
      <c r="D1218" s="158">
        <v>4</v>
      </c>
      <c r="E1218" s="158">
        <v>2</v>
      </c>
      <c r="F1218" s="169">
        <v>0</v>
      </c>
      <c r="G1218" s="158">
        <v>0</v>
      </c>
      <c r="H1218" s="158">
        <v>0</v>
      </c>
      <c r="I1218" s="158">
        <v>0</v>
      </c>
      <c r="J1218" s="158">
        <v>0</v>
      </c>
      <c r="K1218" s="158">
        <v>0</v>
      </c>
      <c r="L1218" s="159">
        <v>0</v>
      </c>
      <c r="M1218" s="154">
        <f t="shared" si="332"/>
        <v>4</v>
      </c>
      <c r="N1218" s="155">
        <f t="shared" si="333"/>
        <v>4</v>
      </c>
      <c r="O1218" s="168">
        <f t="shared" si="338"/>
        <v>0.12903225806451613</v>
      </c>
      <c r="P1218" s="157">
        <f t="shared" si="339"/>
        <v>0.12903225806451613</v>
      </c>
    </row>
    <row r="1219" spans="1:16" ht="13.5" customHeight="1">
      <c r="A1219" s="474"/>
      <c r="B1219" s="127">
        <v>4</v>
      </c>
      <c r="C1219" s="158">
        <v>6</v>
      </c>
      <c r="D1219" s="158">
        <v>7</v>
      </c>
      <c r="E1219" s="158">
        <v>0</v>
      </c>
      <c r="F1219" s="169">
        <v>4</v>
      </c>
      <c r="G1219" s="158">
        <v>0</v>
      </c>
      <c r="H1219" s="158">
        <v>0</v>
      </c>
      <c r="I1219" s="158">
        <v>0</v>
      </c>
      <c r="J1219" s="158">
        <v>0</v>
      </c>
      <c r="K1219" s="158">
        <v>0</v>
      </c>
      <c r="L1219" s="159">
        <v>0</v>
      </c>
      <c r="M1219" s="154">
        <f t="shared" si="332"/>
        <v>6</v>
      </c>
      <c r="N1219" s="155">
        <f t="shared" si="333"/>
        <v>11</v>
      </c>
      <c r="O1219" s="168">
        <f t="shared" si="338"/>
        <v>0.19354838709677419</v>
      </c>
      <c r="P1219" s="157">
        <f t="shared" si="339"/>
        <v>0.35483870967741937</v>
      </c>
    </row>
    <row r="1220" spans="1:16" ht="13.5" customHeight="1">
      <c r="A1220" s="474"/>
      <c r="B1220" s="127">
        <v>5</v>
      </c>
      <c r="C1220" s="158">
        <v>12</v>
      </c>
      <c r="D1220" s="158">
        <v>10</v>
      </c>
      <c r="E1220" s="158">
        <v>0</v>
      </c>
      <c r="F1220" s="169">
        <v>0</v>
      </c>
      <c r="G1220" s="158">
        <v>0</v>
      </c>
      <c r="H1220" s="158">
        <v>0</v>
      </c>
      <c r="I1220" s="158">
        <v>0</v>
      </c>
      <c r="J1220" s="158">
        <v>0</v>
      </c>
      <c r="K1220" s="158">
        <v>0</v>
      </c>
      <c r="L1220" s="159">
        <v>0</v>
      </c>
      <c r="M1220" s="154">
        <f t="shared" si="332"/>
        <v>12</v>
      </c>
      <c r="N1220" s="155">
        <f t="shared" si="333"/>
        <v>10</v>
      </c>
      <c r="O1220" s="168">
        <f t="shared" si="338"/>
        <v>0.38709677419354838</v>
      </c>
      <c r="P1220" s="157">
        <f t="shared" si="339"/>
        <v>0.32258064516129031</v>
      </c>
    </row>
    <row r="1221" spans="1:16" ht="13.5" customHeight="1">
      <c r="A1221" s="474"/>
      <c r="B1221" s="127">
        <v>6</v>
      </c>
      <c r="C1221" s="158">
        <v>5</v>
      </c>
      <c r="D1221" s="158">
        <v>7</v>
      </c>
      <c r="E1221" s="158">
        <v>0</v>
      </c>
      <c r="F1221" s="169">
        <v>0</v>
      </c>
      <c r="G1221" s="158">
        <v>1</v>
      </c>
      <c r="H1221" s="158">
        <v>1</v>
      </c>
      <c r="I1221" s="158">
        <v>0</v>
      </c>
      <c r="J1221" s="158">
        <v>1</v>
      </c>
      <c r="K1221" s="158">
        <v>0</v>
      </c>
      <c r="L1221" s="159">
        <v>0</v>
      </c>
      <c r="M1221" s="154">
        <f t="shared" si="332"/>
        <v>6</v>
      </c>
      <c r="N1221" s="155">
        <f t="shared" si="333"/>
        <v>9</v>
      </c>
      <c r="O1221" s="168">
        <f>M1221/30</f>
        <v>0.2</v>
      </c>
      <c r="P1221" s="157">
        <f>N1221/30</f>
        <v>0.3</v>
      </c>
    </row>
    <row r="1222" spans="1:16" ht="13.5" customHeight="1">
      <c r="A1222" s="474"/>
      <c r="B1222" s="127">
        <v>7</v>
      </c>
      <c r="C1222" s="158">
        <v>9</v>
      </c>
      <c r="D1222" s="158">
        <v>7</v>
      </c>
      <c r="E1222" s="158">
        <v>9</v>
      </c>
      <c r="F1222" s="158">
        <v>17</v>
      </c>
      <c r="G1222" s="158">
        <v>1</v>
      </c>
      <c r="H1222" s="158">
        <v>0</v>
      </c>
      <c r="I1222" s="158">
        <v>0</v>
      </c>
      <c r="J1222" s="158">
        <v>0</v>
      </c>
      <c r="K1222" s="158">
        <v>0</v>
      </c>
      <c r="L1222" s="158">
        <v>0</v>
      </c>
      <c r="M1222" s="154">
        <f t="shared" si="332"/>
        <v>19</v>
      </c>
      <c r="N1222" s="155">
        <f t="shared" si="333"/>
        <v>24</v>
      </c>
      <c r="O1222" s="168">
        <f t="shared" ref="O1222:O1223" si="340">M1222/31</f>
        <v>0.61290322580645162</v>
      </c>
      <c r="P1222" s="157">
        <f t="shared" ref="P1222:P1223" si="341">N1222/31</f>
        <v>0.77419354838709675</v>
      </c>
    </row>
    <row r="1223" spans="1:16" ht="13.5" customHeight="1">
      <c r="A1223" s="474"/>
      <c r="B1223" s="127">
        <v>8</v>
      </c>
      <c r="C1223" s="158">
        <v>11</v>
      </c>
      <c r="D1223" s="158">
        <v>13</v>
      </c>
      <c r="E1223" s="158">
        <v>0</v>
      </c>
      <c r="F1223" s="158">
        <v>8</v>
      </c>
      <c r="G1223" s="158">
        <v>1</v>
      </c>
      <c r="H1223" s="158">
        <v>2</v>
      </c>
      <c r="I1223" s="158">
        <v>0</v>
      </c>
      <c r="J1223" s="158">
        <v>0</v>
      </c>
      <c r="K1223" s="158">
        <v>0</v>
      </c>
      <c r="L1223" s="159">
        <v>0</v>
      </c>
      <c r="M1223" s="177">
        <f t="shared" si="332"/>
        <v>12</v>
      </c>
      <c r="N1223" s="158">
        <f t="shared" si="333"/>
        <v>23</v>
      </c>
      <c r="O1223" s="168">
        <f t="shared" si="340"/>
        <v>0.38709677419354838</v>
      </c>
      <c r="P1223" s="157">
        <f t="shared" si="341"/>
        <v>0.74193548387096775</v>
      </c>
    </row>
    <row r="1224" spans="1:16" ht="13.5" customHeight="1">
      <c r="A1224" s="474"/>
      <c r="B1224" s="127">
        <v>9</v>
      </c>
      <c r="C1224" s="147">
        <v>18</v>
      </c>
      <c r="D1224" s="147">
        <v>25</v>
      </c>
      <c r="E1224" s="147">
        <v>3</v>
      </c>
      <c r="F1224" s="147">
        <v>2</v>
      </c>
      <c r="G1224" s="147">
        <v>3</v>
      </c>
      <c r="H1224" s="147">
        <v>5</v>
      </c>
      <c r="I1224" s="147">
        <v>1</v>
      </c>
      <c r="J1224" s="147">
        <v>2</v>
      </c>
      <c r="K1224" s="147">
        <v>0</v>
      </c>
      <c r="L1224" s="158">
        <v>0</v>
      </c>
      <c r="M1224" s="177">
        <v>25</v>
      </c>
      <c r="N1224" s="158">
        <v>34</v>
      </c>
      <c r="O1224" s="168">
        <v>0.80645161290322576</v>
      </c>
      <c r="P1224" s="157">
        <v>1.096774193548387</v>
      </c>
    </row>
    <row r="1225" spans="1:16" ht="13.5" customHeight="1">
      <c r="A1225" s="474"/>
      <c r="B1225" s="127">
        <v>10</v>
      </c>
      <c r="C1225" s="147">
        <v>14</v>
      </c>
      <c r="D1225" s="147">
        <v>16</v>
      </c>
      <c r="E1225" s="147">
        <v>6</v>
      </c>
      <c r="F1225" s="181">
        <v>6</v>
      </c>
      <c r="G1225" s="147">
        <v>0</v>
      </c>
      <c r="H1225" s="147">
        <v>1</v>
      </c>
      <c r="I1225" s="147">
        <v>2</v>
      </c>
      <c r="J1225" s="147">
        <v>4</v>
      </c>
      <c r="K1225" s="147">
        <v>0</v>
      </c>
      <c r="L1225" s="147">
        <v>0</v>
      </c>
      <c r="M1225" s="154">
        <f t="shared" ref="M1225:M1227" si="342">+C1225+E1225+G1225+I1225+K1225</f>
        <v>22</v>
      </c>
      <c r="N1225" s="155">
        <f t="shared" ref="N1225:N1227" si="343">+D1225+F1225+H1225+J1225+L1225</f>
        <v>27</v>
      </c>
      <c r="O1225" s="168">
        <f t="shared" ref="O1225:O1227" si="344">M1225/31</f>
        <v>0.70967741935483875</v>
      </c>
      <c r="P1225" s="157">
        <f t="shared" ref="P1225:P1227" si="345">N1225/31</f>
        <v>0.87096774193548387</v>
      </c>
    </row>
    <row r="1226" spans="1:16" ht="13.5" customHeight="1">
      <c r="A1226" s="474"/>
      <c r="B1226" s="127">
        <v>11</v>
      </c>
      <c r="C1226" s="367">
        <v>11</v>
      </c>
      <c r="D1226" s="367">
        <v>15</v>
      </c>
      <c r="E1226" s="367">
        <v>2</v>
      </c>
      <c r="F1226" s="367">
        <v>12</v>
      </c>
      <c r="G1226" s="367">
        <v>2</v>
      </c>
      <c r="H1226" s="367">
        <v>4</v>
      </c>
      <c r="I1226" s="367">
        <v>0</v>
      </c>
      <c r="J1226" s="367">
        <v>0</v>
      </c>
      <c r="K1226" s="367">
        <v>0</v>
      </c>
      <c r="L1226" s="368">
        <v>0</v>
      </c>
      <c r="M1226" s="154">
        <f t="shared" si="342"/>
        <v>15</v>
      </c>
      <c r="N1226" s="155">
        <f t="shared" si="343"/>
        <v>31</v>
      </c>
      <c r="O1226" s="168">
        <f t="shared" si="344"/>
        <v>0.4838709677419355</v>
      </c>
      <c r="P1226" s="157">
        <f t="shared" si="345"/>
        <v>1</v>
      </c>
    </row>
    <row r="1227" spans="1:16" ht="13.5" customHeight="1" thickBot="1">
      <c r="A1227" s="475"/>
      <c r="B1227" s="127">
        <v>12</v>
      </c>
      <c r="C1227" s="374">
        <v>0</v>
      </c>
      <c r="D1227" s="374">
        <v>0</v>
      </c>
      <c r="E1227" s="374">
        <v>3</v>
      </c>
      <c r="F1227" s="374">
        <v>4</v>
      </c>
      <c r="G1227" s="374">
        <v>0</v>
      </c>
      <c r="H1227" s="374">
        <v>0</v>
      </c>
      <c r="I1227" s="374">
        <v>0</v>
      </c>
      <c r="J1227" s="374">
        <v>0</v>
      </c>
      <c r="K1227" s="374">
        <v>0</v>
      </c>
      <c r="L1227" s="375">
        <v>0</v>
      </c>
      <c r="M1227" s="154">
        <f t="shared" si="342"/>
        <v>3</v>
      </c>
      <c r="N1227" s="155">
        <f t="shared" si="343"/>
        <v>4</v>
      </c>
      <c r="O1227" s="168">
        <f t="shared" si="344"/>
        <v>9.6774193548387094E-2</v>
      </c>
      <c r="P1227" s="157">
        <f t="shared" si="345"/>
        <v>0.12903225806451613</v>
      </c>
    </row>
    <row r="1228" spans="1:16" ht="13.5" customHeight="1">
      <c r="A1228" s="473">
        <v>2020</v>
      </c>
      <c r="B1228" s="410">
        <v>1</v>
      </c>
      <c r="C1228" s="434">
        <v>2</v>
      </c>
      <c r="D1228" s="434">
        <v>2</v>
      </c>
      <c r="E1228" s="434">
        <v>1</v>
      </c>
      <c r="F1228" s="435">
        <v>4</v>
      </c>
      <c r="G1228" s="434">
        <v>0</v>
      </c>
      <c r="H1228" s="434">
        <v>0</v>
      </c>
      <c r="I1228" s="434">
        <v>0</v>
      </c>
      <c r="J1228" s="434">
        <v>0</v>
      </c>
      <c r="K1228" s="434">
        <v>0</v>
      </c>
      <c r="L1228" s="436">
        <v>0</v>
      </c>
      <c r="M1228" s="424">
        <f t="shared" ref="M1228:M1239" si="346">+C1228+E1228+G1228+I1228+K1228</f>
        <v>3</v>
      </c>
      <c r="N1228" s="425">
        <f t="shared" ref="N1228:N1239" si="347">+D1228+F1228+H1228+J1228+L1228</f>
        <v>6</v>
      </c>
      <c r="O1228" s="430">
        <f t="shared" si="337"/>
        <v>9.6774193548387094E-2</v>
      </c>
      <c r="P1228" s="427">
        <f t="shared" si="337"/>
        <v>0.19354838709677419</v>
      </c>
    </row>
    <row r="1229" spans="1:16" ht="13.5" customHeight="1">
      <c r="A1229" s="474"/>
      <c r="B1229" s="127">
        <v>2</v>
      </c>
      <c r="C1229" s="147">
        <v>1</v>
      </c>
      <c r="D1229" s="147">
        <v>1</v>
      </c>
      <c r="E1229" s="147">
        <v>4</v>
      </c>
      <c r="F1229" s="181">
        <v>4</v>
      </c>
      <c r="G1229" s="147">
        <v>0</v>
      </c>
      <c r="H1229" s="147">
        <v>0</v>
      </c>
      <c r="I1229" s="147">
        <v>0</v>
      </c>
      <c r="J1229" s="147">
        <v>0</v>
      </c>
      <c r="K1229" s="147">
        <v>0</v>
      </c>
      <c r="L1229" s="148">
        <v>0</v>
      </c>
      <c r="M1229" s="154">
        <f t="shared" si="346"/>
        <v>5</v>
      </c>
      <c r="N1229" s="155">
        <f t="shared" si="347"/>
        <v>5</v>
      </c>
      <c r="O1229" s="168">
        <f t="shared" si="337"/>
        <v>0.16129032258064516</v>
      </c>
      <c r="P1229" s="157">
        <f t="shared" si="337"/>
        <v>0.16129032258064516</v>
      </c>
    </row>
    <row r="1230" spans="1:16" ht="13.5" customHeight="1">
      <c r="A1230" s="474"/>
      <c r="B1230" s="127">
        <v>3</v>
      </c>
      <c r="C1230" s="147">
        <v>0</v>
      </c>
      <c r="D1230" s="147">
        <v>0</v>
      </c>
      <c r="E1230" s="147">
        <v>1</v>
      </c>
      <c r="F1230" s="181">
        <v>2</v>
      </c>
      <c r="G1230" s="147">
        <v>0</v>
      </c>
      <c r="H1230" s="147">
        <v>0</v>
      </c>
      <c r="I1230" s="147">
        <v>0</v>
      </c>
      <c r="J1230" s="147">
        <v>0</v>
      </c>
      <c r="K1230" s="147">
        <v>0</v>
      </c>
      <c r="L1230" s="148">
        <v>0</v>
      </c>
      <c r="M1230" s="154">
        <f t="shared" si="346"/>
        <v>1</v>
      </c>
      <c r="N1230" s="155">
        <f t="shared" si="347"/>
        <v>2</v>
      </c>
      <c r="O1230" s="168">
        <f t="shared" si="337"/>
        <v>3.2258064516129031E-2</v>
      </c>
      <c r="P1230" s="157">
        <f t="shared" si="337"/>
        <v>6.4516129032258063E-2</v>
      </c>
    </row>
    <row r="1231" spans="1:16" ht="13.5" customHeight="1">
      <c r="A1231" s="474"/>
      <c r="B1231" s="127">
        <v>4</v>
      </c>
      <c r="C1231" s="147">
        <v>1</v>
      </c>
      <c r="D1231" s="147">
        <v>1</v>
      </c>
      <c r="E1231" s="147">
        <v>0</v>
      </c>
      <c r="F1231" s="181">
        <v>0</v>
      </c>
      <c r="G1231" s="147">
        <v>0</v>
      </c>
      <c r="H1231" s="147">
        <v>0</v>
      </c>
      <c r="I1231" s="147">
        <v>0</v>
      </c>
      <c r="J1231" s="147">
        <v>0</v>
      </c>
      <c r="K1231" s="147">
        <v>0</v>
      </c>
      <c r="L1231" s="148">
        <v>0</v>
      </c>
      <c r="M1231" s="154">
        <f t="shared" si="346"/>
        <v>1</v>
      </c>
      <c r="N1231" s="155">
        <f t="shared" si="347"/>
        <v>1</v>
      </c>
      <c r="O1231" s="168">
        <f t="shared" si="337"/>
        <v>3.2258064516129031E-2</v>
      </c>
      <c r="P1231" s="157">
        <f t="shared" si="337"/>
        <v>3.2258064516129031E-2</v>
      </c>
    </row>
    <row r="1232" spans="1:16" ht="13.5" customHeight="1">
      <c r="A1232" s="474"/>
      <c r="B1232" s="127">
        <v>5</v>
      </c>
      <c r="C1232" s="147">
        <v>0</v>
      </c>
      <c r="D1232" s="147">
        <v>0</v>
      </c>
      <c r="E1232" s="147">
        <v>0</v>
      </c>
      <c r="F1232" s="181">
        <v>0</v>
      </c>
      <c r="G1232" s="147">
        <v>0</v>
      </c>
      <c r="H1232" s="147">
        <v>0</v>
      </c>
      <c r="I1232" s="147">
        <v>0</v>
      </c>
      <c r="J1232" s="147">
        <v>0</v>
      </c>
      <c r="K1232" s="147">
        <v>0</v>
      </c>
      <c r="L1232" s="148">
        <v>0</v>
      </c>
      <c r="M1232" s="154">
        <f t="shared" si="346"/>
        <v>0</v>
      </c>
      <c r="N1232" s="155">
        <f t="shared" si="347"/>
        <v>0</v>
      </c>
      <c r="O1232" s="168">
        <f t="shared" si="337"/>
        <v>0</v>
      </c>
      <c r="P1232" s="157">
        <f t="shared" si="337"/>
        <v>0</v>
      </c>
    </row>
    <row r="1233" spans="1:16" ht="13.5" customHeight="1">
      <c r="A1233" s="474"/>
      <c r="B1233" s="127">
        <v>6</v>
      </c>
      <c r="C1233" s="147">
        <f>集計用!C52</f>
        <v>1</v>
      </c>
      <c r="D1233" s="147">
        <f>集計用!S52</f>
        <v>1</v>
      </c>
      <c r="E1233" s="147">
        <f>集計用!E52</f>
        <v>0</v>
      </c>
      <c r="F1233" s="181">
        <f>集計用!U52</f>
        <v>0</v>
      </c>
      <c r="G1233" s="147">
        <f>集計用!G52</f>
        <v>0</v>
      </c>
      <c r="H1233" s="147">
        <f>集計用!W52</f>
        <v>0</v>
      </c>
      <c r="I1233" s="147">
        <f>集計用!I52</f>
        <v>0</v>
      </c>
      <c r="J1233" s="147">
        <f>集計用!Y52</f>
        <v>0</v>
      </c>
      <c r="K1233" s="147">
        <f>集計用!K52</f>
        <v>0</v>
      </c>
      <c r="L1233" s="148">
        <f>集計用!AA52</f>
        <v>0</v>
      </c>
      <c r="M1233" s="154">
        <f t="shared" si="346"/>
        <v>1</v>
      </c>
      <c r="N1233" s="155">
        <f t="shared" si="347"/>
        <v>1</v>
      </c>
      <c r="O1233" s="168">
        <f>M1233/30</f>
        <v>3.3333333333333333E-2</v>
      </c>
      <c r="P1233" s="157">
        <f>N1233/30</f>
        <v>3.3333333333333333E-2</v>
      </c>
    </row>
    <row r="1234" spans="1:16" ht="13.5" customHeight="1">
      <c r="A1234" s="474"/>
      <c r="B1234" s="127">
        <v>7</v>
      </c>
      <c r="C1234" s="158"/>
      <c r="D1234" s="158"/>
      <c r="E1234" s="158"/>
      <c r="F1234" s="158"/>
      <c r="G1234" s="158"/>
      <c r="H1234" s="158"/>
      <c r="I1234" s="158"/>
      <c r="J1234" s="158"/>
      <c r="K1234" s="158"/>
      <c r="L1234" s="158"/>
      <c r="M1234" s="154">
        <f t="shared" si="346"/>
        <v>0</v>
      </c>
      <c r="N1234" s="155">
        <f t="shared" si="347"/>
        <v>0</v>
      </c>
      <c r="O1234" s="168">
        <f t="shared" ref="O1234:O1239" si="348">M1234/31</f>
        <v>0</v>
      </c>
      <c r="P1234" s="157">
        <f t="shared" ref="P1234:P1239" si="349">N1234/31</f>
        <v>0</v>
      </c>
    </row>
    <row r="1235" spans="1:16" ht="13.5" customHeight="1">
      <c r="A1235" s="474"/>
      <c r="B1235" s="127">
        <v>8</v>
      </c>
      <c r="C1235" s="158"/>
      <c r="D1235" s="158"/>
      <c r="E1235" s="158"/>
      <c r="F1235" s="158"/>
      <c r="G1235" s="158"/>
      <c r="H1235" s="158"/>
      <c r="I1235" s="158"/>
      <c r="J1235" s="158"/>
      <c r="K1235" s="158"/>
      <c r="L1235" s="159"/>
      <c r="M1235" s="177">
        <f t="shared" si="346"/>
        <v>0</v>
      </c>
      <c r="N1235" s="158">
        <f t="shared" si="347"/>
        <v>0</v>
      </c>
      <c r="O1235" s="168">
        <f t="shared" si="348"/>
        <v>0</v>
      </c>
      <c r="P1235" s="157">
        <f t="shared" si="349"/>
        <v>0</v>
      </c>
    </row>
    <row r="1236" spans="1:16" ht="13.5" customHeight="1">
      <c r="A1236" s="474"/>
      <c r="B1236" s="127">
        <v>9</v>
      </c>
      <c r="C1236" s="147"/>
      <c r="D1236" s="147"/>
      <c r="E1236" s="147"/>
      <c r="F1236" s="147"/>
      <c r="G1236" s="147"/>
      <c r="H1236" s="147"/>
      <c r="I1236" s="147"/>
      <c r="J1236" s="147"/>
      <c r="K1236" s="147"/>
      <c r="L1236" s="158"/>
      <c r="M1236" s="177">
        <f t="shared" ref="M1236" si="350">+C1236+E1236+G1236+I1236+K1236</f>
        <v>0</v>
      </c>
      <c r="N1236" s="158">
        <f t="shared" ref="N1236" si="351">+D1236+F1236+H1236+J1236+L1236</f>
        <v>0</v>
      </c>
      <c r="O1236" s="168">
        <f>M1236/30</f>
        <v>0</v>
      </c>
      <c r="P1236" s="157">
        <f>N1236/30</f>
        <v>0</v>
      </c>
    </row>
    <row r="1237" spans="1:16" ht="13.5" customHeight="1">
      <c r="A1237" s="474"/>
      <c r="B1237" s="127">
        <v>10</v>
      </c>
      <c r="C1237" s="147"/>
      <c r="D1237" s="147"/>
      <c r="E1237" s="147"/>
      <c r="F1237" s="181"/>
      <c r="G1237" s="147"/>
      <c r="H1237" s="147"/>
      <c r="I1237" s="147"/>
      <c r="J1237" s="147"/>
      <c r="K1237" s="147"/>
      <c r="L1237" s="147"/>
      <c r="M1237" s="154">
        <f t="shared" ref="M1237" si="352">+C1237+E1237+G1237+I1237+K1237</f>
        <v>0</v>
      </c>
      <c r="N1237" s="155">
        <f t="shared" ref="N1237" si="353">+D1237+F1237+H1237+J1237+L1237</f>
        <v>0</v>
      </c>
      <c r="O1237" s="168">
        <f t="shared" ref="O1237" si="354">M1237/31</f>
        <v>0</v>
      </c>
      <c r="P1237" s="157">
        <f t="shared" ref="P1237" si="355">N1237/31</f>
        <v>0</v>
      </c>
    </row>
    <row r="1238" spans="1:16" ht="13.5" customHeight="1">
      <c r="A1238" s="474"/>
      <c r="B1238" s="127">
        <v>11</v>
      </c>
      <c r="C1238" s="367"/>
      <c r="D1238" s="367"/>
      <c r="E1238" s="367"/>
      <c r="F1238" s="367"/>
      <c r="G1238" s="367"/>
      <c r="H1238" s="367"/>
      <c r="I1238" s="367"/>
      <c r="J1238" s="367"/>
      <c r="K1238" s="367"/>
      <c r="L1238" s="368"/>
      <c r="M1238" s="154">
        <f t="shared" si="346"/>
        <v>0</v>
      </c>
      <c r="N1238" s="155">
        <f t="shared" si="347"/>
        <v>0</v>
      </c>
      <c r="O1238" s="168">
        <f t="shared" si="348"/>
        <v>0</v>
      </c>
      <c r="P1238" s="157">
        <f t="shared" si="349"/>
        <v>0</v>
      </c>
    </row>
    <row r="1239" spans="1:16" ht="13.5" customHeight="1" thickBot="1">
      <c r="A1239" s="475"/>
      <c r="B1239" s="127">
        <v>12</v>
      </c>
      <c r="C1239" s="187"/>
      <c r="D1239" s="187"/>
      <c r="E1239" s="187"/>
      <c r="F1239" s="188"/>
      <c r="G1239" s="187"/>
      <c r="H1239" s="187"/>
      <c r="I1239" s="187"/>
      <c r="J1239" s="187"/>
      <c r="K1239" s="187"/>
      <c r="L1239" s="189"/>
      <c r="M1239" s="154">
        <f t="shared" si="346"/>
        <v>0</v>
      </c>
      <c r="N1239" s="155">
        <f t="shared" si="347"/>
        <v>0</v>
      </c>
      <c r="O1239" s="168">
        <f t="shared" si="348"/>
        <v>0</v>
      </c>
      <c r="P1239" s="157">
        <f t="shared" si="349"/>
        <v>0</v>
      </c>
    </row>
    <row r="1240" spans="1:16" ht="18.75" customHeight="1" thickBot="1">
      <c r="A1240" s="180"/>
      <c r="B1240" s="160" t="s">
        <v>5</v>
      </c>
      <c r="C1240" s="161">
        <f>SUM(C1192:C1239)</f>
        <v>130</v>
      </c>
      <c r="D1240" s="161">
        <f t="shared" ref="D1240:K1240" si="356">SUM(D1192:D1239)</f>
        <v>159</v>
      </c>
      <c r="E1240" s="161">
        <f t="shared" si="356"/>
        <v>43</v>
      </c>
      <c r="F1240" s="161">
        <f t="shared" si="356"/>
        <v>91</v>
      </c>
      <c r="G1240" s="161">
        <f t="shared" si="356"/>
        <v>11</v>
      </c>
      <c r="H1240" s="161">
        <f t="shared" si="356"/>
        <v>18</v>
      </c>
      <c r="I1240" s="161">
        <f t="shared" si="356"/>
        <v>5</v>
      </c>
      <c r="J1240" s="161">
        <f t="shared" si="356"/>
        <v>11</v>
      </c>
      <c r="K1240" s="161">
        <f t="shared" si="356"/>
        <v>0</v>
      </c>
      <c r="L1240" s="161">
        <f>SUM(L1192:L1239)</f>
        <v>0</v>
      </c>
      <c r="M1240" s="162">
        <f>SUM(M1192:M1239)</f>
        <v>189</v>
      </c>
      <c r="N1240" s="161">
        <f>SUM(N1192:N1239)</f>
        <v>279</v>
      </c>
      <c r="O1240" s="161">
        <f>SUM(O1192:O1239)</f>
        <v>6.1053763440860207</v>
      </c>
      <c r="P1240" s="161">
        <f>SUM(P1192:P1239)</f>
        <v>9.0107526881720457</v>
      </c>
    </row>
    <row r="1252" spans="1:16" s="2" customFormat="1" ht="15" customHeight="1">
      <c r="B1252" s="172" t="s">
        <v>25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123">
        <f>P1</f>
        <v>44022</v>
      </c>
    </row>
    <row r="1253" spans="1:16" s="2" customFormat="1" ht="7.5" customHeight="1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124"/>
    </row>
    <row r="1254" spans="1:16" ht="10.5" customHeight="1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25" t="s">
        <v>26</v>
      </c>
    </row>
    <row r="1255" spans="1:16" ht="9.75" customHeight="1">
      <c r="B1255" s="11" t="s">
        <v>55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26" t="s">
        <v>27</v>
      </c>
    </row>
    <row r="1257" spans="1:16" ht="11.25" customHeight="1">
      <c r="B1257" s="467" t="s">
        <v>84</v>
      </c>
      <c r="C1257" s="469" t="s">
        <v>29</v>
      </c>
      <c r="D1257" s="470"/>
      <c r="E1257" s="469" t="s">
        <v>30</v>
      </c>
      <c r="F1257" s="470"/>
      <c r="G1257" s="469" t="s">
        <v>31</v>
      </c>
      <c r="H1257" s="470"/>
      <c r="I1257" s="469" t="s">
        <v>58</v>
      </c>
      <c r="J1257" s="470"/>
      <c r="K1257" s="469" t="s">
        <v>57</v>
      </c>
      <c r="L1257" s="471"/>
      <c r="M1257" s="470" t="s">
        <v>5</v>
      </c>
      <c r="N1257" s="472"/>
      <c r="O1257" s="472" t="s">
        <v>33</v>
      </c>
      <c r="P1257" s="472"/>
    </row>
    <row r="1258" spans="1:16" ht="11.25" customHeight="1" thickBot="1">
      <c r="B1258" s="468"/>
      <c r="C1258" s="13" t="s">
        <v>34</v>
      </c>
      <c r="D1258" s="13" t="s">
        <v>35</v>
      </c>
      <c r="E1258" s="13" t="s">
        <v>34</v>
      </c>
      <c r="F1258" s="13" t="s">
        <v>35</v>
      </c>
      <c r="G1258" s="13" t="s">
        <v>34</v>
      </c>
      <c r="H1258" s="13" t="s">
        <v>35</v>
      </c>
      <c r="I1258" s="13" t="s">
        <v>59</v>
      </c>
      <c r="J1258" s="13" t="s">
        <v>60</v>
      </c>
      <c r="K1258" s="13" t="s">
        <v>34</v>
      </c>
      <c r="L1258" s="14" t="s">
        <v>35</v>
      </c>
      <c r="M1258" s="15" t="s">
        <v>34</v>
      </c>
      <c r="N1258" s="13" t="s">
        <v>35</v>
      </c>
      <c r="O1258" s="163" t="s">
        <v>34</v>
      </c>
      <c r="P1258" s="163" t="s">
        <v>35</v>
      </c>
    </row>
    <row r="1259" spans="1:16" ht="13.5" customHeight="1">
      <c r="A1259" s="473">
        <v>2017</v>
      </c>
      <c r="B1259" s="410">
        <v>1</v>
      </c>
      <c r="C1259" s="422"/>
      <c r="D1259" s="422"/>
      <c r="E1259" s="422"/>
      <c r="F1259" s="422"/>
      <c r="G1259" s="422"/>
      <c r="H1259" s="422"/>
      <c r="I1259" s="422"/>
      <c r="J1259" s="422"/>
      <c r="K1259" s="422"/>
      <c r="L1259" s="432"/>
      <c r="M1259" s="424">
        <f t="shared" ref="M1259:M1290" si="357">+C1259+E1259+G1259+I1259+K1259</f>
        <v>0</v>
      </c>
      <c r="N1259" s="425">
        <f t="shared" ref="N1259:N1290" si="358">+D1259+F1259+H1259+J1259+L1259</f>
        <v>0</v>
      </c>
      <c r="O1259" s="430">
        <f t="shared" ref="O1259:P1263" si="359">M1259/31</f>
        <v>0</v>
      </c>
      <c r="P1259" s="427">
        <f t="shared" si="359"/>
        <v>0</v>
      </c>
    </row>
    <row r="1260" spans="1:16" ht="13.5" customHeight="1">
      <c r="A1260" s="474"/>
      <c r="B1260" s="127">
        <v>2</v>
      </c>
      <c r="C1260" s="147"/>
      <c r="D1260" s="147"/>
      <c r="E1260" s="147"/>
      <c r="F1260" s="147"/>
      <c r="G1260" s="147"/>
      <c r="H1260" s="147"/>
      <c r="I1260" s="147"/>
      <c r="J1260" s="147"/>
      <c r="K1260" s="147"/>
      <c r="L1260" s="174"/>
      <c r="M1260" s="149">
        <f t="shared" si="357"/>
        <v>0</v>
      </c>
      <c r="N1260" s="150">
        <f t="shared" si="358"/>
        <v>0</v>
      </c>
      <c r="O1260" s="167">
        <f t="shared" si="359"/>
        <v>0</v>
      </c>
      <c r="P1260" s="152">
        <f t="shared" si="359"/>
        <v>0</v>
      </c>
    </row>
    <row r="1261" spans="1:16" ht="13.5" customHeight="1">
      <c r="A1261" s="474"/>
      <c r="B1261" s="127">
        <v>3</v>
      </c>
      <c r="C1261" s="147"/>
      <c r="D1261" s="147"/>
      <c r="E1261" s="147"/>
      <c r="F1261" s="147"/>
      <c r="G1261" s="147"/>
      <c r="H1261" s="147"/>
      <c r="I1261" s="147"/>
      <c r="J1261" s="147"/>
      <c r="K1261" s="147"/>
      <c r="L1261" s="174"/>
      <c r="M1261" s="149">
        <f t="shared" si="357"/>
        <v>0</v>
      </c>
      <c r="N1261" s="150">
        <f t="shared" si="358"/>
        <v>0</v>
      </c>
      <c r="O1261" s="167">
        <f t="shared" si="359"/>
        <v>0</v>
      </c>
      <c r="P1261" s="152">
        <f t="shared" si="359"/>
        <v>0</v>
      </c>
    </row>
    <row r="1262" spans="1:16" ht="13.5" customHeight="1">
      <c r="A1262" s="474"/>
      <c r="B1262" s="127">
        <v>4</v>
      </c>
      <c r="C1262" s="158"/>
      <c r="D1262" s="158"/>
      <c r="E1262" s="158"/>
      <c r="F1262" s="158"/>
      <c r="G1262" s="158"/>
      <c r="H1262" s="158"/>
      <c r="I1262" s="158"/>
      <c r="J1262" s="158"/>
      <c r="K1262" s="158"/>
      <c r="L1262" s="159"/>
      <c r="M1262" s="154">
        <f t="shared" si="357"/>
        <v>0</v>
      </c>
      <c r="N1262" s="155">
        <f t="shared" si="358"/>
        <v>0</v>
      </c>
      <c r="O1262" s="168">
        <f t="shared" si="359"/>
        <v>0</v>
      </c>
      <c r="P1262" s="157">
        <f t="shared" si="359"/>
        <v>0</v>
      </c>
    </row>
    <row r="1263" spans="1:16" ht="13.5" customHeight="1">
      <c r="A1263" s="474"/>
      <c r="B1263" s="127">
        <v>5</v>
      </c>
      <c r="C1263" s="158"/>
      <c r="D1263" s="158"/>
      <c r="E1263" s="158"/>
      <c r="F1263" s="158"/>
      <c r="G1263" s="158"/>
      <c r="H1263" s="158"/>
      <c r="I1263" s="158"/>
      <c r="J1263" s="158"/>
      <c r="K1263" s="158"/>
      <c r="L1263" s="159"/>
      <c r="M1263" s="154">
        <f t="shared" si="357"/>
        <v>0</v>
      </c>
      <c r="N1263" s="155">
        <f t="shared" si="358"/>
        <v>0</v>
      </c>
      <c r="O1263" s="168">
        <f t="shared" si="359"/>
        <v>0</v>
      </c>
      <c r="P1263" s="157">
        <f t="shared" si="359"/>
        <v>0</v>
      </c>
    </row>
    <row r="1264" spans="1:16" ht="13.5" customHeight="1">
      <c r="A1264" s="474"/>
      <c r="B1264" s="127">
        <v>6</v>
      </c>
      <c r="C1264" s="158"/>
      <c r="D1264" s="158"/>
      <c r="E1264" s="158"/>
      <c r="F1264" s="158"/>
      <c r="G1264" s="158"/>
      <c r="H1264" s="158"/>
      <c r="I1264" s="158"/>
      <c r="J1264" s="158"/>
      <c r="K1264" s="158"/>
      <c r="L1264" s="158"/>
      <c r="M1264" s="154">
        <f t="shared" si="357"/>
        <v>0</v>
      </c>
      <c r="N1264" s="155">
        <f t="shared" si="358"/>
        <v>0</v>
      </c>
      <c r="O1264" s="168">
        <f>M1264/30</f>
        <v>0</v>
      </c>
      <c r="P1264" s="157">
        <f>N1264/30</f>
        <v>0</v>
      </c>
    </row>
    <row r="1265" spans="1:16" ht="13.5" customHeight="1">
      <c r="A1265" s="474"/>
      <c r="B1265" s="127">
        <v>7</v>
      </c>
      <c r="C1265" s="158">
        <v>2</v>
      </c>
      <c r="D1265" s="158">
        <v>2</v>
      </c>
      <c r="E1265" s="158">
        <v>0</v>
      </c>
      <c r="F1265" s="158">
        <v>0</v>
      </c>
      <c r="G1265" s="158">
        <v>0</v>
      </c>
      <c r="H1265" s="158">
        <v>0</v>
      </c>
      <c r="I1265" s="158">
        <v>0</v>
      </c>
      <c r="J1265" s="158">
        <v>0</v>
      </c>
      <c r="K1265" s="158">
        <v>0</v>
      </c>
      <c r="L1265" s="158">
        <v>0</v>
      </c>
      <c r="M1265" s="154">
        <f t="shared" si="357"/>
        <v>2</v>
      </c>
      <c r="N1265" s="155">
        <f t="shared" si="358"/>
        <v>2</v>
      </c>
      <c r="O1265" s="168">
        <f t="shared" ref="O1265:O1275" si="360">M1265/31</f>
        <v>6.4516129032258063E-2</v>
      </c>
      <c r="P1265" s="157">
        <f t="shared" ref="P1265:P1275" si="361">N1265/31</f>
        <v>6.4516129032258063E-2</v>
      </c>
    </row>
    <row r="1266" spans="1:16" ht="13.5" customHeight="1">
      <c r="A1266" s="474"/>
      <c r="B1266" s="127">
        <v>8</v>
      </c>
      <c r="C1266" s="158">
        <v>1</v>
      </c>
      <c r="D1266" s="158">
        <v>2</v>
      </c>
      <c r="E1266" s="158">
        <v>0</v>
      </c>
      <c r="F1266" s="158">
        <v>0</v>
      </c>
      <c r="G1266" s="158">
        <v>0</v>
      </c>
      <c r="H1266" s="158">
        <v>0</v>
      </c>
      <c r="I1266" s="158">
        <v>0</v>
      </c>
      <c r="J1266" s="158">
        <v>0</v>
      </c>
      <c r="K1266" s="158">
        <v>0</v>
      </c>
      <c r="L1266" s="159">
        <v>0</v>
      </c>
      <c r="M1266" s="177">
        <f t="shared" si="357"/>
        <v>1</v>
      </c>
      <c r="N1266" s="158">
        <f t="shared" si="358"/>
        <v>2</v>
      </c>
      <c r="O1266" s="168">
        <f t="shared" si="360"/>
        <v>3.2258064516129031E-2</v>
      </c>
      <c r="P1266" s="157">
        <f t="shared" si="361"/>
        <v>6.4516129032258063E-2</v>
      </c>
    </row>
    <row r="1267" spans="1:16" ht="13.5" customHeight="1">
      <c r="A1267" s="474"/>
      <c r="B1267" s="127">
        <v>9</v>
      </c>
      <c r="C1267" s="147">
        <v>0</v>
      </c>
      <c r="D1267" s="147">
        <v>0</v>
      </c>
      <c r="E1267" s="147">
        <v>0</v>
      </c>
      <c r="F1267" s="147">
        <v>0</v>
      </c>
      <c r="G1267" s="147">
        <v>3</v>
      </c>
      <c r="H1267" s="147">
        <v>12</v>
      </c>
      <c r="I1267" s="147">
        <v>1</v>
      </c>
      <c r="J1267" s="147">
        <v>2</v>
      </c>
      <c r="K1267" s="147">
        <v>0</v>
      </c>
      <c r="L1267" s="148">
        <v>0</v>
      </c>
      <c r="M1267" s="177">
        <f t="shared" si="357"/>
        <v>4</v>
      </c>
      <c r="N1267" s="158">
        <f t="shared" si="358"/>
        <v>14</v>
      </c>
      <c r="O1267" s="168">
        <f t="shared" si="360"/>
        <v>0.12903225806451613</v>
      </c>
      <c r="P1267" s="157">
        <f t="shared" si="361"/>
        <v>0.45161290322580644</v>
      </c>
    </row>
    <row r="1268" spans="1:16" ht="13.5" customHeight="1">
      <c r="A1268" s="474"/>
      <c r="B1268" s="127">
        <v>10</v>
      </c>
      <c r="C1268" s="147">
        <v>0</v>
      </c>
      <c r="D1268" s="147">
        <v>0</v>
      </c>
      <c r="E1268" s="147">
        <v>0</v>
      </c>
      <c r="F1268" s="181">
        <v>0</v>
      </c>
      <c r="G1268" s="147">
        <v>0</v>
      </c>
      <c r="H1268" s="147">
        <v>6</v>
      </c>
      <c r="I1268" s="147">
        <v>0</v>
      </c>
      <c r="J1268" s="147">
        <v>0</v>
      </c>
      <c r="K1268" s="147">
        <v>0</v>
      </c>
      <c r="L1268" s="148">
        <v>0</v>
      </c>
      <c r="M1268" s="154">
        <f t="shared" si="357"/>
        <v>0</v>
      </c>
      <c r="N1268" s="155">
        <f t="shared" si="358"/>
        <v>6</v>
      </c>
      <c r="O1268" s="168">
        <f t="shared" si="360"/>
        <v>0</v>
      </c>
      <c r="P1268" s="157">
        <f t="shared" si="361"/>
        <v>0.19354838709677419</v>
      </c>
    </row>
    <row r="1269" spans="1:16" ht="13.5" customHeight="1">
      <c r="A1269" s="474"/>
      <c r="B1269" s="127">
        <v>11</v>
      </c>
      <c r="C1269" s="367">
        <v>2</v>
      </c>
      <c r="D1269" s="367">
        <v>2</v>
      </c>
      <c r="E1269" s="367">
        <v>0</v>
      </c>
      <c r="F1269" s="367">
        <v>0</v>
      </c>
      <c r="G1269" s="367">
        <v>0</v>
      </c>
      <c r="H1269" s="367">
        <v>0</v>
      </c>
      <c r="I1269" s="367">
        <v>0</v>
      </c>
      <c r="J1269" s="367">
        <v>0</v>
      </c>
      <c r="K1269" s="367">
        <v>0</v>
      </c>
      <c r="L1269" s="368">
        <v>0</v>
      </c>
      <c r="M1269" s="154">
        <f t="shared" si="357"/>
        <v>2</v>
      </c>
      <c r="N1269" s="155">
        <f t="shared" si="358"/>
        <v>2</v>
      </c>
      <c r="O1269" s="168">
        <f t="shared" si="360"/>
        <v>6.4516129032258063E-2</v>
      </c>
      <c r="P1269" s="157">
        <f t="shared" si="361"/>
        <v>6.4516129032258063E-2</v>
      </c>
    </row>
    <row r="1270" spans="1:16" ht="13.5" customHeight="1" thickBot="1">
      <c r="A1270" s="475"/>
      <c r="B1270" s="127">
        <v>12</v>
      </c>
      <c r="C1270" s="187">
        <v>0</v>
      </c>
      <c r="D1270" s="187">
        <v>0</v>
      </c>
      <c r="E1270" s="187">
        <v>0</v>
      </c>
      <c r="F1270" s="188">
        <v>0</v>
      </c>
      <c r="G1270" s="187">
        <v>0</v>
      </c>
      <c r="H1270" s="187">
        <v>0</v>
      </c>
      <c r="I1270" s="187">
        <v>0</v>
      </c>
      <c r="J1270" s="187">
        <v>0</v>
      </c>
      <c r="K1270" s="187">
        <v>0</v>
      </c>
      <c r="L1270" s="189">
        <v>0</v>
      </c>
      <c r="M1270" s="154">
        <f t="shared" si="357"/>
        <v>0</v>
      </c>
      <c r="N1270" s="155">
        <f t="shared" si="358"/>
        <v>0</v>
      </c>
      <c r="O1270" s="168">
        <f t="shared" si="360"/>
        <v>0</v>
      </c>
      <c r="P1270" s="157">
        <f t="shared" si="361"/>
        <v>0</v>
      </c>
    </row>
    <row r="1271" spans="1:16" ht="13.5" customHeight="1">
      <c r="A1271" s="473">
        <v>2018</v>
      </c>
      <c r="B1271" s="410">
        <v>1</v>
      </c>
      <c r="C1271" s="158">
        <v>0</v>
      </c>
      <c r="D1271" s="158">
        <v>0</v>
      </c>
      <c r="E1271" s="158">
        <v>0</v>
      </c>
      <c r="F1271" s="169">
        <v>0</v>
      </c>
      <c r="G1271" s="158">
        <v>0</v>
      </c>
      <c r="H1271" s="158">
        <v>0</v>
      </c>
      <c r="I1271" s="158">
        <v>0</v>
      </c>
      <c r="J1271" s="158">
        <v>0</v>
      </c>
      <c r="K1271" s="158">
        <v>0</v>
      </c>
      <c r="L1271" s="159">
        <v>0</v>
      </c>
      <c r="M1271" s="424">
        <f t="shared" si="357"/>
        <v>0</v>
      </c>
      <c r="N1271" s="425">
        <f t="shared" si="358"/>
        <v>0</v>
      </c>
      <c r="O1271" s="430">
        <f t="shared" si="360"/>
        <v>0</v>
      </c>
      <c r="P1271" s="427">
        <f t="shared" si="361"/>
        <v>0</v>
      </c>
    </row>
    <row r="1272" spans="1:16" ht="13.5" customHeight="1">
      <c r="A1272" s="474"/>
      <c r="B1272" s="127">
        <v>2</v>
      </c>
      <c r="C1272" s="158">
        <v>0</v>
      </c>
      <c r="D1272" s="158">
        <v>0</v>
      </c>
      <c r="E1272" s="158">
        <v>0</v>
      </c>
      <c r="F1272" s="169">
        <v>0</v>
      </c>
      <c r="G1272" s="158">
        <v>0</v>
      </c>
      <c r="H1272" s="158">
        <v>0</v>
      </c>
      <c r="I1272" s="158">
        <v>0</v>
      </c>
      <c r="J1272" s="158">
        <v>0</v>
      </c>
      <c r="K1272" s="158">
        <v>0</v>
      </c>
      <c r="L1272" s="159">
        <v>0</v>
      </c>
      <c r="M1272" s="154">
        <f t="shared" si="357"/>
        <v>0</v>
      </c>
      <c r="N1272" s="155">
        <f t="shared" si="358"/>
        <v>0</v>
      </c>
      <c r="O1272" s="168">
        <f t="shared" si="360"/>
        <v>0</v>
      </c>
      <c r="P1272" s="157">
        <f t="shared" si="361"/>
        <v>0</v>
      </c>
    </row>
    <row r="1273" spans="1:16" ht="13.5" customHeight="1">
      <c r="A1273" s="474"/>
      <c r="B1273" s="127">
        <v>3</v>
      </c>
      <c r="C1273" s="158">
        <v>0</v>
      </c>
      <c r="D1273" s="158">
        <v>0</v>
      </c>
      <c r="E1273" s="158">
        <v>0</v>
      </c>
      <c r="F1273" s="169">
        <v>0</v>
      </c>
      <c r="G1273" s="158">
        <v>0</v>
      </c>
      <c r="H1273" s="158">
        <v>0</v>
      </c>
      <c r="I1273" s="158">
        <v>0</v>
      </c>
      <c r="J1273" s="158">
        <v>0</v>
      </c>
      <c r="K1273" s="158">
        <v>0</v>
      </c>
      <c r="L1273" s="159">
        <v>0</v>
      </c>
      <c r="M1273" s="154">
        <f t="shared" si="357"/>
        <v>0</v>
      </c>
      <c r="N1273" s="155">
        <f t="shared" si="358"/>
        <v>0</v>
      </c>
      <c r="O1273" s="168">
        <f t="shared" si="360"/>
        <v>0</v>
      </c>
      <c r="P1273" s="157">
        <f t="shared" si="361"/>
        <v>0</v>
      </c>
    </row>
    <row r="1274" spans="1:16" ht="13.5" customHeight="1">
      <c r="A1274" s="474"/>
      <c r="B1274" s="127">
        <v>4</v>
      </c>
      <c r="C1274" s="158">
        <v>3</v>
      </c>
      <c r="D1274" s="158">
        <v>4</v>
      </c>
      <c r="E1274" s="158">
        <v>0</v>
      </c>
      <c r="F1274" s="169">
        <v>0</v>
      </c>
      <c r="G1274" s="158">
        <v>1</v>
      </c>
      <c r="H1274" s="158">
        <v>0</v>
      </c>
      <c r="I1274" s="158">
        <v>0</v>
      </c>
      <c r="J1274" s="158">
        <v>0</v>
      </c>
      <c r="K1274" s="158">
        <v>0</v>
      </c>
      <c r="L1274" s="159">
        <v>0</v>
      </c>
      <c r="M1274" s="154">
        <f t="shared" si="357"/>
        <v>4</v>
      </c>
      <c r="N1274" s="155">
        <f t="shared" si="358"/>
        <v>4</v>
      </c>
      <c r="O1274" s="168">
        <f t="shared" si="360"/>
        <v>0.12903225806451613</v>
      </c>
      <c r="P1274" s="157">
        <f t="shared" si="361"/>
        <v>0.12903225806451613</v>
      </c>
    </row>
    <row r="1275" spans="1:16" ht="13.5" customHeight="1">
      <c r="A1275" s="474"/>
      <c r="B1275" s="127">
        <v>5</v>
      </c>
      <c r="C1275" s="158">
        <v>2</v>
      </c>
      <c r="D1275" s="158">
        <v>2</v>
      </c>
      <c r="E1275" s="158">
        <v>0</v>
      </c>
      <c r="F1275" s="169">
        <v>0</v>
      </c>
      <c r="G1275" s="158">
        <v>0</v>
      </c>
      <c r="H1275" s="158">
        <v>2</v>
      </c>
      <c r="I1275" s="158">
        <v>0</v>
      </c>
      <c r="J1275" s="158">
        <v>0</v>
      </c>
      <c r="K1275" s="158">
        <v>0</v>
      </c>
      <c r="L1275" s="159">
        <v>0</v>
      </c>
      <c r="M1275" s="154">
        <f t="shared" si="357"/>
        <v>2</v>
      </c>
      <c r="N1275" s="155">
        <f t="shared" si="358"/>
        <v>4</v>
      </c>
      <c r="O1275" s="168">
        <f t="shared" si="360"/>
        <v>6.4516129032258063E-2</v>
      </c>
      <c r="P1275" s="157">
        <f t="shared" si="361"/>
        <v>0.12903225806451613</v>
      </c>
    </row>
    <row r="1276" spans="1:16" ht="13.5" customHeight="1">
      <c r="A1276" s="474"/>
      <c r="B1276" s="127">
        <v>6</v>
      </c>
      <c r="C1276" s="158">
        <v>0</v>
      </c>
      <c r="D1276" s="158">
        <v>8</v>
      </c>
      <c r="E1276" s="158">
        <v>0</v>
      </c>
      <c r="F1276" s="169">
        <v>0</v>
      </c>
      <c r="G1276" s="158">
        <v>0</v>
      </c>
      <c r="H1276" s="158">
        <v>0</v>
      </c>
      <c r="I1276" s="158">
        <v>0</v>
      </c>
      <c r="J1276" s="158">
        <v>0</v>
      </c>
      <c r="K1276" s="158">
        <v>0</v>
      </c>
      <c r="L1276" s="159">
        <v>0</v>
      </c>
      <c r="M1276" s="154">
        <f t="shared" si="357"/>
        <v>0</v>
      </c>
      <c r="N1276" s="155">
        <f t="shared" si="358"/>
        <v>8</v>
      </c>
      <c r="O1276" s="168">
        <f>M1276/30</f>
        <v>0</v>
      </c>
      <c r="P1276" s="157">
        <f>N1276/30</f>
        <v>0.26666666666666666</v>
      </c>
    </row>
    <row r="1277" spans="1:16" ht="13.5" customHeight="1">
      <c r="A1277" s="474"/>
      <c r="B1277" s="127">
        <v>7</v>
      </c>
      <c r="C1277" s="158">
        <v>2</v>
      </c>
      <c r="D1277" s="158">
        <v>0</v>
      </c>
      <c r="E1277" s="158">
        <v>3</v>
      </c>
      <c r="F1277" s="158">
        <v>0</v>
      </c>
      <c r="G1277" s="158">
        <v>0</v>
      </c>
      <c r="H1277" s="158">
        <v>0</v>
      </c>
      <c r="I1277" s="158">
        <v>0</v>
      </c>
      <c r="J1277" s="158">
        <v>0</v>
      </c>
      <c r="K1277" s="158">
        <v>0</v>
      </c>
      <c r="L1277" s="158">
        <v>0</v>
      </c>
      <c r="M1277" s="154">
        <f t="shared" si="357"/>
        <v>5</v>
      </c>
      <c r="N1277" s="155">
        <f t="shared" si="358"/>
        <v>0</v>
      </c>
      <c r="O1277" s="168">
        <f t="shared" ref="O1277:P1299" si="362">M1277/31</f>
        <v>0.16129032258064516</v>
      </c>
      <c r="P1277" s="157">
        <f t="shared" si="362"/>
        <v>0</v>
      </c>
    </row>
    <row r="1278" spans="1:16" ht="13.5" customHeight="1">
      <c r="A1278" s="474"/>
      <c r="B1278" s="127">
        <v>8</v>
      </c>
      <c r="C1278" s="158">
        <v>3</v>
      </c>
      <c r="D1278" s="158">
        <v>9</v>
      </c>
      <c r="E1278" s="158">
        <v>1</v>
      </c>
      <c r="F1278" s="158">
        <v>12</v>
      </c>
      <c r="G1278" s="158">
        <v>0</v>
      </c>
      <c r="H1278" s="158">
        <v>0</v>
      </c>
      <c r="I1278" s="158">
        <v>0</v>
      </c>
      <c r="J1278" s="158">
        <v>0</v>
      </c>
      <c r="K1278" s="158">
        <v>0</v>
      </c>
      <c r="L1278" s="159">
        <v>0</v>
      </c>
      <c r="M1278" s="177">
        <f t="shared" si="357"/>
        <v>4</v>
      </c>
      <c r="N1278" s="158">
        <f t="shared" si="358"/>
        <v>21</v>
      </c>
      <c r="O1278" s="168">
        <f t="shared" si="362"/>
        <v>0.12903225806451613</v>
      </c>
      <c r="P1278" s="157">
        <f t="shared" si="362"/>
        <v>0.67741935483870963</v>
      </c>
    </row>
    <row r="1279" spans="1:16" ht="13.5" customHeight="1">
      <c r="A1279" s="474"/>
      <c r="B1279" s="127">
        <v>9</v>
      </c>
      <c r="C1279" s="147">
        <v>3</v>
      </c>
      <c r="D1279" s="147">
        <v>2</v>
      </c>
      <c r="E1279" s="147">
        <v>0</v>
      </c>
      <c r="F1279" s="147">
        <v>0</v>
      </c>
      <c r="G1279" s="147">
        <v>0</v>
      </c>
      <c r="H1279" s="147">
        <v>0</v>
      </c>
      <c r="I1279" s="147">
        <v>0</v>
      </c>
      <c r="J1279" s="147">
        <v>0</v>
      </c>
      <c r="K1279" s="147">
        <v>0</v>
      </c>
      <c r="L1279" s="148">
        <v>0</v>
      </c>
      <c r="M1279" s="177">
        <f t="shared" si="357"/>
        <v>3</v>
      </c>
      <c r="N1279" s="158">
        <f t="shared" si="358"/>
        <v>2</v>
      </c>
      <c r="O1279" s="168">
        <f t="shared" si="362"/>
        <v>9.6774193548387094E-2</v>
      </c>
      <c r="P1279" s="157">
        <f t="shared" si="362"/>
        <v>6.4516129032258063E-2</v>
      </c>
    </row>
    <row r="1280" spans="1:16" ht="13.5" customHeight="1">
      <c r="A1280" s="474"/>
      <c r="B1280" s="127">
        <v>10</v>
      </c>
      <c r="C1280" s="147">
        <v>0</v>
      </c>
      <c r="D1280" s="147">
        <v>4</v>
      </c>
      <c r="E1280" s="147">
        <v>0</v>
      </c>
      <c r="F1280" s="181">
        <v>0</v>
      </c>
      <c r="G1280" s="147">
        <v>0</v>
      </c>
      <c r="H1280" s="147">
        <v>0</v>
      </c>
      <c r="I1280" s="147">
        <v>0</v>
      </c>
      <c r="J1280" s="147">
        <v>0</v>
      </c>
      <c r="K1280" s="147">
        <v>0</v>
      </c>
      <c r="L1280" s="148">
        <v>0</v>
      </c>
      <c r="M1280" s="154">
        <f t="shared" si="357"/>
        <v>0</v>
      </c>
      <c r="N1280" s="155">
        <f t="shared" si="358"/>
        <v>4</v>
      </c>
      <c r="O1280" s="168">
        <f t="shared" si="362"/>
        <v>0</v>
      </c>
      <c r="P1280" s="157">
        <f t="shared" si="362"/>
        <v>0.12903225806451613</v>
      </c>
    </row>
    <row r="1281" spans="1:16" ht="13.5" customHeight="1">
      <c r="A1281" s="474"/>
      <c r="B1281" s="127">
        <v>11</v>
      </c>
      <c r="C1281" s="367">
        <v>1</v>
      </c>
      <c r="D1281" s="367">
        <v>1</v>
      </c>
      <c r="E1281" s="367">
        <v>0</v>
      </c>
      <c r="F1281" s="367">
        <v>0</v>
      </c>
      <c r="G1281" s="367">
        <v>0</v>
      </c>
      <c r="H1281" s="367">
        <v>0</v>
      </c>
      <c r="I1281" s="367">
        <v>0</v>
      </c>
      <c r="J1281" s="367">
        <v>0</v>
      </c>
      <c r="K1281" s="367">
        <v>0</v>
      </c>
      <c r="L1281" s="368">
        <v>0</v>
      </c>
      <c r="M1281" s="154">
        <f t="shared" si="357"/>
        <v>1</v>
      </c>
      <c r="N1281" s="155">
        <f t="shared" si="358"/>
        <v>1</v>
      </c>
      <c r="O1281" s="168">
        <f t="shared" si="362"/>
        <v>3.2258064516129031E-2</v>
      </c>
      <c r="P1281" s="157">
        <f t="shared" si="362"/>
        <v>3.2258064516129031E-2</v>
      </c>
    </row>
    <row r="1282" spans="1:16" ht="13.5" customHeight="1" thickBot="1">
      <c r="A1282" s="475"/>
      <c r="B1282" s="127">
        <v>12</v>
      </c>
      <c r="C1282" s="187">
        <v>0</v>
      </c>
      <c r="D1282" s="187">
        <v>0</v>
      </c>
      <c r="E1282" s="187">
        <v>0</v>
      </c>
      <c r="F1282" s="188">
        <v>2</v>
      </c>
      <c r="G1282" s="187">
        <v>0</v>
      </c>
      <c r="H1282" s="187">
        <v>0</v>
      </c>
      <c r="I1282" s="187">
        <v>1</v>
      </c>
      <c r="J1282" s="187">
        <v>4</v>
      </c>
      <c r="K1282" s="187">
        <v>0</v>
      </c>
      <c r="L1282" s="189">
        <v>0</v>
      </c>
      <c r="M1282" s="154">
        <f t="shared" si="357"/>
        <v>1</v>
      </c>
      <c r="N1282" s="155">
        <f t="shared" si="358"/>
        <v>6</v>
      </c>
      <c r="O1282" s="168">
        <f t="shared" si="362"/>
        <v>3.2258064516129031E-2</v>
      </c>
      <c r="P1282" s="157">
        <f t="shared" si="362"/>
        <v>0.19354838709677419</v>
      </c>
    </row>
    <row r="1283" spans="1:16" ht="13.5" customHeight="1">
      <c r="A1283" s="473">
        <v>2019</v>
      </c>
      <c r="B1283" s="410">
        <v>1</v>
      </c>
      <c r="C1283" s="158">
        <v>0</v>
      </c>
      <c r="D1283" s="158">
        <v>0</v>
      </c>
      <c r="E1283" s="158">
        <v>0</v>
      </c>
      <c r="F1283" s="169">
        <v>0</v>
      </c>
      <c r="G1283" s="158">
        <v>1</v>
      </c>
      <c r="H1283" s="158">
        <v>5</v>
      </c>
      <c r="I1283" s="158">
        <v>1</v>
      </c>
      <c r="J1283" s="158">
        <v>6</v>
      </c>
      <c r="K1283" s="158">
        <v>0</v>
      </c>
      <c r="L1283" s="159">
        <v>0</v>
      </c>
      <c r="M1283" s="424">
        <f t="shared" si="357"/>
        <v>2</v>
      </c>
      <c r="N1283" s="425">
        <f t="shared" si="358"/>
        <v>11</v>
      </c>
      <c r="O1283" s="430">
        <f t="shared" ref="O1283:O1287" si="363">M1283/31</f>
        <v>6.4516129032258063E-2</v>
      </c>
      <c r="P1283" s="427">
        <f t="shared" ref="P1283:P1287" si="364">N1283/31</f>
        <v>0.35483870967741937</v>
      </c>
    </row>
    <row r="1284" spans="1:16" ht="13.5" customHeight="1">
      <c r="A1284" s="474"/>
      <c r="B1284" s="127">
        <v>2</v>
      </c>
      <c r="C1284" s="158">
        <v>0</v>
      </c>
      <c r="D1284" s="158">
        <v>0</v>
      </c>
      <c r="E1284" s="158">
        <v>0</v>
      </c>
      <c r="F1284" s="169">
        <v>0</v>
      </c>
      <c r="G1284" s="158">
        <v>3</v>
      </c>
      <c r="H1284" s="158">
        <v>4</v>
      </c>
      <c r="I1284" s="158">
        <v>0</v>
      </c>
      <c r="J1284" s="158">
        <v>0</v>
      </c>
      <c r="K1284" s="158">
        <v>0</v>
      </c>
      <c r="L1284" s="159">
        <v>0</v>
      </c>
      <c r="M1284" s="154">
        <f t="shared" si="357"/>
        <v>3</v>
      </c>
      <c r="N1284" s="155">
        <f t="shared" si="358"/>
        <v>4</v>
      </c>
      <c r="O1284" s="168">
        <f t="shared" si="363"/>
        <v>9.6774193548387094E-2</v>
      </c>
      <c r="P1284" s="157">
        <f t="shared" si="364"/>
        <v>0.12903225806451613</v>
      </c>
    </row>
    <row r="1285" spans="1:16" ht="13.5" customHeight="1">
      <c r="A1285" s="474"/>
      <c r="B1285" s="127">
        <v>3</v>
      </c>
      <c r="C1285" s="158">
        <v>2</v>
      </c>
      <c r="D1285" s="158">
        <v>0</v>
      </c>
      <c r="E1285" s="158">
        <v>1</v>
      </c>
      <c r="F1285" s="169">
        <v>0</v>
      </c>
      <c r="G1285" s="158">
        <v>5</v>
      </c>
      <c r="H1285" s="158">
        <v>4</v>
      </c>
      <c r="I1285" s="158">
        <v>1</v>
      </c>
      <c r="J1285" s="158">
        <v>0</v>
      </c>
      <c r="K1285" s="158">
        <v>0</v>
      </c>
      <c r="L1285" s="159">
        <v>0</v>
      </c>
      <c r="M1285" s="154">
        <f t="shared" si="357"/>
        <v>9</v>
      </c>
      <c r="N1285" s="155">
        <f t="shared" si="358"/>
        <v>4</v>
      </c>
      <c r="O1285" s="168">
        <f t="shared" si="363"/>
        <v>0.29032258064516131</v>
      </c>
      <c r="P1285" s="157">
        <f t="shared" si="364"/>
        <v>0.12903225806451613</v>
      </c>
    </row>
    <row r="1286" spans="1:16" ht="13.5" customHeight="1">
      <c r="A1286" s="474"/>
      <c r="B1286" s="127">
        <v>4</v>
      </c>
      <c r="C1286" s="158">
        <v>4</v>
      </c>
      <c r="D1286" s="158">
        <v>14</v>
      </c>
      <c r="E1286" s="158">
        <v>0</v>
      </c>
      <c r="F1286" s="169">
        <v>1</v>
      </c>
      <c r="G1286" s="158">
        <v>2</v>
      </c>
      <c r="H1286" s="158">
        <v>12</v>
      </c>
      <c r="I1286" s="158">
        <v>0</v>
      </c>
      <c r="J1286" s="158">
        <v>1</v>
      </c>
      <c r="K1286" s="158">
        <v>0</v>
      </c>
      <c r="L1286" s="159">
        <v>0</v>
      </c>
      <c r="M1286" s="154">
        <f t="shared" si="357"/>
        <v>6</v>
      </c>
      <c r="N1286" s="155">
        <f t="shared" si="358"/>
        <v>28</v>
      </c>
      <c r="O1286" s="168">
        <f t="shared" si="363"/>
        <v>0.19354838709677419</v>
      </c>
      <c r="P1286" s="157">
        <f t="shared" si="364"/>
        <v>0.90322580645161288</v>
      </c>
    </row>
    <row r="1287" spans="1:16" ht="13.5" customHeight="1">
      <c r="A1287" s="474"/>
      <c r="B1287" s="127">
        <v>5</v>
      </c>
      <c r="C1287" s="158">
        <v>3</v>
      </c>
      <c r="D1287" s="158">
        <v>4</v>
      </c>
      <c r="E1287" s="158">
        <v>0</v>
      </c>
      <c r="F1287" s="169">
        <v>0</v>
      </c>
      <c r="G1287" s="158">
        <v>4</v>
      </c>
      <c r="H1287" s="158">
        <v>6</v>
      </c>
      <c r="I1287" s="158">
        <v>1</v>
      </c>
      <c r="J1287" s="158">
        <v>0</v>
      </c>
      <c r="K1287" s="158">
        <v>0</v>
      </c>
      <c r="L1287" s="159">
        <v>0</v>
      </c>
      <c r="M1287" s="154">
        <f t="shared" si="357"/>
        <v>8</v>
      </c>
      <c r="N1287" s="155">
        <f t="shared" si="358"/>
        <v>10</v>
      </c>
      <c r="O1287" s="168">
        <f t="shared" si="363"/>
        <v>0.25806451612903225</v>
      </c>
      <c r="P1287" s="157">
        <f t="shared" si="364"/>
        <v>0.32258064516129031</v>
      </c>
    </row>
    <row r="1288" spans="1:16" ht="13.5" customHeight="1">
      <c r="A1288" s="474"/>
      <c r="B1288" s="127">
        <v>6</v>
      </c>
      <c r="C1288" s="158">
        <v>9</v>
      </c>
      <c r="D1288" s="158">
        <v>8</v>
      </c>
      <c r="E1288" s="158">
        <v>0</v>
      </c>
      <c r="F1288" s="169">
        <v>0</v>
      </c>
      <c r="G1288" s="158">
        <v>1</v>
      </c>
      <c r="H1288" s="158">
        <v>0</v>
      </c>
      <c r="I1288" s="158">
        <v>0</v>
      </c>
      <c r="J1288" s="158">
        <v>0</v>
      </c>
      <c r="K1288" s="158">
        <v>0</v>
      </c>
      <c r="L1288" s="159">
        <v>0</v>
      </c>
      <c r="M1288" s="154">
        <f t="shared" si="357"/>
        <v>10</v>
      </c>
      <c r="N1288" s="155">
        <f t="shared" si="358"/>
        <v>8</v>
      </c>
      <c r="O1288" s="168">
        <f>M1288/30</f>
        <v>0.33333333333333331</v>
      </c>
      <c r="P1288" s="157">
        <f>N1288/30</f>
        <v>0.26666666666666666</v>
      </c>
    </row>
    <row r="1289" spans="1:16" ht="13.5" customHeight="1">
      <c r="A1289" s="474"/>
      <c r="B1289" s="127">
        <v>7</v>
      </c>
      <c r="C1289" s="158">
        <v>1</v>
      </c>
      <c r="D1289" s="158">
        <v>4</v>
      </c>
      <c r="E1289" s="158">
        <v>0</v>
      </c>
      <c r="F1289" s="158">
        <v>0</v>
      </c>
      <c r="G1289" s="158">
        <v>2</v>
      </c>
      <c r="H1289" s="158">
        <v>2</v>
      </c>
      <c r="I1289" s="158">
        <v>1</v>
      </c>
      <c r="J1289" s="158">
        <v>0</v>
      </c>
      <c r="K1289" s="158">
        <v>0</v>
      </c>
      <c r="L1289" s="158">
        <v>0</v>
      </c>
      <c r="M1289" s="154">
        <f t="shared" si="357"/>
        <v>4</v>
      </c>
      <c r="N1289" s="155">
        <f t="shared" si="358"/>
        <v>6</v>
      </c>
      <c r="O1289" s="168">
        <f t="shared" ref="O1289:O1290" si="365">M1289/31</f>
        <v>0.12903225806451613</v>
      </c>
      <c r="P1289" s="157">
        <f t="shared" ref="P1289:P1290" si="366">N1289/31</f>
        <v>0.19354838709677419</v>
      </c>
    </row>
    <row r="1290" spans="1:16" ht="13.5" customHeight="1">
      <c r="A1290" s="474"/>
      <c r="B1290" s="127">
        <v>8</v>
      </c>
      <c r="C1290" s="158">
        <v>4</v>
      </c>
      <c r="D1290" s="158">
        <v>15</v>
      </c>
      <c r="E1290" s="158">
        <v>0</v>
      </c>
      <c r="F1290" s="158">
        <v>0</v>
      </c>
      <c r="G1290" s="158">
        <v>4</v>
      </c>
      <c r="H1290" s="158">
        <v>12</v>
      </c>
      <c r="I1290" s="158">
        <v>0</v>
      </c>
      <c r="J1290" s="158">
        <v>2</v>
      </c>
      <c r="K1290" s="158">
        <v>0</v>
      </c>
      <c r="L1290" s="159">
        <v>0</v>
      </c>
      <c r="M1290" s="177">
        <f t="shared" si="357"/>
        <v>8</v>
      </c>
      <c r="N1290" s="158">
        <f t="shared" si="358"/>
        <v>29</v>
      </c>
      <c r="O1290" s="168">
        <f t="shared" si="365"/>
        <v>0.25806451612903225</v>
      </c>
      <c r="P1290" s="157">
        <f t="shared" si="366"/>
        <v>0.93548387096774188</v>
      </c>
    </row>
    <row r="1291" spans="1:16" ht="13.5" customHeight="1">
      <c r="A1291" s="474"/>
      <c r="B1291" s="127">
        <v>9</v>
      </c>
      <c r="C1291" s="147">
        <v>0</v>
      </c>
      <c r="D1291" s="147">
        <v>0</v>
      </c>
      <c r="E1291" s="147">
        <v>0</v>
      </c>
      <c r="F1291" s="147">
        <v>0</v>
      </c>
      <c r="G1291" s="147">
        <v>0</v>
      </c>
      <c r="H1291" s="147">
        <v>0</v>
      </c>
      <c r="I1291" s="147">
        <v>2</v>
      </c>
      <c r="J1291" s="147">
        <v>2</v>
      </c>
      <c r="K1291" s="147">
        <v>0</v>
      </c>
      <c r="L1291" s="148">
        <v>0</v>
      </c>
      <c r="M1291" s="177">
        <v>2</v>
      </c>
      <c r="N1291" s="158">
        <v>2</v>
      </c>
      <c r="O1291" s="168">
        <v>6.4516129032258063E-2</v>
      </c>
      <c r="P1291" s="157">
        <v>6.4516129032258063E-2</v>
      </c>
    </row>
    <row r="1292" spans="1:16">
      <c r="A1292" s="474"/>
      <c r="B1292" s="127">
        <v>10</v>
      </c>
      <c r="C1292" s="147">
        <v>9</v>
      </c>
      <c r="D1292" s="147">
        <v>10</v>
      </c>
      <c r="E1292" s="147">
        <v>0</v>
      </c>
      <c r="F1292" s="181">
        <v>0</v>
      </c>
      <c r="G1292" s="147">
        <v>0</v>
      </c>
      <c r="H1292" s="147">
        <v>0</v>
      </c>
      <c r="I1292" s="147">
        <v>3</v>
      </c>
      <c r="J1292" s="147">
        <v>12</v>
      </c>
      <c r="K1292" s="147">
        <v>0</v>
      </c>
      <c r="L1292" s="148">
        <v>0</v>
      </c>
      <c r="M1292" s="154">
        <f t="shared" ref="M1292:M1294" si="367">+C1292+E1292+G1292+I1292+K1292</f>
        <v>12</v>
      </c>
      <c r="N1292" s="155">
        <f t="shared" ref="N1292:N1294" si="368">+D1292+F1292+H1292+J1292+L1292</f>
        <v>22</v>
      </c>
      <c r="O1292" s="168">
        <f t="shared" ref="O1292:O1294" si="369">M1292/31</f>
        <v>0.38709677419354838</v>
      </c>
      <c r="P1292" s="157">
        <f t="shared" ref="P1292:P1294" si="370">N1292/31</f>
        <v>0.70967741935483875</v>
      </c>
    </row>
    <row r="1293" spans="1:16" ht="13.5" customHeight="1">
      <c r="A1293" s="474"/>
      <c r="B1293" s="127">
        <v>11</v>
      </c>
      <c r="C1293" s="367">
        <v>5</v>
      </c>
      <c r="D1293" s="367">
        <v>27</v>
      </c>
      <c r="E1293" s="367">
        <v>0</v>
      </c>
      <c r="F1293" s="367">
        <v>0</v>
      </c>
      <c r="G1293" s="367">
        <v>1</v>
      </c>
      <c r="H1293" s="367">
        <v>2</v>
      </c>
      <c r="I1293" s="367">
        <v>0</v>
      </c>
      <c r="J1293" s="367">
        <v>4</v>
      </c>
      <c r="K1293" s="367">
        <v>0</v>
      </c>
      <c r="L1293" s="368">
        <v>0</v>
      </c>
      <c r="M1293" s="154">
        <f t="shared" si="367"/>
        <v>6</v>
      </c>
      <c r="N1293" s="155">
        <f t="shared" si="368"/>
        <v>33</v>
      </c>
      <c r="O1293" s="168">
        <f t="shared" si="369"/>
        <v>0.19354838709677419</v>
      </c>
      <c r="P1293" s="157">
        <f t="shared" si="370"/>
        <v>1.064516129032258</v>
      </c>
    </row>
    <row r="1294" spans="1:16" ht="13.5" customHeight="1" thickBot="1">
      <c r="A1294" s="475"/>
      <c r="B1294" s="127">
        <v>12</v>
      </c>
      <c r="C1294" s="187">
        <v>0</v>
      </c>
      <c r="D1294" s="187">
        <v>0</v>
      </c>
      <c r="E1294" s="187">
        <v>0</v>
      </c>
      <c r="F1294" s="188">
        <v>0</v>
      </c>
      <c r="G1294" s="187">
        <v>2</v>
      </c>
      <c r="H1294" s="187">
        <v>0</v>
      </c>
      <c r="I1294" s="187">
        <v>3</v>
      </c>
      <c r="J1294" s="187">
        <v>8</v>
      </c>
      <c r="K1294" s="187">
        <v>0</v>
      </c>
      <c r="L1294" s="189">
        <v>0</v>
      </c>
      <c r="M1294" s="154">
        <f t="shared" si="367"/>
        <v>5</v>
      </c>
      <c r="N1294" s="155">
        <f t="shared" si="368"/>
        <v>8</v>
      </c>
      <c r="O1294" s="168">
        <f t="shared" si="369"/>
        <v>0.16129032258064516</v>
      </c>
      <c r="P1294" s="157">
        <f t="shared" si="370"/>
        <v>0.25806451612903225</v>
      </c>
    </row>
    <row r="1295" spans="1:16" ht="13.5" customHeight="1">
      <c r="A1295" s="473">
        <v>2020</v>
      </c>
      <c r="B1295" s="410">
        <v>1</v>
      </c>
      <c r="C1295" s="158">
        <v>4</v>
      </c>
      <c r="D1295" s="158">
        <v>3</v>
      </c>
      <c r="E1295" s="158">
        <v>0</v>
      </c>
      <c r="F1295" s="169">
        <v>0</v>
      </c>
      <c r="G1295" s="158">
        <v>2</v>
      </c>
      <c r="H1295" s="158">
        <v>10</v>
      </c>
      <c r="I1295" s="158">
        <v>2</v>
      </c>
      <c r="J1295" s="158">
        <v>0</v>
      </c>
      <c r="K1295" s="158">
        <v>0</v>
      </c>
      <c r="L1295" s="159">
        <v>0</v>
      </c>
      <c r="M1295" s="424">
        <f t="shared" ref="M1295:M1306" si="371">+C1295+E1295+G1295+I1295+K1295</f>
        <v>8</v>
      </c>
      <c r="N1295" s="425">
        <f t="shared" ref="N1295:N1306" si="372">+D1295+F1295+H1295+J1295+L1295</f>
        <v>13</v>
      </c>
      <c r="O1295" s="430">
        <f t="shared" si="362"/>
        <v>0.25806451612903225</v>
      </c>
      <c r="P1295" s="427">
        <f t="shared" si="362"/>
        <v>0.41935483870967744</v>
      </c>
    </row>
    <row r="1296" spans="1:16" ht="13.5" customHeight="1">
      <c r="A1296" s="474"/>
      <c r="B1296" s="127">
        <v>2</v>
      </c>
      <c r="C1296" s="158">
        <v>0</v>
      </c>
      <c r="D1296" s="158">
        <v>1</v>
      </c>
      <c r="E1296" s="158">
        <v>0</v>
      </c>
      <c r="F1296" s="169">
        <v>0</v>
      </c>
      <c r="G1296" s="158">
        <v>2</v>
      </c>
      <c r="H1296" s="158">
        <v>6</v>
      </c>
      <c r="I1296" s="158">
        <v>0</v>
      </c>
      <c r="J1296" s="158">
        <v>2</v>
      </c>
      <c r="K1296" s="158">
        <v>0</v>
      </c>
      <c r="L1296" s="159">
        <v>0</v>
      </c>
      <c r="M1296" s="154">
        <f t="shared" si="371"/>
        <v>2</v>
      </c>
      <c r="N1296" s="155">
        <f t="shared" si="372"/>
        <v>9</v>
      </c>
      <c r="O1296" s="168">
        <f t="shared" si="362"/>
        <v>6.4516129032258063E-2</v>
      </c>
      <c r="P1296" s="157">
        <f t="shared" si="362"/>
        <v>0.29032258064516131</v>
      </c>
    </row>
    <row r="1297" spans="1:16" ht="13.5" customHeight="1">
      <c r="A1297" s="474"/>
      <c r="B1297" s="127">
        <v>3</v>
      </c>
      <c r="C1297" s="158">
        <v>1</v>
      </c>
      <c r="D1297" s="158">
        <v>1</v>
      </c>
      <c r="E1297" s="158">
        <v>0</v>
      </c>
      <c r="F1297" s="169">
        <v>0</v>
      </c>
      <c r="G1297" s="158">
        <v>0</v>
      </c>
      <c r="H1297" s="158">
        <v>0</v>
      </c>
      <c r="I1297" s="158">
        <v>0</v>
      </c>
      <c r="J1297" s="158">
        <v>0</v>
      </c>
      <c r="K1297" s="158">
        <v>0</v>
      </c>
      <c r="L1297" s="159">
        <v>0</v>
      </c>
      <c r="M1297" s="154">
        <f t="shared" si="371"/>
        <v>1</v>
      </c>
      <c r="N1297" s="155">
        <f t="shared" si="372"/>
        <v>1</v>
      </c>
      <c r="O1297" s="168">
        <f t="shared" si="362"/>
        <v>3.2258064516129031E-2</v>
      </c>
      <c r="P1297" s="157">
        <f t="shared" si="362"/>
        <v>3.2258064516129031E-2</v>
      </c>
    </row>
    <row r="1298" spans="1:16" ht="13.5" customHeight="1">
      <c r="A1298" s="474"/>
      <c r="B1298" s="127">
        <v>4</v>
      </c>
      <c r="C1298" s="158">
        <v>0</v>
      </c>
      <c r="D1298" s="158">
        <v>0</v>
      </c>
      <c r="E1298" s="158">
        <v>0</v>
      </c>
      <c r="F1298" s="169">
        <v>0</v>
      </c>
      <c r="G1298" s="158">
        <v>0</v>
      </c>
      <c r="H1298" s="158">
        <v>0</v>
      </c>
      <c r="I1298" s="158">
        <v>0</v>
      </c>
      <c r="J1298" s="158">
        <v>0</v>
      </c>
      <c r="K1298" s="158">
        <v>0</v>
      </c>
      <c r="L1298" s="159">
        <v>0</v>
      </c>
      <c r="M1298" s="154">
        <f t="shared" si="371"/>
        <v>0</v>
      </c>
      <c r="N1298" s="155">
        <f t="shared" si="372"/>
        <v>0</v>
      </c>
      <c r="O1298" s="168">
        <f t="shared" si="362"/>
        <v>0</v>
      </c>
      <c r="P1298" s="157">
        <f t="shared" si="362"/>
        <v>0</v>
      </c>
    </row>
    <row r="1299" spans="1:16" ht="13.5" customHeight="1">
      <c r="A1299" s="474"/>
      <c r="B1299" s="127">
        <v>5</v>
      </c>
      <c r="C1299" s="158">
        <v>0</v>
      </c>
      <c r="D1299" s="158">
        <v>0</v>
      </c>
      <c r="E1299" s="158">
        <v>0</v>
      </c>
      <c r="F1299" s="460">
        <v>0</v>
      </c>
      <c r="G1299" s="158">
        <v>0</v>
      </c>
      <c r="H1299" s="158">
        <v>0</v>
      </c>
      <c r="I1299" s="158">
        <v>0</v>
      </c>
      <c r="J1299" s="158">
        <v>0</v>
      </c>
      <c r="K1299" s="158">
        <v>0</v>
      </c>
      <c r="L1299" s="159">
        <v>0</v>
      </c>
      <c r="M1299" s="154">
        <f t="shared" si="371"/>
        <v>0</v>
      </c>
      <c r="N1299" s="155">
        <f t="shared" si="372"/>
        <v>0</v>
      </c>
      <c r="O1299" s="168">
        <f t="shared" si="362"/>
        <v>0</v>
      </c>
      <c r="P1299" s="157">
        <f t="shared" si="362"/>
        <v>0</v>
      </c>
    </row>
    <row r="1300" spans="1:16" ht="13.5" customHeight="1">
      <c r="A1300" s="474"/>
      <c r="B1300" s="127">
        <v>6</v>
      </c>
      <c r="C1300" s="158">
        <f>集計用!C53</f>
        <v>0</v>
      </c>
      <c r="D1300" s="158">
        <f>集計用!S53</f>
        <v>0</v>
      </c>
      <c r="E1300" s="158">
        <f>集計用!E53</f>
        <v>0</v>
      </c>
      <c r="F1300" s="169">
        <f>集計用!U53</f>
        <v>0</v>
      </c>
      <c r="G1300" s="158">
        <f>集計用!G53</f>
        <v>0</v>
      </c>
      <c r="H1300" s="158">
        <f>集計用!W53</f>
        <v>0</v>
      </c>
      <c r="I1300" s="158">
        <f>集計用!I53</f>
        <v>0</v>
      </c>
      <c r="J1300" s="158">
        <f>集計用!Y53</f>
        <v>0</v>
      </c>
      <c r="K1300" s="158">
        <f>集計用!K53</f>
        <v>0</v>
      </c>
      <c r="L1300" s="159">
        <f>集計用!AA53</f>
        <v>0</v>
      </c>
      <c r="M1300" s="154">
        <f t="shared" si="371"/>
        <v>0</v>
      </c>
      <c r="N1300" s="155">
        <f t="shared" si="372"/>
        <v>0</v>
      </c>
      <c r="O1300" s="168">
        <f>M1300/30</f>
        <v>0</v>
      </c>
      <c r="P1300" s="157">
        <f>N1300/30</f>
        <v>0</v>
      </c>
    </row>
    <row r="1301" spans="1:16" ht="13.5" customHeight="1">
      <c r="A1301" s="474"/>
      <c r="B1301" s="127">
        <v>7</v>
      </c>
      <c r="C1301" s="158"/>
      <c r="D1301" s="158"/>
      <c r="E1301" s="158"/>
      <c r="F1301" s="158"/>
      <c r="G1301" s="158"/>
      <c r="H1301" s="158"/>
      <c r="I1301" s="158"/>
      <c r="J1301" s="158"/>
      <c r="K1301" s="158"/>
      <c r="L1301" s="158"/>
      <c r="M1301" s="154">
        <f t="shared" si="371"/>
        <v>0</v>
      </c>
      <c r="N1301" s="155">
        <f t="shared" si="372"/>
        <v>0</v>
      </c>
      <c r="O1301" s="168">
        <f t="shared" ref="O1301:O1306" si="373">M1301/31</f>
        <v>0</v>
      </c>
      <c r="P1301" s="157">
        <f t="shared" ref="P1301:P1306" si="374">N1301/31</f>
        <v>0</v>
      </c>
    </row>
    <row r="1302" spans="1:16" ht="13.5" customHeight="1">
      <c r="A1302" s="474"/>
      <c r="B1302" s="127">
        <v>8</v>
      </c>
      <c r="C1302" s="158"/>
      <c r="D1302" s="158"/>
      <c r="E1302" s="158"/>
      <c r="F1302" s="158"/>
      <c r="G1302" s="158"/>
      <c r="H1302" s="158"/>
      <c r="I1302" s="158"/>
      <c r="J1302" s="158"/>
      <c r="K1302" s="158"/>
      <c r="L1302" s="159"/>
      <c r="M1302" s="177">
        <f t="shared" si="371"/>
        <v>0</v>
      </c>
      <c r="N1302" s="158">
        <f t="shared" si="372"/>
        <v>0</v>
      </c>
      <c r="O1302" s="168">
        <f t="shared" si="373"/>
        <v>0</v>
      </c>
      <c r="P1302" s="157">
        <f t="shared" si="374"/>
        <v>0</v>
      </c>
    </row>
    <row r="1303" spans="1:16" ht="13.5" customHeight="1">
      <c r="A1303" s="474"/>
      <c r="B1303" s="127">
        <v>9</v>
      </c>
      <c r="C1303" s="147"/>
      <c r="D1303" s="147"/>
      <c r="E1303" s="147"/>
      <c r="F1303" s="147"/>
      <c r="G1303" s="147"/>
      <c r="H1303" s="147"/>
      <c r="I1303" s="147"/>
      <c r="J1303" s="147"/>
      <c r="K1303" s="147"/>
      <c r="L1303" s="148"/>
      <c r="M1303" s="177">
        <f t="shared" ref="M1303" si="375">+C1303+E1303+G1303+I1303+K1303</f>
        <v>0</v>
      </c>
      <c r="N1303" s="158">
        <f t="shared" ref="N1303" si="376">+D1303+F1303+H1303+J1303+L1303</f>
        <v>0</v>
      </c>
      <c r="O1303" s="168">
        <f>M1303/30</f>
        <v>0</v>
      </c>
      <c r="P1303" s="157">
        <f>N1303/30</f>
        <v>0</v>
      </c>
    </row>
    <row r="1304" spans="1:16">
      <c r="A1304" s="474"/>
      <c r="B1304" s="127">
        <v>10</v>
      </c>
      <c r="C1304" s="147"/>
      <c r="D1304" s="147"/>
      <c r="E1304" s="147"/>
      <c r="F1304" s="181"/>
      <c r="G1304" s="147"/>
      <c r="H1304" s="147"/>
      <c r="I1304" s="147"/>
      <c r="J1304" s="147"/>
      <c r="K1304" s="147"/>
      <c r="L1304" s="148"/>
      <c r="M1304" s="154">
        <f t="shared" ref="M1304" si="377">+C1304+E1304+G1304+I1304+K1304</f>
        <v>0</v>
      </c>
      <c r="N1304" s="155">
        <f t="shared" ref="N1304" si="378">+D1304+F1304+H1304+J1304+L1304</f>
        <v>0</v>
      </c>
      <c r="O1304" s="168">
        <f t="shared" ref="O1304" si="379">M1304/31</f>
        <v>0</v>
      </c>
      <c r="P1304" s="157">
        <f t="shared" ref="P1304" si="380">N1304/31</f>
        <v>0</v>
      </c>
    </row>
    <row r="1305" spans="1:16" ht="13.5" customHeight="1">
      <c r="A1305" s="474"/>
      <c r="B1305" s="127">
        <v>11</v>
      </c>
      <c r="C1305" s="367"/>
      <c r="D1305" s="367"/>
      <c r="E1305" s="367"/>
      <c r="F1305" s="367"/>
      <c r="G1305" s="367"/>
      <c r="H1305" s="367"/>
      <c r="I1305" s="367"/>
      <c r="J1305" s="367"/>
      <c r="K1305" s="367"/>
      <c r="L1305" s="368"/>
      <c r="M1305" s="154">
        <f t="shared" si="371"/>
        <v>0</v>
      </c>
      <c r="N1305" s="155">
        <f t="shared" si="372"/>
        <v>0</v>
      </c>
      <c r="O1305" s="168">
        <f t="shared" si="373"/>
        <v>0</v>
      </c>
      <c r="P1305" s="157">
        <f t="shared" si="374"/>
        <v>0</v>
      </c>
    </row>
    <row r="1306" spans="1:16" ht="13.5" customHeight="1" thickBot="1">
      <c r="A1306" s="475"/>
      <c r="B1306" s="127">
        <v>12</v>
      </c>
      <c r="C1306" s="187"/>
      <c r="D1306" s="187"/>
      <c r="E1306" s="187"/>
      <c r="F1306" s="188"/>
      <c r="G1306" s="187"/>
      <c r="H1306" s="187"/>
      <c r="I1306" s="187"/>
      <c r="J1306" s="187"/>
      <c r="K1306" s="187"/>
      <c r="L1306" s="189"/>
      <c r="M1306" s="154">
        <f t="shared" si="371"/>
        <v>0</v>
      </c>
      <c r="N1306" s="155">
        <f t="shared" si="372"/>
        <v>0</v>
      </c>
      <c r="O1306" s="168">
        <f t="shared" si="373"/>
        <v>0</v>
      </c>
      <c r="P1306" s="157">
        <f t="shared" si="374"/>
        <v>0</v>
      </c>
    </row>
    <row r="1307" spans="1:16" ht="18.75" customHeight="1" thickBot="1">
      <c r="A1307" s="180"/>
      <c r="B1307" s="160" t="s">
        <v>5</v>
      </c>
      <c r="C1307" s="161">
        <f>SUM(C1259:C1306)</f>
        <v>61</v>
      </c>
      <c r="D1307" s="161">
        <f t="shared" ref="D1307:K1307" si="381">SUM(D1259:D1306)</f>
        <v>123</v>
      </c>
      <c r="E1307" s="161">
        <f t="shared" si="381"/>
        <v>5</v>
      </c>
      <c r="F1307" s="161">
        <f t="shared" si="381"/>
        <v>15</v>
      </c>
      <c r="G1307" s="161">
        <f t="shared" si="381"/>
        <v>33</v>
      </c>
      <c r="H1307" s="161">
        <f t="shared" si="381"/>
        <v>83</v>
      </c>
      <c r="I1307" s="161">
        <f t="shared" si="381"/>
        <v>16</v>
      </c>
      <c r="J1307" s="161">
        <f t="shared" si="381"/>
        <v>43</v>
      </c>
      <c r="K1307" s="161">
        <f t="shared" si="381"/>
        <v>0</v>
      </c>
      <c r="L1307" s="161">
        <f>SUM(L1259:L1306)</f>
        <v>0</v>
      </c>
      <c r="M1307" s="162">
        <f>SUM(M1259:M1306)</f>
        <v>115</v>
      </c>
      <c r="N1307" s="161">
        <f>SUM(N1259:N1306)</f>
        <v>264</v>
      </c>
      <c r="O1307" s="161">
        <f>SUM(O1259:O1306)</f>
        <v>3.7204301075268811</v>
      </c>
      <c r="P1307" s="161">
        <f>SUM(P1259:P1306)</f>
        <v>8.5333333333333332</v>
      </c>
    </row>
    <row r="1309" spans="1:16" ht="11.25" customHeight="1">
      <c r="B1309" s="467" t="s">
        <v>85</v>
      </c>
      <c r="C1309" s="469" t="s">
        <v>29</v>
      </c>
      <c r="D1309" s="470"/>
      <c r="E1309" s="469" t="s">
        <v>30</v>
      </c>
      <c r="F1309" s="470"/>
      <c r="G1309" s="469" t="s">
        <v>31</v>
      </c>
      <c r="H1309" s="470"/>
      <c r="I1309" s="469" t="s">
        <v>58</v>
      </c>
      <c r="J1309" s="470"/>
      <c r="K1309" s="469" t="s">
        <v>57</v>
      </c>
      <c r="L1309" s="471"/>
      <c r="M1309" s="470" t="s">
        <v>5</v>
      </c>
      <c r="N1309" s="472"/>
      <c r="O1309" s="472" t="s">
        <v>33</v>
      </c>
      <c r="P1309" s="472"/>
    </row>
    <row r="1310" spans="1:16" ht="11.25" customHeight="1" thickBot="1">
      <c r="B1310" s="468"/>
      <c r="C1310" s="13" t="s">
        <v>34</v>
      </c>
      <c r="D1310" s="13" t="s">
        <v>35</v>
      </c>
      <c r="E1310" s="13" t="s">
        <v>34</v>
      </c>
      <c r="F1310" s="13" t="s">
        <v>35</v>
      </c>
      <c r="G1310" s="13" t="s">
        <v>34</v>
      </c>
      <c r="H1310" s="13" t="s">
        <v>35</v>
      </c>
      <c r="I1310" s="13" t="s">
        <v>59</v>
      </c>
      <c r="J1310" s="13" t="s">
        <v>60</v>
      </c>
      <c r="K1310" s="13" t="s">
        <v>34</v>
      </c>
      <c r="L1310" s="14" t="s">
        <v>35</v>
      </c>
      <c r="M1310" s="15" t="s">
        <v>34</v>
      </c>
      <c r="N1310" s="13" t="s">
        <v>35</v>
      </c>
      <c r="O1310" s="163" t="s">
        <v>34</v>
      </c>
      <c r="P1310" s="163" t="s">
        <v>35</v>
      </c>
    </row>
    <row r="1311" spans="1:16" ht="13.5" customHeight="1">
      <c r="A1311" s="473">
        <v>2017</v>
      </c>
      <c r="B1311" s="410">
        <v>1</v>
      </c>
      <c r="C1311" s="422"/>
      <c r="D1311" s="422"/>
      <c r="E1311" s="422"/>
      <c r="F1311" s="422"/>
      <c r="G1311" s="422"/>
      <c r="H1311" s="422"/>
      <c r="I1311" s="422"/>
      <c r="J1311" s="422"/>
      <c r="K1311" s="422"/>
      <c r="L1311" s="432"/>
      <c r="M1311" s="424">
        <f t="shared" ref="M1311:M1342" si="382">+C1311+E1311+G1311+I1311+K1311</f>
        <v>0</v>
      </c>
      <c r="N1311" s="425">
        <f t="shared" ref="N1311:N1342" si="383">+D1311+F1311+H1311+J1311+L1311</f>
        <v>0</v>
      </c>
      <c r="O1311" s="430">
        <f t="shared" ref="O1311:P1315" si="384">M1311/31</f>
        <v>0</v>
      </c>
      <c r="P1311" s="427">
        <f t="shared" si="384"/>
        <v>0</v>
      </c>
    </row>
    <row r="1312" spans="1:16" ht="13.5" customHeight="1">
      <c r="A1312" s="474"/>
      <c r="B1312" s="127">
        <v>2</v>
      </c>
      <c r="C1312" s="147"/>
      <c r="D1312" s="147"/>
      <c r="E1312" s="147"/>
      <c r="F1312" s="147"/>
      <c r="G1312" s="147"/>
      <c r="H1312" s="147"/>
      <c r="I1312" s="147"/>
      <c r="J1312" s="147"/>
      <c r="K1312" s="147"/>
      <c r="L1312" s="174"/>
      <c r="M1312" s="149">
        <f t="shared" si="382"/>
        <v>0</v>
      </c>
      <c r="N1312" s="150">
        <f t="shared" si="383"/>
        <v>0</v>
      </c>
      <c r="O1312" s="167">
        <f t="shared" si="384"/>
        <v>0</v>
      </c>
      <c r="P1312" s="152">
        <f t="shared" si="384"/>
        <v>0</v>
      </c>
    </row>
    <row r="1313" spans="1:16" ht="13.5" customHeight="1">
      <c r="A1313" s="474"/>
      <c r="B1313" s="127">
        <v>3</v>
      </c>
      <c r="C1313" s="147"/>
      <c r="D1313" s="147"/>
      <c r="E1313" s="147"/>
      <c r="F1313" s="147"/>
      <c r="G1313" s="147"/>
      <c r="H1313" s="147"/>
      <c r="I1313" s="147"/>
      <c r="J1313" s="147"/>
      <c r="K1313" s="147"/>
      <c r="L1313" s="174"/>
      <c r="M1313" s="149">
        <f t="shared" si="382"/>
        <v>0</v>
      </c>
      <c r="N1313" s="150">
        <f t="shared" si="383"/>
        <v>0</v>
      </c>
      <c r="O1313" s="167">
        <f t="shared" si="384"/>
        <v>0</v>
      </c>
      <c r="P1313" s="152">
        <f t="shared" si="384"/>
        <v>0</v>
      </c>
    </row>
    <row r="1314" spans="1:16" ht="13.5" customHeight="1">
      <c r="A1314" s="474"/>
      <c r="B1314" s="127">
        <v>4</v>
      </c>
      <c r="C1314" s="158"/>
      <c r="D1314" s="158"/>
      <c r="E1314" s="158"/>
      <c r="F1314" s="158"/>
      <c r="G1314" s="158"/>
      <c r="H1314" s="158"/>
      <c r="I1314" s="158"/>
      <c r="J1314" s="158"/>
      <c r="K1314" s="158"/>
      <c r="L1314" s="159"/>
      <c r="M1314" s="154">
        <f t="shared" si="382"/>
        <v>0</v>
      </c>
      <c r="N1314" s="155">
        <f t="shared" si="383"/>
        <v>0</v>
      </c>
      <c r="O1314" s="168">
        <f t="shared" si="384"/>
        <v>0</v>
      </c>
      <c r="P1314" s="157">
        <f t="shared" si="384"/>
        <v>0</v>
      </c>
    </row>
    <row r="1315" spans="1:16" ht="13.5" customHeight="1">
      <c r="A1315" s="474"/>
      <c r="B1315" s="127">
        <v>5</v>
      </c>
      <c r="C1315" s="158"/>
      <c r="D1315" s="158"/>
      <c r="E1315" s="158"/>
      <c r="F1315" s="158"/>
      <c r="G1315" s="158"/>
      <c r="H1315" s="158"/>
      <c r="I1315" s="158"/>
      <c r="J1315" s="158"/>
      <c r="K1315" s="158"/>
      <c r="L1315" s="159"/>
      <c r="M1315" s="154">
        <f t="shared" si="382"/>
        <v>0</v>
      </c>
      <c r="N1315" s="155">
        <f t="shared" si="383"/>
        <v>0</v>
      </c>
      <c r="O1315" s="168">
        <f t="shared" si="384"/>
        <v>0</v>
      </c>
      <c r="P1315" s="157">
        <f t="shared" si="384"/>
        <v>0</v>
      </c>
    </row>
    <row r="1316" spans="1:16" ht="13.5" customHeight="1">
      <c r="A1316" s="474"/>
      <c r="B1316" s="127">
        <v>6</v>
      </c>
      <c r="C1316" s="158"/>
      <c r="D1316" s="158"/>
      <c r="E1316" s="158"/>
      <c r="F1316" s="158"/>
      <c r="G1316" s="158"/>
      <c r="H1316" s="158"/>
      <c r="I1316" s="158"/>
      <c r="J1316" s="158"/>
      <c r="K1316" s="158"/>
      <c r="L1316" s="158"/>
      <c r="M1316" s="154">
        <f t="shared" si="382"/>
        <v>0</v>
      </c>
      <c r="N1316" s="155">
        <f t="shared" si="383"/>
        <v>0</v>
      </c>
      <c r="O1316" s="168">
        <f>M1316/30</f>
        <v>0</v>
      </c>
      <c r="P1316" s="157">
        <f>N1316/30</f>
        <v>0</v>
      </c>
    </row>
    <row r="1317" spans="1:16" ht="13.5" customHeight="1">
      <c r="A1317" s="474"/>
      <c r="B1317" s="127">
        <v>7</v>
      </c>
      <c r="C1317" s="158">
        <v>1</v>
      </c>
      <c r="D1317" s="158">
        <v>1</v>
      </c>
      <c r="E1317" s="158">
        <v>0</v>
      </c>
      <c r="F1317" s="158">
        <v>0</v>
      </c>
      <c r="G1317" s="158">
        <v>0</v>
      </c>
      <c r="H1317" s="158">
        <v>0</v>
      </c>
      <c r="I1317" s="158">
        <v>0</v>
      </c>
      <c r="J1317" s="158">
        <v>0</v>
      </c>
      <c r="K1317" s="158">
        <v>0</v>
      </c>
      <c r="L1317" s="158">
        <v>0</v>
      </c>
      <c r="M1317" s="154">
        <f t="shared" si="382"/>
        <v>1</v>
      </c>
      <c r="N1317" s="155">
        <f t="shared" si="383"/>
        <v>1</v>
      </c>
      <c r="O1317" s="168">
        <f t="shared" ref="O1317:O1327" si="385">M1317/31</f>
        <v>3.2258064516129031E-2</v>
      </c>
      <c r="P1317" s="157">
        <f t="shared" ref="P1317:P1327" si="386">N1317/31</f>
        <v>3.2258064516129031E-2</v>
      </c>
    </row>
    <row r="1318" spans="1:16" ht="13.5" customHeight="1">
      <c r="A1318" s="474"/>
      <c r="B1318" s="127">
        <v>8</v>
      </c>
      <c r="C1318" s="158">
        <v>0</v>
      </c>
      <c r="D1318" s="158">
        <v>0</v>
      </c>
      <c r="E1318" s="158">
        <v>0</v>
      </c>
      <c r="F1318" s="158">
        <v>0</v>
      </c>
      <c r="G1318" s="158">
        <v>1</v>
      </c>
      <c r="H1318" s="158">
        <v>1</v>
      </c>
      <c r="I1318" s="158">
        <v>0</v>
      </c>
      <c r="J1318" s="158">
        <v>0</v>
      </c>
      <c r="K1318" s="158">
        <v>0</v>
      </c>
      <c r="L1318" s="159">
        <v>0</v>
      </c>
      <c r="M1318" s="177">
        <f t="shared" si="382"/>
        <v>1</v>
      </c>
      <c r="N1318" s="158">
        <f t="shared" si="383"/>
        <v>1</v>
      </c>
      <c r="O1318" s="168">
        <f t="shared" si="385"/>
        <v>3.2258064516129031E-2</v>
      </c>
      <c r="P1318" s="157">
        <f t="shared" si="386"/>
        <v>3.2258064516129031E-2</v>
      </c>
    </row>
    <row r="1319" spans="1:16" ht="13.5" customHeight="1">
      <c r="A1319" s="474"/>
      <c r="B1319" s="127">
        <v>9</v>
      </c>
      <c r="C1319" s="147">
        <v>0</v>
      </c>
      <c r="D1319" s="147">
        <v>0</v>
      </c>
      <c r="E1319" s="147">
        <v>0</v>
      </c>
      <c r="F1319" s="147">
        <v>0</v>
      </c>
      <c r="G1319" s="147">
        <v>1</v>
      </c>
      <c r="H1319" s="147">
        <v>0</v>
      </c>
      <c r="I1319" s="147">
        <v>0</v>
      </c>
      <c r="J1319" s="147">
        <v>0</v>
      </c>
      <c r="K1319" s="147">
        <v>0</v>
      </c>
      <c r="L1319" s="148">
        <v>0</v>
      </c>
      <c r="M1319" s="177">
        <f t="shared" si="382"/>
        <v>1</v>
      </c>
      <c r="N1319" s="158">
        <f t="shared" si="383"/>
        <v>0</v>
      </c>
      <c r="O1319" s="168">
        <f t="shared" si="385"/>
        <v>3.2258064516129031E-2</v>
      </c>
      <c r="P1319" s="157">
        <f t="shared" si="386"/>
        <v>0</v>
      </c>
    </row>
    <row r="1320" spans="1:16" ht="13.5" customHeight="1">
      <c r="A1320" s="474"/>
      <c r="B1320" s="127">
        <v>10</v>
      </c>
      <c r="C1320" s="147">
        <v>0</v>
      </c>
      <c r="D1320" s="147">
        <v>0</v>
      </c>
      <c r="E1320" s="147">
        <v>0</v>
      </c>
      <c r="F1320" s="181">
        <v>0</v>
      </c>
      <c r="G1320" s="147">
        <v>0</v>
      </c>
      <c r="H1320" s="147">
        <v>3</v>
      </c>
      <c r="I1320" s="147">
        <v>0</v>
      </c>
      <c r="J1320" s="147">
        <v>0</v>
      </c>
      <c r="K1320" s="147">
        <v>0</v>
      </c>
      <c r="L1320" s="148">
        <v>0</v>
      </c>
      <c r="M1320" s="154">
        <f t="shared" si="382"/>
        <v>0</v>
      </c>
      <c r="N1320" s="155">
        <f t="shared" si="383"/>
        <v>3</v>
      </c>
      <c r="O1320" s="168">
        <f t="shared" si="385"/>
        <v>0</v>
      </c>
      <c r="P1320" s="157">
        <f t="shared" si="386"/>
        <v>9.6774193548387094E-2</v>
      </c>
    </row>
    <row r="1321" spans="1:16" ht="13.5" customHeight="1">
      <c r="A1321" s="474"/>
      <c r="B1321" s="127">
        <v>11</v>
      </c>
      <c r="C1321" s="367">
        <v>9</v>
      </c>
      <c r="D1321" s="367">
        <v>6</v>
      </c>
      <c r="E1321" s="367">
        <v>0</v>
      </c>
      <c r="F1321" s="367">
        <v>0</v>
      </c>
      <c r="G1321" s="367">
        <v>0</v>
      </c>
      <c r="H1321" s="367">
        <v>0</v>
      </c>
      <c r="I1321" s="367">
        <v>0</v>
      </c>
      <c r="J1321" s="367">
        <v>0</v>
      </c>
      <c r="K1321" s="367">
        <v>0</v>
      </c>
      <c r="L1321" s="368">
        <v>0</v>
      </c>
      <c r="M1321" s="154">
        <f t="shared" si="382"/>
        <v>9</v>
      </c>
      <c r="N1321" s="155">
        <f t="shared" si="383"/>
        <v>6</v>
      </c>
      <c r="O1321" s="168">
        <f t="shared" si="385"/>
        <v>0.29032258064516131</v>
      </c>
      <c r="P1321" s="157">
        <f t="shared" si="386"/>
        <v>0.19354838709677419</v>
      </c>
    </row>
    <row r="1322" spans="1:16" ht="13.5" customHeight="1" thickBot="1">
      <c r="A1322" s="475"/>
      <c r="B1322" s="127">
        <v>12</v>
      </c>
      <c r="C1322" s="187">
        <v>15</v>
      </c>
      <c r="D1322" s="187">
        <v>24</v>
      </c>
      <c r="E1322" s="187">
        <v>0</v>
      </c>
      <c r="F1322" s="188">
        <v>0</v>
      </c>
      <c r="G1322" s="187">
        <v>0</v>
      </c>
      <c r="H1322" s="187">
        <v>0</v>
      </c>
      <c r="I1322" s="187">
        <v>0</v>
      </c>
      <c r="J1322" s="187">
        <v>0</v>
      </c>
      <c r="K1322" s="187">
        <v>0</v>
      </c>
      <c r="L1322" s="189">
        <v>0</v>
      </c>
      <c r="M1322" s="154">
        <f t="shared" si="382"/>
        <v>15</v>
      </c>
      <c r="N1322" s="155">
        <f t="shared" si="383"/>
        <v>24</v>
      </c>
      <c r="O1322" s="168">
        <f t="shared" si="385"/>
        <v>0.4838709677419355</v>
      </c>
      <c r="P1322" s="157">
        <f t="shared" si="386"/>
        <v>0.77419354838709675</v>
      </c>
    </row>
    <row r="1323" spans="1:16" ht="13.5" customHeight="1">
      <c r="A1323" s="473">
        <v>2018</v>
      </c>
      <c r="B1323" s="410">
        <v>1</v>
      </c>
      <c r="C1323" s="158">
        <v>15</v>
      </c>
      <c r="D1323" s="158">
        <v>34</v>
      </c>
      <c r="E1323" s="158">
        <v>0</v>
      </c>
      <c r="F1323" s="169">
        <v>0</v>
      </c>
      <c r="G1323" s="158">
        <v>2</v>
      </c>
      <c r="H1323" s="158">
        <v>4</v>
      </c>
      <c r="I1323" s="158">
        <v>0</v>
      </c>
      <c r="J1323" s="158">
        <v>0</v>
      </c>
      <c r="K1323" s="158">
        <v>0</v>
      </c>
      <c r="L1323" s="159">
        <v>0</v>
      </c>
      <c r="M1323" s="424">
        <f t="shared" si="382"/>
        <v>17</v>
      </c>
      <c r="N1323" s="425">
        <f t="shared" si="383"/>
        <v>38</v>
      </c>
      <c r="O1323" s="430">
        <f t="shared" si="385"/>
        <v>0.54838709677419351</v>
      </c>
      <c r="P1323" s="427">
        <f t="shared" si="386"/>
        <v>1.2258064516129032</v>
      </c>
    </row>
    <row r="1324" spans="1:16" ht="13.5" customHeight="1">
      <c r="A1324" s="474"/>
      <c r="B1324" s="127">
        <v>2</v>
      </c>
      <c r="C1324" s="158">
        <v>11</v>
      </c>
      <c r="D1324" s="158">
        <v>18</v>
      </c>
      <c r="E1324" s="158">
        <v>0</v>
      </c>
      <c r="F1324" s="169">
        <v>0</v>
      </c>
      <c r="G1324" s="158">
        <v>1</v>
      </c>
      <c r="H1324" s="158">
        <v>2</v>
      </c>
      <c r="I1324" s="158">
        <v>0</v>
      </c>
      <c r="J1324" s="158">
        <v>0</v>
      </c>
      <c r="K1324" s="158">
        <v>0</v>
      </c>
      <c r="L1324" s="159">
        <v>0</v>
      </c>
      <c r="M1324" s="154">
        <f t="shared" si="382"/>
        <v>12</v>
      </c>
      <c r="N1324" s="155">
        <f t="shared" si="383"/>
        <v>20</v>
      </c>
      <c r="O1324" s="168">
        <f t="shared" si="385"/>
        <v>0.38709677419354838</v>
      </c>
      <c r="P1324" s="157">
        <f t="shared" si="386"/>
        <v>0.64516129032258063</v>
      </c>
    </row>
    <row r="1325" spans="1:16" ht="13.5" customHeight="1">
      <c r="A1325" s="474"/>
      <c r="B1325" s="127">
        <v>3</v>
      </c>
      <c r="C1325" s="158">
        <v>11</v>
      </c>
      <c r="D1325" s="158">
        <v>23</v>
      </c>
      <c r="E1325" s="158">
        <v>2</v>
      </c>
      <c r="F1325" s="169">
        <v>1</v>
      </c>
      <c r="G1325" s="158">
        <v>1</v>
      </c>
      <c r="H1325" s="158">
        <v>0</v>
      </c>
      <c r="I1325" s="158">
        <v>0</v>
      </c>
      <c r="J1325" s="158">
        <v>0</v>
      </c>
      <c r="K1325" s="158">
        <v>0</v>
      </c>
      <c r="L1325" s="159">
        <v>0</v>
      </c>
      <c r="M1325" s="154">
        <f t="shared" si="382"/>
        <v>14</v>
      </c>
      <c r="N1325" s="155">
        <f t="shared" si="383"/>
        <v>24</v>
      </c>
      <c r="O1325" s="168">
        <f t="shared" si="385"/>
        <v>0.45161290322580644</v>
      </c>
      <c r="P1325" s="157">
        <f t="shared" si="386"/>
        <v>0.77419354838709675</v>
      </c>
    </row>
    <row r="1326" spans="1:16" ht="13.5" customHeight="1">
      <c r="A1326" s="474"/>
      <c r="B1326" s="127">
        <v>4</v>
      </c>
      <c r="C1326" s="158">
        <v>9</v>
      </c>
      <c r="D1326" s="158">
        <v>12</v>
      </c>
      <c r="E1326" s="158">
        <v>0</v>
      </c>
      <c r="F1326" s="169">
        <v>1</v>
      </c>
      <c r="G1326" s="158">
        <v>1</v>
      </c>
      <c r="H1326" s="158">
        <v>3</v>
      </c>
      <c r="I1326" s="158">
        <v>0</v>
      </c>
      <c r="J1326" s="158">
        <v>0</v>
      </c>
      <c r="K1326" s="158">
        <v>2</v>
      </c>
      <c r="L1326" s="159">
        <v>2</v>
      </c>
      <c r="M1326" s="154">
        <f t="shared" si="382"/>
        <v>12</v>
      </c>
      <c r="N1326" s="155">
        <f t="shared" si="383"/>
        <v>18</v>
      </c>
      <c r="O1326" s="168">
        <f t="shared" si="385"/>
        <v>0.38709677419354838</v>
      </c>
      <c r="P1326" s="157">
        <f t="shared" si="386"/>
        <v>0.58064516129032262</v>
      </c>
    </row>
    <row r="1327" spans="1:16" ht="13.5" customHeight="1">
      <c r="A1327" s="474"/>
      <c r="B1327" s="127">
        <v>5</v>
      </c>
      <c r="C1327" s="158">
        <v>12</v>
      </c>
      <c r="D1327" s="158">
        <v>20</v>
      </c>
      <c r="E1327" s="158">
        <v>0</v>
      </c>
      <c r="F1327" s="169">
        <v>0</v>
      </c>
      <c r="G1327" s="158">
        <v>0</v>
      </c>
      <c r="H1327" s="158">
        <v>0</v>
      </c>
      <c r="I1327" s="158">
        <v>0</v>
      </c>
      <c r="J1327" s="158">
        <v>0</v>
      </c>
      <c r="K1327" s="158">
        <v>0</v>
      </c>
      <c r="L1327" s="159">
        <v>2</v>
      </c>
      <c r="M1327" s="154">
        <f t="shared" si="382"/>
        <v>12</v>
      </c>
      <c r="N1327" s="155">
        <f t="shared" si="383"/>
        <v>22</v>
      </c>
      <c r="O1327" s="168">
        <f t="shared" si="385"/>
        <v>0.38709677419354838</v>
      </c>
      <c r="P1327" s="157">
        <f t="shared" si="386"/>
        <v>0.70967741935483875</v>
      </c>
    </row>
    <row r="1328" spans="1:16" ht="13.5" customHeight="1">
      <c r="A1328" s="474"/>
      <c r="B1328" s="127">
        <v>6</v>
      </c>
      <c r="C1328" s="158">
        <v>10</v>
      </c>
      <c r="D1328" s="158">
        <v>13</v>
      </c>
      <c r="E1328" s="158">
        <v>0</v>
      </c>
      <c r="F1328" s="169">
        <v>0</v>
      </c>
      <c r="G1328" s="158">
        <v>0</v>
      </c>
      <c r="H1328" s="158">
        <v>0</v>
      </c>
      <c r="I1328" s="158">
        <v>0</v>
      </c>
      <c r="J1328" s="158">
        <v>0</v>
      </c>
      <c r="K1328" s="158">
        <v>0</v>
      </c>
      <c r="L1328" s="159">
        <v>0</v>
      </c>
      <c r="M1328" s="154">
        <f t="shared" si="382"/>
        <v>10</v>
      </c>
      <c r="N1328" s="155">
        <f t="shared" si="383"/>
        <v>13</v>
      </c>
      <c r="O1328" s="168">
        <f>M1328/30</f>
        <v>0.33333333333333331</v>
      </c>
      <c r="P1328" s="157">
        <f>N1328/30</f>
        <v>0.43333333333333335</v>
      </c>
    </row>
    <row r="1329" spans="1:16" ht="13.5" customHeight="1">
      <c r="A1329" s="474"/>
      <c r="B1329" s="127">
        <v>7</v>
      </c>
      <c r="C1329" s="158">
        <v>12</v>
      </c>
      <c r="D1329" s="158">
        <v>26</v>
      </c>
      <c r="E1329" s="158">
        <v>4</v>
      </c>
      <c r="F1329" s="158">
        <v>3</v>
      </c>
      <c r="G1329" s="158">
        <v>1</v>
      </c>
      <c r="H1329" s="158">
        <v>3</v>
      </c>
      <c r="I1329" s="158">
        <v>0</v>
      </c>
      <c r="J1329" s="158">
        <v>0</v>
      </c>
      <c r="K1329" s="158">
        <v>0</v>
      </c>
      <c r="L1329" s="158">
        <v>0</v>
      </c>
      <c r="M1329" s="154">
        <f t="shared" si="382"/>
        <v>17</v>
      </c>
      <c r="N1329" s="155">
        <f t="shared" si="383"/>
        <v>32</v>
      </c>
      <c r="O1329" s="168">
        <f t="shared" ref="O1329:P1351" si="387">M1329/31</f>
        <v>0.54838709677419351</v>
      </c>
      <c r="P1329" s="157">
        <f t="shared" si="387"/>
        <v>1.032258064516129</v>
      </c>
    </row>
    <row r="1330" spans="1:16" ht="13.5" customHeight="1">
      <c r="A1330" s="474"/>
      <c r="B1330" s="127">
        <v>8</v>
      </c>
      <c r="C1330" s="158">
        <v>7</v>
      </c>
      <c r="D1330" s="158">
        <v>13</v>
      </c>
      <c r="E1330" s="158">
        <v>4</v>
      </c>
      <c r="F1330" s="158">
        <v>9</v>
      </c>
      <c r="G1330" s="158">
        <v>0</v>
      </c>
      <c r="H1330" s="158">
        <v>0</v>
      </c>
      <c r="I1330" s="158">
        <v>0</v>
      </c>
      <c r="J1330" s="158">
        <v>0</v>
      </c>
      <c r="K1330" s="158">
        <v>0</v>
      </c>
      <c r="L1330" s="159">
        <v>0</v>
      </c>
      <c r="M1330" s="177">
        <f t="shared" si="382"/>
        <v>11</v>
      </c>
      <c r="N1330" s="158">
        <f t="shared" si="383"/>
        <v>22</v>
      </c>
      <c r="O1330" s="168">
        <f t="shared" si="387"/>
        <v>0.35483870967741937</v>
      </c>
      <c r="P1330" s="157">
        <f t="shared" si="387"/>
        <v>0.70967741935483875</v>
      </c>
    </row>
    <row r="1331" spans="1:16" ht="13.5" customHeight="1">
      <c r="A1331" s="474"/>
      <c r="B1331" s="127">
        <v>9</v>
      </c>
      <c r="C1331" s="147">
        <v>6</v>
      </c>
      <c r="D1331" s="147">
        <v>4</v>
      </c>
      <c r="E1331" s="147">
        <v>2</v>
      </c>
      <c r="F1331" s="147">
        <v>2</v>
      </c>
      <c r="G1331" s="147">
        <v>1</v>
      </c>
      <c r="H1331" s="147">
        <v>1</v>
      </c>
      <c r="I1331" s="147">
        <v>0</v>
      </c>
      <c r="J1331" s="147">
        <v>0</v>
      </c>
      <c r="K1331" s="147">
        <v>0</v>
      </c>
      <c r="L1331" s="148">
        <v>0</v>
      </c>
      <c r="M1331" s="177">
        <f t="shared" si="382"/>
        <v>9</v>
      </c>
      <c r="N1331" s="158">
        <f t="shared" si="383"/>
        <v>7</v>
      </c>
      <c r="O1331" s="168">
        <f t="shared" si="387"/>
        <v>0.29032258064516131</v>
      </c>
      <c r="P1331" s="157">
        <f t="shared" si="387"/>
        <v>0.22580645161290322</v>
      </c>
    </row>
    <row r="1332" spans="1:16" ht="13.5" customHeight="1">
      <c r="A1332" s="474"/>
      <c r="B1332" s="127">
        <v>10</v>
      </c>
      <c r="C1332" s="147">
        <v>13</v>
      </c>
      <c r="D1332" s="147">
        <v>14</v>
      </c>
      <c r="E1332" s="147">
        <v>0</v>
      </c>
      <c r="F1332" s="181">
        <v>0</v>
      </c>
      <c r="G1332" s="147">
        <v>3</v>
      </c>
      <c r="H1332" s="147">
        <v>8</v>
      </c>
      <c r="I1332" s="147">
        <v>0</v>
      </c>
      <c r="J1332" s="147">
        <v>0</v>
      </c>
      <c r="K1332" s="147">
        <v>1</v>
      </c>
      <c r="L1332" s="148">
        <v>0</v>
      </c>
      <c r="M1332" s="154">
        <f t="shared" si="382"/>
        <v>17</v>
      </c>
      <c r="N1332" s="155">
        <f t="shared" si="383"/>
        <v>22</v>
      </c>
      <c r="O1332" s="168">
        <f t="shared" si="387"/>
        <v>0.54838709677419351</v>
      </c>
      <c r="P1332" s="157">
        <f t="shared" si="387"/>
        <v>0.70967741935483875</v>
      </c>
    </row>
    <row r="1333" spans="1:16" ht="13.5" customHeight="1">
      <c r="A1333" s="474"/>
      <c r="B1333" s="127">
        <v>11</v>
      </c>
      <c r="C1333" s="367">
        <v>11</v>
      </c>
      <c r="D1333" s="367">
        <v>30</v>
      </c>
      <c r="E1333" s="367">
        <v>0</v>
      </c>
      <c r="F1333" s="367">
        <v>0</v>
      </c>
      <c r="G1333" s="367">
        <v>0</v>
      </c>
      <c r="H1333" s="367">
        <v>0</v>
      </c>
      <c r="I1333" s="367">
        <v>0</v>
      </c>
      <c r="J1333" s="367">
        <v>0</v>
      </c>
      <c r="K1333" s="367">
        <v>0</v>
      </c>
      <c r="L1333" s="368">
        <v>2</v>
      </c>
      <c r="M1333" s="154">
        <f t="shared" si="382"/>
        <v>11</v>
      </c>
      <c r="N1333" s="155">
        <f t="shared" si="383"/>
        <v>32</v>
      </c>
      <c r="O1333" s="168">
        <f t="shared" si="387"/>
        <v>0.35483870967741937</v>
      </c>
      <c r="P1333" s="157">
        <f t="shared" si="387"/>
        <v>1.032258064516129</v>
      </c>
    </row>
    <row r="1334" spans="1:16" ht="13.5" customHeight="1" thickBot="1">
      <c r="A1334" s="475"/>
      <c r="B1334" s="127">
        <v>12</v>
      </c>
      <c r="C1334" s="187">
        <v>16</v>
      </c>
      <c r="D1334" s="187">
        <v>28</v>
      </c>
      <c r="E1334" s="187">
        <v>0</v>
      </c>
      <c r="F1334" s="188">
        <v>0</v>
      </c>
      <c r="G1334" s="187">
        <v>2</v>
      </c>
      <c r="H1334" s="187">
        <v>2</v>
      </c>
      <c r="I1334" s="187">
        <v>0</v>
      </c>
      <c r="J1334" s="187">
        <v>0</v>
      </c>
      <c r="K1334" s="187">
        <v>0</v>
      </c>
      <c r="L1334" s="189">
        <v>0</v>
      </c>
      <c r="M1334" s="154">
        <f t="shared" si="382"/>
        <v>18</v>
      </c>
      <c r="N1334" s="155">
        <f t="shared" si="383"/>
        <v>30</v>
      </c>
      <c r="O1334" s="168">
        <f t="shared" si="387"/>
        <v>0.58064516129032262</v>
      </c>
      <c r="P1334" s="157">
        <f t="shared" si="387"/>
        <v>0.967741935483871</v>
      </c>
    </row>
    <row r="1335" spans="1:16" ht="13.5" customHeight="1">
      <c r="A1335" s="473">
        <v>2019</v>
      </c>
      <c r="B1335" s="410">
        <v>1</v>
      </c>
      <c r="C1335" s="158">
        <v>15</v>
      </c>
      <c r="D1335" s="158">
        <v>27</v>
      </c>
      <c r="E1335" s="158">
        <v>2</v>
      </c>
      <c r="F1335" s="169">
        <v>3</v>
      </c>
      <c r="G1335" s="158">
        <v>2</v>
      </c>
      <c r="H1335" s="158">
        <v>7</v>
      </c>
      <c r="I1335" s="158">
        <v>0</v>
      </c>
      <c r="J1335" s="158">
        <v>0</v>
      </c>
      <c r="K1335" s="158">
        <v>1</v>
      </c>
      <c r="L1335" s="159">
        <v>5</v>
      </c>
      <c r="M1335" s="424">
        <f t="shared" si="382"/>
        <v>20</v>
      </c>
      <c r="N1335" s="425">
        <f t="shared" si="383"/>
        <v>42</v>
      </c>
      <c r="O1335" s="430">
        <f t="shared" ref="O1335:O1339" si="388">M1335/31</f>
        <v>0.64516129032258063</v>
      </c>
      <c r="P1335" s="427">
        <f t="shared" ref="P1335:P1339" si="389">N1335/31</f>
        <v>1.3548387096774193</v>
      </c>
    </row>
    <row r="1336" spans="1:16" ht="13.5" customHeight="1">
      <c r="A1336" s="474"/>
      <c r="B1336" s="127">
        <v>2</v>
      </c>
      <c r="C1336" s="158">
        <v>9</v>
      </c>
      <c r="D1336" s="158">
        <v>7</v>
      </c>
      <c r="E1336" s="158">
        <v>1</v>
      </c>
      <c r="F1336" s="169">
        <v>0</v>
      </c>
      <c r="G1336" s="158">
        <v>0</v>
      </c>
      <c r="H1336" s="158">
        <v>0</v>
      </c>
      <c r="I1336" s="158">
        <v>0</v>
      </c>
      <c r="J1336" s="158">
        <v>0</v>
      </c>
      <c r="K1336" s="158">
        <v>0</v>
      </c>
      <c r="L1336" s="159">
        <v>0</v>
      </c>
      <c r="M1336" s="154">
        <f t="shared" si="382"/>
        <v>10</v>
      </c>
      <c r="N1336" s="155">
        <f t="shared" si="383"/>
        <v>7</v>
      </c>
      <c r="O1336" s="168">
        <f t="shared" si="388"/>
        <v>0.32258064516129031</v>
      </c>
      <c r="P1336" s="157">
        <f t="shared" si="389"/>
        <v>0.22580645161290322</v>
      </c>
    </row>
    <row r="1337" spans="1:16" ht="13.5" customHeight="1">
      <c r="A1337" s="474"/>
      <c r="B1337" s="127">
        <v>3</v>
      </c>
      <c r="C1337" s="158">
        <v>15</v>
      </c>
      <c r="D1337" s="158">
        <v>23</v>
      </c>
      <c r="E1337" s="158">
        <v>0</v>
      </c>
      <c r="F1337" s="169">
        <v>1</v>
      </c>
      <c r="G1337" s="158">
        <v>0</v>
      </c>
      <c r="H1337" s="158">
        <v>0</v>
      </c>
      <c r="I1337" s="158">
        <v>0</v>
      </c>
      <c r="J1337" s="158">
        <v>0</v>
      </c>
      <c r="K1337" s="158">
        <v>0</v>
      </c>
      <c r="L1337" s="159">
        <v>0</v>
      </c>
      <c r="M1337" s="154">
        <f t="shared" si="382"/>
        <v>15</v>
      </c>
      <c r="N1337" s="155">
        <f t="shared" si="383"/>
        <v>24</v>
      </c>
      <c r="O1337" s="168">
        <f t="shared" si="388"/>
        <v>0.4838709677419355</v>
      </c>
      <c r="P1337" s="157">
        <f t="shared" si="389"/>
        <v>0.77419354838709675</v>
      </c>
    </row>
    <row r="1338" spans="1:16" ht="13.5" customHeight="1">
      <c r="A1338" s="474"/>
      <c r="B1338" s="127">
        <v>4</v>
      </c>
      <c r="C1338" s="158">
        <v>16</v>
      </c>
      <c r="D1338" s="158">
        <v>26</v>
      </c>
      <c r="E1338" s="158">
        <v>0</v>
      </c>
      <c r="F1338" s="169">
        <v>0</v>
      </c>
      <c r="G1338" s="158">
        <v>2</v>
      </c>
      <c r="H1338" s="158">
        <v>2</v>
      </c>
      <c r="I1338" s="158">
        <v>0</v>
      </c>
      <c r="J1338" s="158">
        <v>0</v>
      </c>
      <c r="K1338" s="158">
        <v>0</v>
      </c>
      <c r="L1338" s="159">
        <v>0</v>
      </c>
      <c r="M1338" s="154">
        <f t="shared" si="382"/>
        <v>18</v>
      </c>
      <c r="N1338" s="155">
        <f t="shared" si="383"/>
        <v>28</v>
      </c>
      <c r="O1338" s="168">
        <f t="shared" si="388"/>
        <v>0.58064516129032262</v>
      </c>
      <c r="P1338" s="157">
        <f t="shared" si="389"/>
        <v>0.90322580645161288</v>
      </c>
    </row>
    <row r="1339" spans="1:16" ht="13.5" customHeight="1">
      <c r="A1339" s="474"/>
      <c r="B1339" s="127">
        <v>5</v>
      </c>
      <c r="C1339" s="158">
        <v>13</v>
      </c>
      <c r="D1339" s="158">
        <v>16</v>
      </c>
      <c r="E1339" s="158">
        <v>0</v>
      </c>
      <c r="F1339" s="169">
        <v>0</v>
      </c>
      <c r="G1339" s="158">
        <v>2</v>
      </c>
      <c r="H1339" s="158">
        <v>0</v>
      </c>
      <c r="I1339" s="158">
        <v>0</v>
      </c>
      <c r="J1339" s="158">
        <v>0</v>
      </c>
      <c r="K1339" s="158">
        <v>2</v>
      </c>
      <c r="L1339" s="159">
        <v>0</v>
      </c>
      <c r="M1339" s="154">
        <f t="shared" si="382"/>
        <v>17</v>
      </c>
      <c r="N1339" s="155">
        <f t="shared" si="383"/>
        <v>16</v>
      </c>
      <c r="O1339" s="168">
        <f t="shared" si="388"/>
        <v>0.54838709677419351</v>
      </c>
      <c r="P1339" s="157">
        <f t="shared" si="389"/>
        <v>0.5161290322580645</v>
      </c>
    </row>
    <row r="1340" spans="1:16" ht="13.5" customHeight="1">
      <c r="A1340" s="474"/>
      <c r="B1340" s="127">
        <v>6</v>
      </c>
      <c r="C1340" s="158">
        <v>10</v>
      </c>
      <c r="D1340" s="158">
        <v>22</v>
      </c>
      <c r="E1340" s="158">
        <v>0</v>
      </c>
      <c r="F1340" s="169">
        <v>0</v>
      </c>
      <c r="G1340" s="158">
        <v>2</v>
      </c>
      <c r="H1340" s="158">
        <v>4</v>
      </c>
      <c r="I1340" s="158">
        <v>1</v>
      </c>
      <c r="J1340" s="158">
        <v>0</v>
      </c>
      <c r="K1340" s="158">
        <v>0</v>
      </c>
      <c r="L1340" s="159">
        <v>14</v>
      </c>
      <c r="M1340" s="154">
        <f t="shared" si="382"/>
        <v>13</v>
      </c>
      <c r="N1340" s="155">
        <f t="shared" si="383"/>
        <v>40</v>
      </c>
      <c r="O1340" s="168">
        <f>M1340/30</f>
        <v>0.43333333333333335</v>
      </c>
      <c r="P1340" s="157">
        <f>N1340/30</f>
        <v>1.3333333333333333</v>
      </c>
    </row>
    <row r="1341" spans="1:16" ht="13.5" customHeight="1">
      <c r="A1341" s="474"/>
      <c r="B1341" s="127">
        <v>7</v>
      </c>
      <c r="C1341" s="158">
        <v>14</v>
      </c>
      <c r="D1341" s="158">
        <v>16</v>
      </c>
      <c r="E1341" s="158">
        <v>0</v>
      </c>
      <c r="F1341" s="158">
        <v>0</v>
      </c>
      <c r="G1341" s="158">
        <v>0</v>
      </c>
      <c r="H1341" s="158">
        <v>4</v>
      </c>
      <c r="I1341" s="158">
        <v>0</v>
      </c>
      <c r="J1341" s="158">
        <v>1</v>
      </c>
      <c r="K1341" s="158">
        <v>0</v>
      </c>
      <c r="L1341" s="158">
        <v>0</v>
      </c>
      <c r="M1341" s="154">
        <f t="shared" si="382"/>
        <v>14</v>
      </c>
      <c r="N1341" s="155">
        <f t="shared" si="383"/>
        <v>21</v>
      </c>
      <c r="O1341" s="168">
        <f t="shared" ref="O1341:O1342" si="390">M1341/31</f>
        <v>0.45161290322580644</v>
      </c>
      <c r="P1341" s="157">
        <f t="shared" ref="P1341:P1342" si="391">N1341/31</f>
        <v>0.67741935483870963</v>
      </c>
    </row>
    <row r="1342" spans="1:16" ht="13.5" customHeight="1">
      <c r="A1342" s="474"/>
      <c r="B1342" s="127">
        <v>8</v>
      </c>
      <c r="C1342" s="158">
        <v>11</v>
      </c>
      <c r="D1342" s="158">
        <v>22</v>
      </c>
      <c r="E1342" s="158">
        <v>3</v>
      </c>
      <c r="F1342" s="158">
        <v>3</v>
      </c>
      <c r="G1342" s="158">
        <v>2</v>
      </c>
      <c r="H1342" s="158">
        <v>3</v>
      </c>
      <c r="I1342" s="158">
        <v>0</v>
      </c>
      <c r="J1342" s="158">
        <v>0</v>
      </c>
      <c r="K1342" s="158">
        <v>0</v>
      </c>
      <c r="L1342" s="159">
        <v>3</v>
      </c>
      <c r="M1342" s="177">
        <f t="shared" si="382"/>
        <v>16</v>
      </c>
      <c r="N1342" s="158">
        <f t="shared" si="383"/>
        <v>31</v>
      </c>
      <c r="O1342" s="168">
        <f t="shared" si="390"/>
        <v>0.5161290322580645</v>
      </c>
      <c r="P1342" s="157">
        <f t="shared" si="391"/>
        <v>1</v>
      </c>
    </row>
    <row r="1343" spans="1:16" ht="13.5" customHeight="1">
      <c r="A1343" s="474"/>
      <c r="B1343" s="127">
        <v>9</v>
      </c>
      <c r="C1343" s="147">
        <v>13</v>
      </c>
      <c r="D1343" s="147">
        <v>15</v>
      </c>
      <c r="E1343" s="147">
        <v>0</v>
      </c>
      <c r="F1343" s="147">
        <v>0</v>
      </c>
      <c r="G1343" s="147">
        <v>6</v>
      </c>
      <c r="H1343" s="147">
        <v>7</v>
      </c>
      <c r="I1343" s="147">
        <v>0</v>
      </c>
      <c r="J1343" s="147">
        <v>0</v>
      </c>
      <c r="K1343" s="147">
        <v>0</v>
      </c>
      <c r="L1343" s="148">
        <v>0</v>
      </c>
      <c r="M1343" s="177">
        <v>19</v>
      </c>
      <c r="N1343" s="158">
        <v>22</v>
      </c>
      <c r="O1343" s="168">
        <v>0.61290322580645162</v>
      </c>
      <c r="P1343" s="157">
        <v>0.70967741935483875</v>
      </c>
    </row>
    <row r="1344" spans="1:16" ht="13.5" customHeight="1">
      <c r="A1344" s="474"/>
      <c r="B1344" s="127">
        <v>10</v>
      </c>
      <c r="C1344" s="147">
        <v>21</v>
      </c>
      <c r="D1344" s="147">
        <v>42</v>
      </c>
      <c r="E1344" s="147">
        <v>0</v>
      </c>
      <c r="F1344" s="181">
        <v>0</v>
      </c>
      <c r="G1344" s="147">
        <v>4</v>
      </c>
      <c r="H1344" s="147">
        <v>16</v>
      </c>
      <c r="I1344" s="147">
        <v>1</v>
      </c>
      <c r="J1344" s="147">
        <v>1</v>
      </c>
      <c r="K1344" s="147">
        <v>1</v>
      </c>
      <c r="L1344" s="148">
        <v>0</v>
      </c>
      <c r="M1344" s="154">
        <f t="shared" ref="M1344:M1346" si="392">+C1344+E1344+G1344+I1344+K1344</f>
        <v>27</v>
      </c>
      <c r="N1344" s="155">
        <f t="shared" ref="N1344:N1346" si="393">+D1344+F1344+H1344+J1344+L1344</f>
        <v>59</v>
      </c>
      <c r="O1344" s="168">
        <f t="shared" ref="O1344:O1346" si="394">M1344/31</f>
        <v>0.87096774193548387</v>
      </c>
      <c r="P1344" s="157">
        <f t="shared" ref="P1344:P1346" si="395">N1344/31</f>
        <v>1.903225806451613</v>
      </c>
    </row>
    <row r="1345" spans="1:16" ht="13.5" customHeight="1">
      <c r="A1345" s="474"/>
      <c r="B1345" s="127">
        <v>11</v>
      </c>
      <c r="C1345" s="367">
        <v>9</v>
      </c>
      <c r="D1345" s="367">
        <v>20</v>
      </c>
      <c r="E1345" s="367">
        <v>0</v>
      </c>
      <c r="F1345" s="367">
        <v>0</v>
      </c>
      <c r="G1345" s="367">
        <v>0</v>
      </c>
      <c r="H1345" s="367">
        <v>0</v>
      </c>
      <c r="I1345" s="367">
        <v>3</v>
      </c>
      <c r="J1345" s="367">
        <v>2</v>
      </c>
      <c r="K1345" s="367">
        <v>0</v>
      </c>
      <c r="L1345" s="368">
        <v>4</v>
      </c>
      <c r="M1345" s="154">
        <f t="shared" si="392"/>
        <v>12</v>
      </c>
      <c r="N1345" s="155">
        <f t="shared" si="393"/>
        <v>26</v>
      </c>
      <c r="O1345" s="168">
        <f t="shared" si="394"/>
        <v>0.38709677419354838</v>
      </c>
      <c r="P1345" s="157">
        <f t="shared" si="395"/>
        <v>0.83870967741935487</v>
      </c>
    </row>
    <row r="1346" spans="1:16" ht="13.5" customHeight="1" thickBot="1">
      <c r="A1346" s="475"/>
      <c r="B1346" s="127">
        <v>12</v>
      </c>
      <c r="C1346" s="187">
        <v>26</v>
      </c>
      <c r="D1346" s="187">
        <v>36</v>
      </c>
      <c r="E1346" s="187">
        <v>2</v>
      </c>
      <c r="F1346" s="188">
        <v>0</v>
      </c>
      <c r="G1346" s="187">
        <v>0</v>
      </c>
      <c r="H1346" s="187">
        <v>0</v>
      </c>
      <c r="I1346" s="187">
        <v>1</v>
      </c>
      <c r="J1346" s="187">
        <v>6</v>
      </c>
      <c r="K1346" s="187">
        <v>1</v>
      </c>
      <c r="L1346" s="189">
        <v>1</v>
      </c>
      <c r="M1346" s="154">
        <f t="shared" si="392"/>
        <v>30</v>
      </c>
      <c r="N1346" s="155">
        <f t="shared" si="393"/>
        <v>43</v>
      </c>
      <c r="O1346" s="168">
        <f t="shared" si="394"/>
        <v>0.967741935483871</v>
      </c>
      <c r="P1346" s="157">
        <f t="shared" si="395"/>
        <v>1.3870967741935485</v>
      </c>
    </row>
    <row r="1347" spans="1:16" ht="13.5" customHeight="1">
      <c r="A1347" s="473">
        <v>2020</v>
      </c>
      <c r="B1347" s="410">
        <v>1</v>
      </c>
      <c r="C1347" s="158">
        <v>16</v>
      </c>
      <c r="D1347" s="158">
        <v>22</v>
      </c>
      <c r="E1347" s="158">
        <v>0</v>
      </c>
      <c r="F1347" s="169">
        <v>4</v>
      </c>
      <c r="G1347" s="158">
        <v>1</v>
      </c>
      <c r="H1347" s="158">
        <v>0</v>
      </c>
      <c r="I1347" s="158">
        <v>1</v>
      </c>
      <c r="J1347" s="158">
        <v>4</v>
      </c>
      <c r="K1347" s="158">
        <v>0</v>
      </c>
      <c r="L1347" s="159">
        <v>0</v>
      </c>
      <c r="M1347" s="424">
        <f t="shared" ref="M1347:M1358" si="396">+C1347+E1347+G1347+I1347+K1347</f>
        <v>18</v>
      </c>
      <c r="N1347" s="425">
        <f t="shared" ref="N1347:N1358" si="397">+D1347+F1347+H1347+J1347+L1347</f>
        <v>30</v>
      </c>
      <c r="O1347" s="430">
        <f t="shared" si="387"/>
        <v>0.58064516129032262</v>
      </c>
      <c r="P1347" s="427">
        <f t="shared" si="387"/>
        <v>0.967741935483871</v>
      </c>
    </row>
    <row r="1348" spans="1:16" ht="13.5" customHeight="1">
      <c r="A1348" s="474"/>
      <c r="B1348" s="127">
        <v>2</v>
      </c>
      <c r="C1348" s="158">
        <v>15</v>
      </c>
      <c r="D1348" s="158">
        <v>25</v>
      </c>
      <c r="E1348" s="158">
        <v>0</v>
      </c>
      <c r="F1348" s="169">
        <v>0</v>
      </c>
      <c r="G1348" s="158">
        <v>0</v>
      </c>
      <c r="H1348" s="158">
        <v>2</v>
      </c>
      <c r="I1348" s="158">
        <v>0</v>
      </c>
      <c r="J1348" s="158">
        <v>0</v>
      </c>
      <c r="K1348" s="158">
        <v>0</v>
      </c>
      <c r="L1348" s="159">
        <v>0</v>
      </c>
      <c r="M1348" s="154">
        <f t="shared" si="396"/>
        <v>15</v>
      </c>
      <c r="N1348" s="155">
        <f t="shared" si="397"/>
        <v>27</v>
      </c>
      <c r="O1348" s="168">
        <f t="shared" si="387"/>
        <v>0.4838709677419355</v>
      </c>
      <c r="P1348" s="157">
        <f t="shared" si="387"/>
        <v>0.87096774193548387</v>
      </c>
    </row>
    <row r="1349" spans="1:16" ht="13.5" customHeight="1">
      <c r="A1349" s="474"/>
      <c r="B1349" s="127">
        <v>3</v>
      </c>
      <c r="C1349" s="158">
        <v>3</v>
      </c>
      <c r="D1349" s="158">
        <v>4</v>
      </c>
      <c r="E1349" s="158">
        <v>0</v>
      </c>
      <c r="F1349" s="169">
        <v>0</v>
      </c>
      <c r="G1349" s="158">
        <v>0</v>
      </c>
      <c r="H1349" s="158">
        <v>0</v>
      </c>
      <c r="I1349" s="158">
        <v>0</v>
      </c>
      <c r="J1349" s="158">
        <v>0</v>
      </c>
      <c r="K1349" s="158">
        <v>0</v>
      </c>
      <c r="L1349" s="159">
        <v>0</v>
      </c>
      <c r="M1349" s="154">
        <f t="shared" si="396"/>
        <v>3</v>
      </c>
      <c r="N1349" s="155">
        <f t="shared" si="397"/>
        <v>4</v>
      </c>
      <c r="O1349" s="168">
        <f t="shared" si="387"/>
        <v>9.6774193548387094E-2</v>
      </c>
      <c r="P1349" s="157">
        <f t="shared" si="387"/>
        <v>0.12903225806451613</v>
      </c>
    </row>
    <row r="1350" spans="1:16" ht="13.5" customHeight="1">
      <c r="A1350" s="474"/>
      <c r="B1350" s="127">
        <v>4</v>
      </c>
      <c r="C1350" s="158">
        <v>0</v>
      </c>
      <c r="D1350" s="158">
        <v>2</v>
      </c>
      <c r="E1350" s="158">
        <v>0</v>
      </c>
      <c r="F1350" s="169">
        <v>0</v>
      </c>
      <c r="G1350" s="158">
        <v>0</v>
      </c>
      <c r="H1350" s="158">
        <v>0</v>
      </c>
      <c r="I1350" s="158">
        <v>0</v>
      </c>
      <c r="J1350" s="158">
        <v>0</v>
      </c>
      <c r="K1350" s="158">
        <v>0</v>
      </c>
      <c r="L1350" s="159">
        <v>0</v>
      </c>
      <c r="M1350" s="154">
        <f t="shared" si="396"/>
        <v>0</v>
      </c>
      <c r="N1350" s="155">
        <f t="shared" si="397"/>
        <v>2</v>
      </c>
      <c r="O1350" s="168">
        <f t="shared" si="387"/>
        <v>0</v>
      </c>
      <c r="P1350" s="157">
        <f t="shared" si="387"/>
        <v>6.4516129032258063E-2</v>
      </c>
    </row>
    <row r="1351" spans="1:16" ht="13.5" customHeight="1">
      <c r="A1351" s="474"/>
      <c r="B1351" s="127">
        <v>5</v>
      </c>
      <c r="C1351" s="158">
        <v>0</v>
      </c>
      <c r="D1351" s="158">
        <v>0</v>
      </c>
      <c r="E1351" s="158">
        <v>0</v>
      </c>
      <c r="F1351" s="169">
        <v>0</v>
      </c>
      <c r="G1351" s="158">
        <v>0</v>
      </c>
      <c r="H1351" s="158">
        <v>0</v>
      </c>
      <c r="I1351" s="158">
        <v>0</v>
      </c>
      <c r="J1351" s="158">
        <v>0</v>
      </c>
      <c r="K1351" s="158">
        <v>0</v>
      </c>
      <c r="L1351" s="159">
        <v>0</v>
      </c>
      <c r="M1351" s="154">
        <f t="shared" si="396"/>
        <v>0</v>
      </c>
      <c r="N1351" s="155">
        <f t="shared" si="397"/>
        <v>0</v>
      </c>
      <c r="O1351" s="168">
        <f t="shared" si="387"/>
        <v>0</v>
      </c>
      <c r="P1351" s="157">
        <f t="shared" si="387"/>
        <v>0</v>
      </c>
    </row>
    <row r="1352" spans="1:16" ht="13.5" customHeight="1">
      <c r="A1352" s="474"/>
      <c r="B1352" s="127">
        <v>6</v>
      </c>
      <c r="C1352" s="158">
        <f>集計用!C49</f>
        <v>6</v>
      </c>
      <c r="D1352" s="158">
        <f>集計用!S49</f>
        <v>7</v>
      </c>
      <c r="E1352" s="158">
        <f>集計用!E49</f>
        <v>0</v>
      </c>
      <c r="F1352" s="169">
        <f>集計用!U49</f>
        <v>0</v>
      </c>
      <c r="G1352" s="158">
        <f>集計用!G49</f>
        <v>0</v>
      </c>
      <c r="H1352" s="158">
        <f>集計用!W49</f>
        <v>0</v>
      </c>
      <c r="I1352" s="158">
        <f>集計用!I49</f>
        <v>0</v>
      </c>
      <c r="J1352" s="158">
        <f>集計用!Y49</f>
        <v>0</v>
      </c>
      <c r="K1352" s="158">
        <f>集計用!K49</f>
        <v>0</v>
      </c>
      <c r="L1352" s="159">
        <f>集計用!AA49</f>
        <v>0</v>
      </c>
      <c r="M1352" s="154">
        <f t="shared" si="396"/>
        <v>6</v>
      </c>
      <c r="N1352" s="155">
        <f t="shared" si="397"/>
        <v>7</v>
      </c>
      <c r="O1352" s="168">
        <f>M1352/30</f>
        <v>0.2</v>
      </c>
      <c r="P1352" s="157">
        <f>N1352/30</f>
        <v>0.23333333333333334</v>
      </c>
    </row>
    <row r="1353" spans="1:16" ht="13.5" customHeight="1">
      <c r="A1353" s="474"/>
      <c r="B1353" s="127">
        <v>7</v>
      </c>
      <c r="C1353" s="158"/>
      <c r="D1353" s="158"/>
      <c r="E1353" s="158"/>
      <c r="F1353" s="158"/>
      <c r="G1353" s="158"/>
      <c r="H1353" s="158"/>
      <c r="I1353" s="158"/>
      <c r="J1353" s="158"/>
      <c r="K1353" s="158"/>
      <c r="L1353" s="158"/>
      <c r="M1353" s="154">
        <f t="shared" si="396"/>
        <v>0</v>
      </c>
      <c r="N1353" s="155">
        <f t="shared" si="397"/>
        <v>0</v>
      </c>
      <c r="O1353" s="168">
        <f t="shared" ref="O1353:O1358" si="398">M1353/31</f>
        <v>0</v>
      </c>
      <c r="P1353" s="157">
        <f t="shared" ref="P1353:P1358" si="399">N1353/31</f>
        <v>0</v>
      </c>
    </row>
    <row r="1354" spans="1:16" ht="13.5" customHeight="1">
      <c r="A1354" s="474"/>
      <c r="B1354" s="127">
        <v>8</v>
      </c>
      <c r="C1354" s="158"/>
      <c r="D1354" s="158"/>
      <c r="E1354" s="158"/>
      <c r="F1354" s="158"/>
      <c r="G1354" s="158"/>
      <c r="H1354" s="158"/>
      <c r="I1354" s="158"/>
      <c r="J1354" s="158"/>
      <c r="K1354" s="158"/>
      <c r="L1354" s="159"/>
      <c r="M1354" s="177">
        <f t="shared" si="396"/>
        <v>0</v>
      </c>
      <c r="N1354" s="158">
        <f t="shared" si="397"/>
        <v>0</v>
      </c>
      <c r="O1354" s="168">
        <f t="shared" si="398"/>
        <v>0</v>
      </c>
      <c r="P1354" s="157">
        <f t="shared" si="399"/>
        <v>0</v>
      </c>
    </row>
    <row r="1355" spans="1:16" ht="13.5" customHeight="1">
      <c r="A1355" s="474"/>
      <c r="B1355" s="127">
        <v>9</v>
      </c>
      <c r="C1355" s="147"/>
      <c r="D1355" s="147"/>
      <c r="E1355" s="147"/>
      <c r="F1355" s="147"/>
      <c r="G1355" s="147"/>
      <c r="H1355" s="147"/>
      <c r="I1355" s="147"/>
      <c r="J1355" s="147"/>
      <c r="K1355" s="147"/>
      <c r="L1355" s="148"/>
      <c r="M1355" s="177">
        <f t="shared" ref="M1355" si="400">+C1355+E1355+G1355+I1355+K1355</f>
        <v>0</v>
      </c>
      <c r="N1355" s="158">
        <f t="shared" ref="N1355" si="401">+D1355+F1355+H1355+J1355+L1355</f>
        <v>0</v>
      </c>
      <c r="O1355" s="168">
        <f>M1355/30</f>
        <v>0</v>
      </c>
      <c r="P1355" s="157">
        <f>N1355/30</f>
        <v>0</v>
      </c>
    </row>
    <row r="1356" spans="1:16" ht="13.5" customHeight="1">
      <c r="A1356" s="474"/>
      <c r="B1356" s="127">
        <v>10</v>
      </c>
      <c r="C1356" s="147"/>
      <c r="D1356" s="147"/>
      <c r="E1356" s="147"/>
      <c r="F1356" s="181"/>
      <c r="G1356" s="147"/>
      <c r="H1356" s="147"/>
      <c r="I1356" s="147"/>
      <c r="J1356" s="147"/>
      <c r="K1356" s="147"/>
      <c r="L1356" s="148"/>
      <c r="M1356" s="154">
        <f t="shared" ref="M1356" si="402">+C1356+E1356+G1356+I1356+K1356</f>
        <v>0</v>
      </c>
      <c r="N1356" s="155">
        <f t="shared" ref="N1356" si="403">+D1356+F1356+H1356+J1356+L1356</f>
        <v>0</v>
      </c>
      <c r="O1356" s="168">
        <f t="shared" ref="O1356" si="404">M1356/31</f>
        <v>0</v>
      </c>
      <c r="P1356" s="157">
        <f t="shared" ref="P1356" si="405">N1356/31</f>
        <v>0</v>
      </c>
    </row>
    <row r="1357" spans="1:16" ht="13.5" customHeight="1">
      <c r="A1357" s="474"/>
      <c r="B1357" s="127">
        <v>11</v>
      </c>
      <c r="C1357" s="367"/>
      <c r="D1357" s="367"/>
      <c r="E1357" s="367"/>
      <c r="F1357" s="367"/>
      <c r="G1357" s="367"/>
      <c r="H1357" s="367"/>
      <c r="I1357" s="367"/>
      <c r="J1357" s="367"/>
      <c r="K1357" s="367"/>
      <c r="L1357" s="368"/>
      <c r="M1357" s="154">
        <f t="shared" si="396"/>
        <v>0</v>
      </c>
      <c r="N1357" s="155">
        <f t="shared" si="397"/>
        <v>0</v>
      </c>
      <c r="O1357" s="168">
        <f t="shared" si="398"/>
        <v>0</v>
      </c>
      <c r="P1357" s="157">
        <f t="shared" si="399"/>
        <v>0</v>
      </c>
    </row>
    <row r="1358" spans="1:16" ht="13.5" customHeight="1" thickBot="1">
      <c r="A1358" s="475"/>
      <c r="B1358" s="127">
        <v>12</v>
      </c>
      <c r="C1358" s="187"/>
      <c r="D1358" s="187"/>
      <c r="E1358" s="187"/>
      <c r="F1358" s="188"/>
      <c r="G1358" s="187"/>
      <c r="H1358" s="187"/>
      <c r="I1358" s="187"/>
      <c r="J1358" s="187"/>
      <c r="K1358" s="187"/>
      <c r="L1358" s="189"/>
      <c r="M1358" s="154">
        <f t="shared" si="396"/>
        <v>0</v>
      </c>
      <c r="N1358" s="155">
        <f t="shared" si="397"/>
        <v>0</v>
      </c>
      <c r="O1358" s="168">
        <f t="shared" si="398"/>
        <v>0</v>
      </c>
      <c r="P1358" s="157">
        <f t="shared" si="399"/>
        <v>0</v>
      </c>
    </row>
    <row r="1359" spans="1:16" ht="18.75" customHeight="1" thickBot="1">
      <c r="A1359" s="180"/>
      <c r="B1359" s="160" t="s">
        <v>5</v>
      </c>
      <c r="C1359" s="161">
        <f>SUM(C1311:C1358)</f>
        <v>370</v>
      </c>
      <c r="D1359" s="161">
        <f t="shared" ref="D1359:K1359" si="406">SUM(D1311:D1358)</f>
        <v>598</v>
      </c>
      <c r="E1359" s="161">
        <f t="shared" si="406"/>
        <v>20</v>
      </c>
      <c r="F1359" s="161">
        <f t="shared" si="406"/>
        <v>27</v>
      </c>
      <c r="G1359" s="161">
        <f t="shared" si="406"/>
        <v>35</v>
      </c>
      <c r="H1359" s="161">
        <f t="shared" si="406"/>
        <v>72</v>
      </c>
      <c r="I1359" s="161">
        <f t="shared" si="406"/>
        <v>7</v>
      </c>
      <c r="J1359" s="161">
        <f t="shared" si="406"/>
        <v>14</v>
      </c>
      <c r="K1359" s="161">
        <f t="shared" si="406"/>
        <v>8</v>
      </c>
      <c r="L1359" s="161">
        <f>SUM(L1311:L1358)</f>
        <v>33</v>
      </c>
      <c r="M1359" s="162">
        <f>SUM(M1311:M1358)</f>
        <v>440</v>
      </c>
      <c r="N1359" s="161">
        <f>SUM(N1311:N1358)</f>
        <v>744</v>
      </c>
      <c r="O1359" s="161">
        <f>SUM(O1311:O1358)</f>
        <v>14.224731182795699</v>
      </c>
      <c r="P1359" s="161">
        <f>SUM(P1311:P1358)</f>
        <v>24.064516129032263</v>
      </c>
    </row>
    <row r="1361" spans="1:16" ht="11.25" customHeight="1">
      <c r="B1361" s="467" t="s">
        <v>274</v>
      </c>
      <c r="C1361" s="469" t="s">
        <v>29</v>
      </c>
      <c r="D1361" s="470"/>
      <c r="E1361" s="469" t="s">
        <v>30</v>
      </c>
      <c r="F1361" s="470"/>
      <c r="G1361" s="469" t="s">
        <v>31</v>
      </c>
      <c r="H1361" s="470"/>
      <c r="I1361" s="469" t="s">
        <v>58</v>
      </c>
      <c r="J1361" s="470"/>
      <c r="K1361" s="469" t="s">
        <v>57</v>
      </c>
      <c r="L1361" s="471"/>
      <c r="M1361" s="470" t="s">
        <v>5</v>
      </c>
      <c r="N1361" s="472"/>
      <c r="O1361" s="472" t="s">
        <v>33</v>
      </c>
      <c r="P1361" s="472"/>
    </row>
    <row r="1362" spans="1:16" ht="11.25" customHeight="1" thickBot="1">
      <c r="B1362" s="468"/>
      <c r="C1362" s="13" t="s">
        <v>34</v>
      </c>
      <c r="D1362" s="13" t="s">
        <v>35</v>
      </c>
      <c r="E1362" s="13" t="s">
        <v>34</v>
      </c>
      <c r="F1362" s="13" t="s">
        <v>35</v>
      </c>
      <c r="G1362" s="13" t="s">
        <v>34</v>
      </c>
      <c r="H1362" s="13" t="s">
        <v>35</v>
      </c>
      <c r="I1362" s="13" t="s">
        <v>59</v>
      </c>
      <c r="J1362" s="13" t="s">
        <v>60</v>
      </c>
      <c r="K1362" s="13" t="s">
        <v>34</v>
      </c>
      <c r="L1362" s="14" t="s">
        <v>35</v>
      </c>
      <c r="M1362" s="15" t="s">
        <v>34</v>
      </c>
      <c r="N1362" s="13" t="s">
        <v>35</v>
      </c>
      <c r="O1362" s="163" t="s">
        <v>34</v>
      </c>
      <c r="P1362" s="163" t="s">
        <v>35</v>
      </c>
    </row>
    <row r="1363" spans="1:16" ht="13.5" customHeight="1">
      <c r="A1363" s="473">
        <v>2017</v>
      </c>
      <c r="B1363" s="410">
        <v>1</v>
      </c>
      <c r="C1363" s="422"/>
      <c r="D1363" s="422"/>
      <c r="E1363" s="422"/>
      <c r="F1363" s="422"/>
      <c r="G1363" s="422"/>
      <c r="H1363" s="422"/>
      <c r="I1363" s="422"/>
      <c r="J1363" s="422"/>
      <c r="K1363" s="422"/>
      <c r="L1363" s="432"/>
      <c r="M1363" s="424">
        <f t="shared" ref="M1363:M1394" si="407">+C1363+E1363+G1363+I1363+K1363</f>
        <v>0</v>
      </c>
      <c r="N1363" s="425">
        <f t="shared" ref="N1363:N1394" si="408">+D1363+F1363+H1363+J1363+L1363</f>
        <v>0</v>
      </c>
      <c r="O1363" s="430">
        <f t="shared" ref="O1363:P1367" si="409">M1363/31</f>
        <v>0</v>
      </c>
      <c r="P1363" s="427">
        <f t="shared" si="409"/>
        <v>0</v>
      </c>
    </row>
    <row r="1364" spans="1:16" ht="13.5" customHeight="1">
      <c r="A1364" s="474"/>
      <c r="B1364" s="127">
        <v>2</v>
      </c>
      <c r="C1364" s="147"/>
      <c r="D1364" s="147"/>
      <c r="E1364" s="147"/>
      <c r="F1364" s="147"/>
      <c r="G1364" s="147"/>
      <c r="H1364" s="147"/>
      <c r="I1364" s="147"/>
      <c r="J1364" s="147"/>
      <c r="K1364" s="147"/>
      <c r="L1364" s="174"/>
      <c r="M1364" s="149">
        <f t="shared" si="407"/>
        <v>0</v>
      </c>
      <c r="N1364" s="150">
        <f t="shared" si="408"/>
        <v>0</v>
      </c>
      <c r="O1364" s="167">
        <f t="shared" si="409"/>
        <v>0</v>
      </c>
      <c r="P1364" s="152">
        <f t="shared" si="409"/>
        <v>0</v>
      </c>
    </row>
    <row r="1365" spans="1:16" ht="13.5" customHeight="1">
      <c r="A1365" s="474"/>
      <c r="B1365" s="127">
        <v>3</v>
      </c>
      <c r="C1365" s="147"/>
      <c r="D1365" s="147"/>
      <c r="E1365" s="147"/>
      <c r="F1365" s="147"/>
      <c r="G1365" s="147"/>
      <c r="H1365" s="147"/>
      <c r="I1365" s="147"/>
      <c r="J1365" s="147"/>
      <c r="K1365" s="147"/>
      <c r="L1365" s="174"/>
      <c r="M1365" s="149">
        <f t="shared" si="407"/>
        <v>0</v>
      </c>
      <c r="N1365" s="150">
        <f t="shared" si="408"/>
        <v>0</v>
      </c>
      <c r="O1365" s="167">
        <f t="shared" si="409"/>
        <v>0</v>
      </c>
      <c r="P1365" s="152">
        <f t="shared" si="409"/>
        <v>0</v>
      </c>
    </row>
    <row r="1366" spans="1:16" ht="13.5" customHeight="1">
      <c r="A1366" s="474"/>
      <c r="B1366" s="127">
        <v>4</v>
      </c>
      <c r="C1366" s="158"/>
      <c r="D1366" s="158"/>
      <c r="E1366" s="158"/>
      <c r="F1366" s="158"/>
      <c r="G1366" s="158"/>
      <c r="H1366" s="158"/>
      <c r="I1366" s="158"/>
      <c r="J1366" s="158"/>
      <c r="K1366" s="158"/>
      <c r="L1366" s="159"/>
      <c r="M1366" s="154">
        <f t="shared" si="407"/>
        <v>0</v>
      </c>
      <c r="N1366" s="155">
        <f t="shared" si="408"/>
        <v>0</v>
      </c>
      <c r="O1366" s="168">
        <f t="shared" si="409"/>
        <v>0</v>
      </c>
      <c r="P1366" s="157">
        <f t="shared" si="409"/>
        <v>0</v>
      </c>
    </row>
    <row r="1367" spans="1:16" ht="13.5" customHeight="1">
      <c r="A1367" s="474"/>
      <c r="B1367" s="127">
        <v>5</v>
      </c>
      <c r="C1367" s="158"/>
      <c r="D1367" s="158"/>
      <c r="E1367" s="158"/>
      <c r="F1367" s="158"/>
      <c r="G1367" s="158"/>
      <c r="H1367" s="158"/>
      <c r="I1367" s="158"/>
      <c r="J1367" s="158"/>
      <c r="K1367" s="158"/>
      <c r="L1367" s="159"/>
      <c r="M1367" s="154">
        <f t="shared" si="407"/>
        <v>0</v>
      </c>
      <c r="N1367" s="155">
        <f t="shared" si="408"/>
        <v>0</v>
      </c>
      <c r="O1367" s="168">
        <f t="shared" si="409"/>
        <v>0</v>
      </c>
      <c r="P1367" s="157">
        <f t="shared" si="409"/>
        <v>0</v>
      </c>
    </row>
    <row r="1368" spans="1:16" ht="13.5" customHeight="1">
      <c r="A1368" s="474"/>
      <c r="B1368" s="127">
        <v>6</v>
      </c>
      <c r="C1368" s="158"/>
      <c r="D1368" s="158"/>
      <c r="E1368" s="158"/>
      <c r="F1368" s="158"/>
      <c r="G1368" s="158"/>
      <c r="H1368" s="158"/>
      <c r="I1368" s="158"/>
      <c r="J1368" s="158"/>
      <c r="K1368" s="158"/>
      <c r="L1368" s="158"/>
      <c r="M1368" s="154">
        <f t="shared" si="407"/>
        <v>0</v>
      </c>
      <c r="N1368" s="155">
        <f t="shared" si="408"/>
        <v>0</v>
      </c>
      <c r="O1368" s="168">
        <f>M1368/30</f>
        <v>0</v>
      </c>
      <c r="P1368" s="157">
        <f>N1368/30</f>
        <v>0</v>
      </c>
    </row>
    <row r="1369" spans="1:16" ht="13.5" customHeight="1">
      <c r="A1369" s="474"/>
      <c r="B1369" s="127">
        <v>7</v>
      </c>
      <c r="C1369" s="158">
        <v>0</v>
      </c>
      <c r="D1369" s="158">
        <v>0</v>
      </c>
      <c r="E1369" s="158">
        <v>0</v>
      </c>
      <c r="F1369" s="158">
        <v>0</v>
      </c>
      <c r="G1369" s="158">
        <v>2</v>
      </c>
      <c r="H1369" s="158">
        <v>4</v>
      </c>
      <c r="I1369" s="158">
        <v>0</v>
      </c>
      <c r="J1369" s="158">
        <v>0</v>
      </c>
      <c r="K1369" s="158">
        <v>0</v>
      </c>
      <c r="L1369" s="158">
        <v>0</v>
      </c>
      <c r="M1369" s="154">
        <f t="shared" si="407"/>
        <v>2</v>
      </c>
      <c r="N1369" s="155">
        <f t="shared" si="408"/>
        <v>4</v>
      </c>
      <c r="O1369" s="168">
        <f t="shared" ref="O1369:O1379" si="410">M1369/31</f>
        <v>6.4516129032258063E-2</v>
      </c>
      <c r="P1369" s="157">
        <f t="shared" ref="P1369:P1379" si="411">N1369/31</f>
        <v>0.12903225806451613</v>
      </c>
    </row>
    <row r="1370" spans="1:16" ht="13.5" customHeight="1">
      <c r="A1370" s="474"/>
      <c r="B1370" s="127">
        <v>8</v>
      </c>
      <c r="C1370" s="158">
        <v>3</v>
      </c>
      <c r="D1370" s="158">
        <v>6</v>
      </c>
      <c r="E1370" s="158">
        <v>0</v>
      </c>
      <c r="F1370" s="158">
        <v>0</v>
      </c>
      <c r="G1370" s="158">
        <v>0</v>
      </c>
      <c r="H1370" s="158">
        <v>0</v>
      </c>
      <c r="I1370" s="158">
        <v>0</v>
      </c>
      <c r="J1370" s="158">
        <v>0</v>
      </c>
      <c r="K1370" s="158">
        <v>0</v>
      </c>
      <c r="L1370" s="159">
        <v>0</v>
      </c>
      <c r="M1370" s="177">
        <f t="shared" si="407"/>
        <v>3</v>
      </c>
      <c r="N1370" s="158">
        <f t="shared" si="408"/>
        <v>6</v>
      </c>
      <c r="O1370" s="168">
        <f t="shared" si="410"/>
        <v>9.6774193548387094E-2</v>
      </c>
      <c r="P1370" s="157">
        <f t="shared" si="411"/>
        <v>0.19354838709677419</v>
      </c>
    </row>
    <row r="1371" spans="1:16" ht="13.5" customHeight="1">
      <c r="A1371" s="474"/>
      <c r="B1371" s="127">
        <v>9</v>
      </c>
      <c r="C1371" s="147">
        <v>1</v>
      </c>
      <c r="D1371" s="147">
        <v>1</v>
      </c>
      <c r="E1371" s="147">
        <v>0</v>
      </c>
      <c r="F1371" s="147">
        <v>0</v>
      </c>
      <c r="G1371" s="147">
        <v>0</v>
      </c>
      <c r="H1371" s="147">
        <v>0</v>
      </c>
      <c r="I1371" s="147">
        <v>0</v>
      </c>
      <c r="J1371" s="147">
        <v>0</v>
      </c>
      <c r="K1371" s="147">
        <v>0</v>
      </c>
      <c r="L1371" s="148">
        <v>0</v>
      </c>
      <c r="M1371" s="177">
        <f t="shared" si="407"/>
        <v>1</v>
      </c>
      <c r="N1371" s="158">
        <f t="shared" si="408"/>
        <v>1</v>
      </c>
      <c r="O1371" s="168">
        <f t="shared" si="410"/>
        <v>3.2258064516129031E-2</v>
      </c>
      <c r="P1371" s="157">
        <f t="shared" si="411"/>
        <v>3.2258064516129031E-2</v>
      </c>
    </row>
    <row r="1372" spans="1:16" ht="13.5" customHeight="1">
      <c r="A1372" s="474"/>
      <c r="B1372" s="127">
        <v>10</v>
      </c>
      <c r="C1372" s="147">
        <v>3</v>
      </c>
      <c r="D1372" s="147">
        <v>4</v>
      </c>
      <c r="E1372" s="147">
        <v>0</v>
      </c>
      <c r="F1372" s="181">
        <v>0</v>
      </c>
      <c r="G1372" s="147">
        <v>0</v>
      </c>
      <c r="H1372" s="147">
        <v>0</v>
      </c>
      <c r="I1372" s="147">
        <v>0</v>
      </c>
      <c r="J1372" s="147">
        <v>0</v>
      </c>
      <c r="K1372" s="147">
        <v>0</v>
      </c>
      <c r="L1372" s="148">
        <v>0</v>
      </c>
      <c r="M1372" s="154">
        <f t="shared" si="407"/>
        <v>3</v>
      </c>
      <c r="N1372" s="155">
        <f t="shared" si="408"/>
        <v>4</v>
      </c>
      <c r="O1372" s="168">
        <f t="shared" si="410"/>
        <v>9.6774193548387094E-2</v>
      </c>
      <c r="P1372" s="157">
        <f t="shared" si="411"/>
        <v>0.12903225806451613</v>
      </c>
    </row>
    <row r="1373" spans="1:16" ht="13.5" customHeight="1">
      <c r="A1373" s="474"/>
      <c r="B1373" s="127">
        <v>11</v>
      </c>
      <c r="C1373" s="367">
        <v>6</v>
      </c>
      <c r="D1373" s="367">
        <v>10</v>
      </c>
      <c r="E1373" s="367">
        <v>0</v>
      </c>
      <c r="F1373" s="367">
        <v>0</v>
      </c>
      <c r="G1373" s="367">
        <v>0</v>
      </c>
      <c r="H1373" s="367">
        <v>0</v>
      </c>
      <c r="I1373" s="367">
        <v>0</v>
      </c>
      <c r="J1373" s="367">
        <v>0</v>
      </c>
      <c r="K1373" s="367">
        <v>0</v>
      </c>
      <c r="L1373" s="368">
        <v>0</v>
      </c>
      <c r="M1373" s="154">
        <f t="shared" si="407"/>
        <v>6</v>
      </c>
      <c r="N1373" s="155">
        <f t="shared" si="408"/>
        <v>10</v>
      </c>
      <c r="O1373" s="168">
        <f t="shared" si="410"/>
        <v>0.19354838709677419</v>
      </c>
      <c r="P1373" s="157">
        <f t="shared" si="411"/>
        <v>0.32258064516129031</v>
      </c>
    </row>
    <row r="1374" spans="1:16" ht="13.5" customHeight="1" thickBot="1">
      <c r="A1374" s="475"/>
      <c r="B1374" s="127">
        <v>12</v>
      </c>
      <c r="C1374" s="187">
        <v>1</v>
      </c>
      <c r="D1374" s="187">
        <v>2</v>
      </c>
      <c r="E1374" s="187">
        <v>0</v>
      </c>
      <c r="F1374" s="188">
        <v>0</v>
      </c>
      <c r="G1374" s="187">
        <v>0</v>
      </c>
      <c r="H1374" s="187">
        <v>0</v>
      </c>
      <c r="I1374" s="187">
        <v>0</v>
      </c>
      <c r="J1374" s="187">
        <v>0</v>
      </c>
      <c r="K1374" s="187">
        <v>0</v>
      </c>
      <c r="L1374" s="189">
        <v>0</v>
      </c>
      <c r="M1374" s="154">
        <f t="shared" si="407"/>
        <v>1</v>
      </c>
      <c r="N1374" s="155">
        <f t="shared" si="408"/>
        <v>2</v>
      </c>
      <c r="O1374" s="168">
        <f t="shared" si="410"/>
        <v>3.2258064516129031E-2</v>
      </c>
      <c r="P1374" s="157">
        <f t="shared" si="411"/>
        <v>6.4516129032258063E-2</v>
      </c>
    </row>
    <row r="1375" spans="1:16" ht="13.5" customHeight="1">
      <c r="A1375" s="473">
        <v>2018</v>
      </c>
      <c r="B1375" s="410">
        <v>1</v>
      </c>
      <c r="C1375" s="158">
        <v>0</v>
      </c>
      <c r="D1375" s="158">
        <v>0</v>
      </c>
      <c r="E1375" s="158">
        <v>0</v>
      </c>
      <c r="F1375" s="169">
        <v>0</v>
      </c>
      <c r="G1375" s="158">
        <v>0</v>
      </c>
      <c r="H1375" s="158">
        <v>0</v>
      </c>
      <c r="I1375" s="158">
        <v>0</v>
      </c>
      <c r="J1375" s="158">
        <v>0</v>
      </c>
      <c r="K1375" s="158">
        <v>0</v>
      </c>
      <c r="L1375" s="159">
        <v>0</v>
      </c>
      <c r="M1375" s="424">
        <f t="shared" si="407"/>
        <v>0</v>
      </c>
      <c r="N1375" s="425">
        <f t="shared" si="408"/>
        <v>0</v>
      </c>
      <c r="O1375" s="430">
        <f t="shared" si="410"/>
        <v>0</v>
      </c>
      <c r="P1375" s="427">
        <f t="shared" si="411"/>
        <v>0</v>
      </c>
    </row>
    <row r="1376" spans="1:16" ht="13.5" customHeight="1">
      <c r="A1376" s="474"/>
      <c r="B1376" s="127">
        <v>2</v>
      </c>
      <c r="C1376" s="158">
        <v>0</v>
      </c>
      <c r="D1376" s="158">
        <v>0</v>
      </c>
      <c r="E1376" s="158">
        <v>0</v>
      </c>
      <c r="F1376" s="169">
        <v>0</v>
      </c>
      <c r="G1376" s="158">
        <v>0</v>
      </c>
      <c r="H1376" s="158">
        <v>0</v>
      </c>
      <c r="I1376" s="158">
        <v>0</v>
      </c>
      <c r="J1376" s="158">
        <v>0</v>
      </c>
      <c r="K1376" s="158">
        <v>0</v>
      </c>
      <c r="L1376" s="159">
        <v>0</v>
      </c>
      <c r="M1376" s="154">
        <f t="shared" si="407"/>
        <v>0</v>
      </c>
      <c r="N1376" s="155">
        <f t="shared" si="408"/>
        <v>0</v>
      </c>
      <c r="O1376" s="168">
        <f t="shared" si="410"/>
        <v>0</v>
      </c>
      <c r="P1376" s="157">
        <f t="shared" si="411"/>
        <v>0</v>
      </c>
    </row>
    <row r="1377" spans="1:16" ht="13.5" customHeight="1">
      <c r="A1377" s="474"/>
      <c r="B1377" s="127">
        <v>3</v>
      </c>
      <c r="C1377" s="158">
        <v>4</v>
      </c>
      <c r="D1377" s="158">
        <v>5</v>
      </c>
      <c r="E1377" s="158">
        <v>0</v>
      </c>
      <c r="F1377" s="169">
        <v>0</v>
      </c>
      <c r="G1377" s="158">
        <v>0</v>
      </c>
      <c r="H1377" s="158">
        <v>0</v>
      </c>
      <c r="I1377" s="158">
        <v>0</v>
      </c>
      <c r="J1377" s="158">
        <v>0</v>
      </c>
      <c r="K1377" s="158">
        <v>0</v>
      </c>
      <c r="L1377" s="159">
        <v>0</v>
      </c>
      <c r="M1377" s="154">
        <f t="shared" si="407"/>
        <v>4</v>
      </c>
      <c r="N1377" s="155">
        <f t="shared" si="408"/>
        <v>5</v>
      </c>
      <c r="O1377" s="168">
        <f t="shared" si="410"/>
        <v>0.12903225806451613</v>
      </c>
      <c r="P1377" s="157">
        <f t="shared" si="411"/>
        <v>0.16129032258064516</v>
      </c>
    </row>
    <row r="1378" spans="1:16" ht="13.5" customHeight="1">
      <c r="A1378" s="474"/>
      <c r="B1378" s="127">
        <v>4</v>
      </c>
      <c r="C1378" s="158">
        <v>5</v>
      </c>
      <c r="D1378" s="158">
        <v>2</v>
      </c>
      <c r="E1378" s="158">
        <v>0</v>
      </c>
      <c r="F1378" s="169">
        <v>0</v>
      </c>
      <c r="G1378" s="158">
        <v>0</v>
      </c>
      <c r="H1378" s="158">
        <v>0</v>
      </c>
      <c r="I1378" s="158">
        <v>0</v>
      </c>
      <c r="J1378" s="158">
        <v>0</v>
      </c>
      <c r="K1378" s="158">
        <v>0</v>
      </c>
      <c r="L1378" s="159">
        <v>0</v>
      </c>
      <c r="M1378" s="154">
        <f t="shared" si="407"/>
        <v>5</v>
      </c>
      <c r="N1378" s="155">
        <f t="shared" si="408"/>
        <v>2</v>
      </c>
      <c r="O1378" s="168">
        <f t="shared" si="410"/>
        <v>0.16129032258064516</v>
      </c>
      <c r="P1378" s="157">
        <f t="shared" si="411"/>
        <v>6.4516129032258063E-2</v>
      </c>
    </row>
    <row r="1379" spans="1:16" ht="13.5" customHeight="1">
      <c r="A1379" s="474"/>
      <c r="B1379" s="127">
        <v>5</v>
      </c>
      <c r="C1379" s="158">
        <v>0</v>
      </c>
      <c r="D1379" s="158">
        <v>6</v>
      </c>
      <c r="E1379" s="158">
        <v>0</v>
      </c>
      <c r="F1379" s="169">
        <v>0</v>
      </c>
      <c r="G1379" s="158">
        <v>0</v>
      </c>
      <c r="H1379" s="158">
        <v>0</v>
      </c>
      <c r="I1379" s="158">
        <v>0</v>
      </c>
      <c r="J1379" s="158">
        <v>0</v>
      </c>
      <c r="K1379" s="158">
        <v>0</v>
      </c>
      <c r="L1379" s="159">
        <v>0</v>
      </c>
      <c r="M1379" s="154">
        <f t="shared" si="407"/>
        <v>0</v>
      </c>
      <c r="N1379" s="155">
        <f t="shared" si="408"/>
        <v>6</v>
      </c>
      <c r="O1379" s="168">
        <f t="shared" si="410"/>
        <v>0</v>
      </c>
      <c r="P1379" s="157">
        <f t="shared" si="411"/>
        <v>0.19354838709677419</v>
      </c>
    </row>
    <row r="1380" spans="1:16" ht="13.5" customHeight="1">
      <c r="A1380" s="474"/>
      <c r="B1380" s="127">
        <v>6</v>
      </c>
      <c r="C1380" s="158">
        <v>3</v>
      </c>
      <c r="D1380" s="158">
        <v>2</v>
      </c>
      <c r="E1380" s="158">
        <v>0</v>
      </c>
      <c r="F1380" s="169">
        <v>0</v>
      </c>
      <c r="G1380" s="158">
        <v>0</v>
      </c>
      <c r="H1380" s="158">
        <v>0</v>
      </c>
      <c r="I1380" s="158">
        <v>0</v>
      </c>
      <c r="J1380" s="158">
        <v>0</v>
      </c>
      <c r="K1380" s="158">
        <v>0</v>
      </c>
      <c r="L1380" s="159">
        <v>0</v>
      </c>
      <c r="M1380" s="154">
        <f t="shared" si="407"/>
        <v>3</v>
      </c>
      <c r="N1380" s="155">
        <f t="shared" si="408"/>
        <v>2</v>
      </c>
      <c r="O1380" s="168">
        <f>M1380/30</f>
        <v>0.1</v>
      </c>
      <c r="P1380" s="157">
        <f>N1380/30</f>
        <v>6.6666666666666666E-2</v>
      </c>
    </row>
    <row r="1381" spans="1:16" ht="13.5" customHeight="1">
      <c r="A1381" s="474"/>
      <c r="B1381" s="127">
        <v>7</v>
      </c>
      <c r="C1381" s="158">
        <v>4</v>
      </c>
      <c r="D1381" s="158">
        <v>5</v>
      </c>
      <c r="E1381" s="158">
        <v>0</v>
      </c>
      <c r="F1381" s="158">
        <v>0</v>
      </c>
      <c r="G1381" s="158">
        <v>0</v>
      </c>
      <c r="H1381" s="158">
        <v>0</v>
      </c>
      <c r="I1381" s="158">
        <v>0</v>
      </c>
      <c r="J1381" s="158">
        <v>0</v>
      </c>
      <c r="K1381" s="158">
        <v>0</v>
      </c>
      <c r="L1381" s="158">
        <v>0</v>
      </c>
      <c r="M1381" s="154">
        <f t="shared" si="407"/>
        <v>4</v>
      </c>
      <c r="N1381" s="155">
        <f t="shared" si="408"/>
        <v>5</v>
      </c>
      <c r="O1381" s="168">
        <f t="shared" ref="O1381:P1403" si="412">M1381/31</f>
        <v>0.12903225806451613</v>
      </c>
      <c r="P1381" s="157">
        <f t="shared" si="412"/>
        <v>0.16129032258064516</v>
      </c>
    </row>
    <row r="1382" spans="1:16" ht="13.5" customHeight="1">
      <c r="A1382" s="474"/>
      <c r="B1382" s="127">
        <v>8</v>
      </c>
      <c r="C1382" s="158">
        <v>3</v>
      </c>
      <c r="D1382" s="158">
        <v>6</v>
      </c>
      <c r="E1382" s="158">
        <v>0</v>
      </c>
      <c r="F1382" s="158">
        <v>0</v>
      </c>
      <c r="G1382" s="158">
        <v>0</v>
      </c>
      <c r="H1382" s="158">
        <v>0</v>
      </c>
      <c r="I1382" s="158">
        <v>0</v>
      </c>
      <c r="J1382" s="158">
        <v>0</v>
      </c>
      <c r="K1382" s="158">
        <v>0</v>
      </c>
      <c r="L1382" s="159">
        <v>0</v>
      </c>
      <c r="M1382" s="177">
        <f t="shared" si="407"/>
        <v>3</v>
      </c>
      <c r="N1382" s="158">
        <f t="shared" si="408"/>
        <v>6</v>
      </c>
      <c r="O1382" s="168">
        <f t="shared" si="412"/>
        <v>9.6774193548387094E-2</v>
      </c>
      <c r="P1382" s="157">
        <f t="shared" si="412"/>
        <v>0.19354838709677419</v>
      </c>
    </row>
    <row r="1383" spans="1:16" ht="13.5" customHeight="1">
      <c r="A1383" s="474"/>
      <c r="B1383" s="127">
        <v>9</v>
      </c>
      <c r="C1383" s="147">
        <v>3</v>
      </c>
      <c r="D1383" s="147">
        <v>6</v>
      </c>
      <c r="E1383" s="147">
        <v>0</v>
      </c>
      <c r="F1383" s="147">
        <v>0</v>
      </c>
      <c r="G1383" s="147">
        <v>0</v>
      </c>
      <c r="H1383" s="147">
        <v>0</v>
      </c>
      <c r="I1383" s="147">
        <v>0</v>
      </c>
      <c r="J1383" s="147">
        <v>0</v>
      </c>
      <c r="K1383" s="147">
        <v>0</v>
      </c>
      <c r="L1383" s="148">
        <v>0</v>
      </c>
      <c r="M1383" s="177">
        <f t="shared" si="407"/>
        <v>3</v>
      </c>
      <c r="N1383" s="158">
        <f t="shared" si="408"/>
        <v>6</v>
      </c>
      <c r="O1383" s="168">
        <f t="shared" si="412"/>
        <v>9.6774193548387094E-2</v>
      </c>
      <c r="P1383" s="157">
        <f t="shared" si="412"/>
        <v>0.19354838709677419</v>
      </c>
    </row>
    <row r="1384" spans="1:16" ht="13.5" customHeight="1">
      <c r="A1384" s="474"/>
      <c r="B1384" s="127">
        <v>10</v>
      </c>
      <c r="C1384" s="147">
        <v>4</v>
      </c>
      <c r="D1384" s="147">
        <v>6</v>
      </c>
      <c r="E1384" s="147">
        <v>0</v>
      </c>
      <c r="F1384" s="181">
        <v>0</v>
      </c>
      <c r="G1384" s="147">
        <v>0</v>
      </c>
      <c r="H1384" s="147">
        <v>0</v>
      </c>
      <c r="I1384" s="147">
        <v>0</v>
      </c>
      <c r="J1384" s="147">
        <v>0</v>
      </c>
      <c r="K1384" s="147">
        <v>0</v>
      </c>
      <c r="L1384" s="148">
        <v>0</v>
      </c>
      <c r="M1384" s="154">
        <f t="shared" si="407"/>
        <v>4</v>
      </c>
      <c r="N1384" s="155">
        <f t="shared" si="408"/>
        <v>6</v>
      </c>
      <c r="O1384" s="168">
        <f t="shared" si="412"/>
        <v>0.12903225806451613</v>
      </c>
      <c r="P1384" s="157">
        <f t="shared" si="412"/>
        <v>0.19354838709677419</v>
      </c>
    </row>
    <row r="1385" spans="1:16" ht="13.5" customHeight="1">
      <c r="A1385" s="474"/>
      <c r="B1385" s="127">
        <v>11</v>
      </c>
      <c r="C1385" s="367">
        <v>6</v>
      </c>
      <c r="D1385" s="367">
        <v>10</v>
      </c>
      <c r="E1385" s="367">
        <v>0</v>
      </c>
      <c r="F1385" s="367">
        <v>0</v>
      </c>
      <c r="G1385" s="367">
        <v>0</v>
      </c>
      <c r="H1385" s="367">
        <v>0</v>
      </c>
      <c r="I1385" s="367">
        <v>0</v>
      </c>
      <c r="J1385" s="367">
        <v>0</v>
      </c>
      <c r="K1385" s="367">
        <v>0</v>
      </c>
      <c r="L1385" s="368">
        <v>0</v>
      </c>
      <c r="M1385" s="154">
        <f t="shared" si="407"/>
        <v>6</v>
      </c>
      <c r="N1385" s="155">
        <f t="shared" si="408"/>
        <v>10</v>
      </c>
      <c r="O1385" s="168">
        <f t="shared" si="412"/>
        <v>0.19354838709677419</v>
      </c>
      <c r="P1385" s="157">
        <f t="shared" si="412"/>
        <v>0.32258064516129031</v>
      </c>
    </row>
    <row r="1386" spans="1:16" ht="13.5" customHeight="1" thickBot="1">
      <c r="A1386" s="475"/>
      <c r="B1386" s="127">
        <v>12</v>
      </c>
      <c r="C1386" s="187">
        <v>2</v>
      </c>
      <c r="D1386" s="187">
        <v>2</v>
      </c>
      <c r="E1386" s="187">
        <v>0</v>
      </c>
      <c r="F1386" s="188">
        <v>0</v>
      </c>
      <c r="G1386" s="187">
        <v>0</v>
      </c>
      <c r="H1386" s="187">
        <v>0</v>
      </c>
      <c r="I1386" s="187">
        <v>0</v>
      </c>
      <c r="J1386" s="187">
        <v>0</v>
      </c>
      <c r="K1386" s="187">
        <v>0</v>
      </c>
      <c r="L1386" s="189">
        <v>0</v>
      </c>
      <c r="M1386" s="154">
        <f t="shared" si="407"/>
        <v>2</v>
      </c>
      <c r="N1386" s="155">
        <f t="shared" si="408"/>
        <v>2</v>
      </c>
      <c r="O1386" s="168">
        <f t="shared" si="412"/>
        <v>6.4516129032258063E-2</v>
      </c>
      <c r="P1386" s="157">
        <f t="shared" si="412"/>
        <v>6.4516129032258063E-2</v>
      </c>
    </row>
    <row r="1387" spans="1:16" ht="13.5" customHeight="1">
      <c r="A1387" s="473">
        <v>2019</v>
      </c>
      <c r="B1387" s="410">
        <v>1</v>
      </c>
      <c r="C1387" s="158">
        <v>2</v>
      </c>
      <c r="D1387" s="158">
        <v>3</v>
      </c>
      <c r="E1387" s="158">
        <v>0</v>
      </c>
      <c r="F1387" s="169">
        <v>0</v>
      </c>
      <c r="G1387" s="158">
        <v>0</v>
      </c>
      <c r="H1387" s="158">
        <v>0</v>
      </c>
      <c r="I1387" s="158">
        <v>0</v>
      </c>
      <c r="J1387" s="158">
        <v>0</v>
      </c>
      <c r="K1387" s="158">
        <v>0</v>
      </c>
      <c r="L1387" s="159">
        <v>0</v>
      </c>
      <c r="M1387" s="424">
        <f t="shared" si="407"/>
        <v>2</v>
      </c>
      <c r="N1387" s="425">
        <f t="shared" si="408"/>
        <v>3</v>
      </c>
      <c r="O1387" s="430">
        <f t="shared" ref="O1387:O1391" si="413">M1387/31</f>
        <v>6.4516129032258063E-2</v>
      </c>
      <c r="P1387" s="427">
        <f t="shared" ref="P1387:P1391" si="414">N1387/31</f>
        <v>9.6774193548387094E-2</v>
      </c>
    </row>
    <row r="1388" spans="1:16" ht="13.5" customHeight="1">
      <c r="A1388" s="474"/>
      <c r="B1388" s="127">
        <v>2</v>
      </c>
      <c r="C1388" s="158">
        <v>0</v>
      </c>
      <c r="D1388" s="158">
        <v>0</v>
      </c>
      <c r="E1388" s="158">
        <v>0</v>
      </c>
      <c r="F1388" s="169">
        <v>0</v>
      </c>
      <c r="G1388" s="158">
        <v>0</v>
      </c>
      <c r="H1388" s="158">
        <v>0</v>
      </c>
      <c r="I1388" s="158">
        <v>0</v>
      </c>
      <c r="J1388" s="158">
        <v>0</v>
      </c>
      <c r="K1388" s="158">
        <v>0</v>
      </c>
      <c r="L1388" s="159">
        <v>0</v>
      </c>
      <c r="M1388" s="154">
        <f t="shared" si="407"/>
        <v>0</v>
      </c>
      <c r="N1388" s="155">
        <f t="shared" si="408"/>
        <v>0</v>
      </c>
      <c r="O1388" s="168">
        <f t="shared" si="413"/>
        <v>0</v>
      </c>
      <c r="P1388" s="157">
        <f t="shared" si="414"/>
        <v>0</v>
      </c>
    </row>
    <row r="1389" spans="1:16" ht="13.5" customHeight="1">
      <c r="A1389" s="474"/>
      <c r="B1389" s="127">
        <v>3</v>
      </c>
      <c r="C1389" s="158">
        <v>3</v>
      </c>
      <c r="D1389" s="158">
        <v>1</v>
      </c>
      <c r="E1389" s="158">
        <v>0</v>
      </c>
      <c r="F1389" s="169">
        <v>0</v>
      </c>
      <c r="G1389" s="158">
        <v>0</v>
      </c>
      <c r="H1389" s="158">
        <v>0</v>
      </c>
      <c r="I1389" s="158">
        <v>0</v>
      </c>
      <c r="J1389" s="158">
        <v>0</v>
      </c>
      <c r="K1389" s="158">
        <v>0</v>
      </c>
      <c r="L1389" s="159">
        <v>0</v>
      </c>
      <c r="M1389" s="154">
        <f t="shared" si="407"/>
        <v>3</v>
      </c>
      <c r="N1389" s="155">
        <f t="shared" si="408"/>
        <v>1</v>
      </c>
      <c r="O1389" s="168">
        <f t="shared" si="413"/>
        <v>9.6774193548387094E-2</v>
      </c>
      <c r="P1389" s="157">
        <f t="shared" si="414"/>
        <v>3.2258064516129031E-2</v>
      </c>
    </row>
    <row r="1390" spans="1:16" ht="13.5" customHeight="1">
      <c r="A1390" s="474"/>
      <c r="B1390" s="127">
        <v>4</v>
      </c>
      <c r="C1390" s="158">
        <v>0</v>
      </c>
      <c r="D1390" s="158">
        <v>3</v>
      </c>
      <c r="E1390" s="158">
        <v>0</v>
      </c>
      <c r="F1390" s="169">
        <v>0</v>
      </c>
      <c r="G1390" s="158">
        <v>0</v>
      </c>
      <c r="H1390" s="158">
        <v>0</v>
      </c>
      <c r="I1390" s="158">
        <v>0</v>
      </c>
      <c r="J1390" s="158">
        <v>0</v>
      </c>
      <c r="K1390" s="158">
        <v>0</v>
      </c>
      <c r="L1390" s="159">
        <v>0</v>
      </c>
      <c r="M1390" s="154">
        <f t="shared" si="407"/>
        <v>0</v>
      </c>
      <c r="N1390" s="155">
        <f t="shared" si="408"/>
        <v>3</v>
      </c>
      <c r="O1390" s="168">
        <f t="shared" si="413"/>
        <v>0</v>
      </c>
      <c r="P1390" s="157">
        <f t="shared" si="414"/>
        <v>9.6774193548387094E-2</v>
      </c>
    </row>
    <row r="1391" spans="1:16" ht="13.5" customHeight="1">
      <c r="A1391" s="474"/>
      <c r="B1391" s="127">
        <v>5</v>
      </c>
      <c r="C1391" s="158">
        <v>0</v>
      </c>
      <c r="D1391" s="158">
        <v>0</v>
      </c>
      <c r="E1391" s="158">
        <v>0</v>
      </c>
      <c r="F1391" s="169">
        <v>0</v>
      </c>
      <c r="G1391" s="158">
        <v>0</v>
      </c>
      <c r="H1391" s="158">
        <v>0</v>
      </c>
      <c r="I1391" s="158">
        <v>0</v>
      </c>
      <c r="J1391" s="158">
        <v>0</v>
      </c>
      <c r="K1391" s="158">
        <v>0</v>
      </c>
      <c r="L1391" s="159">
        <v>0</v>
      </c>
      <c r="M1391" s="154">
        <f t="shared" si="407"/>
        <v>0</v>
      </c>
      <c r="N1391" s="155">
        <f t="shared" si="408"/>
        <v>0</v>
      </c>
      <c r="O1391" s="168">
        <f t="shared" si="413"/>
        <v>0</v>
      </c>
      <c r="P1391" s="157">
        <f t="shared" si="414"/>
        <v>0</v>
      </c>
    </row>
    <row r="1392" spans="1:16" ht="13.5" customHeight="1">
      <c r="A1392" s="474"/>
      <c r="B1392" s="127">
        <v>6</v>
      </c>
      <c r="C1392" s="158">
        <v>2</v>
      </c>
      <c r="D1392" s="158">
        <v>0</v>
      </c>
      <c r="E1392" s="158">
        <v>0</v>
      </c>
      <c r="F1392" s="169">
        <v>0</v>
      </c>
      <c r="G1392" s="158">
        <v>0</v>
      </c>
      <c r="H1392" s="158">
        <v>0</v>
      </c>
      <c r="I1392" s="158">
        <v>0</v>
      </c>
      <c r="J1392" s="158">
        <v>0</v>
      </c>
      <c r="K1392" s="158">
        <v>0</v>
      </c>
      <c r="L1392" s="159">
        <v>0</v>
      </c>
      <c r="M1392" s="154">
        <f t="shared" si="407"/>
        <v>2</v>
      </c>
      <c r="N1392" s="155">
        <f t="shared" si="408"/>
        <v>0</v>
      </c>
      <c r="O1392" s="168">
        <f>M1392/30</f>
        <v>6.6666666666666666E-2</v>
      </c>
      <c r="P1392" s="157">
        <f>N1392/30</f>
        <v>0</v>
      </c>
    </row>
    <row r="1393" spans="1:16" ht="13.5" customHeight="1">
      <c r="A1393" s="474"/>
      <c r="B1393" s="127">
        <v>7</v>
      </c>
      <c r="C1393" s="158">
        <v>4</v>
      </c>
      <c r="D1393" s="158">
        <v>5</v>
      </c>
      <c r="E1393" s="158">
        <v>0</v>
      </c>
      <c r="F1393" s="158">
        <v>0</v>
      </c>
      <c r="G1393" s="158">
        <v>0</v>
      </c>
      <c r="H1393" s="158">
        <v>0</v>
      </c>
      <c r="I1393" s="158">
        <v>0</v>
      </c>
      <c r="J1393" s="158">
        <v>0</v>
      </c>
      <c r="K1393" s="158">
        <v>0</v>
      </c>
      <c r="L1393" s="158">
        <v>0</v>
      </c>
      <c r="M1393" s="154">
        <f t="shared" si="407"/>
        <v>4</v>
      </c>
      <c r="N1393" s="155">
        <f t="shared" si="408"/>
        <v>5</v>
      </c>
      <c r="O1393" s="168">
        <f t="shared" ref="O1393:O1394" si="415">M1393/31</f>
        <v>0.12903225806451613</v>
      </c>
      <c r="P1393" s="157">
        <f t="shared" ref="P1393:P1394" si="416">N1393/31</f>
        <v>0.16129032258064516</v>
      </c>
    </row>
    <row r="1394" spans="1:16" ht="13.5" customHeight="1">
      <c r="A1394" s="474"/>
      <c r="B1394" s="127">
        <v>8</v>
      </c>
      <c r="C1394" s="158">
        <v>2</v>
      </c>
      <c r="D1394" s="158">
        <v>5</v>
      </c>
      <c r="E1394" s="158">
        <v>0</v>
      </c>
      <c r="F1394" s="158">
        <v>0</v>
      </c>
      <c r="G1394" s="158">
        <v>0</v>
      </c>
      <c r="H1394" s="158">
        <v>0</v>
      </c>
      <c r="I1394" s="158">
        <v>0</v>
      </c>
      <c r="J1394" s="158">
        <v>0</v>
      </c>
      <c r="K1394" s="158">
        <v>0</v>
      </c>
      <c r="L1394" s="159">
        <v>0</v>
      </c>
      <c r="M1394" s="177">
        <f t="shared" si="407"/>
        <v>2</v>
      </c>
      <c r="N1394" s="158">
        <f t="shared" si="408"/>
        <v>5</v>
      </c>
      <c r="O1394" s="168">
        <f t="shared" si="415"/>
        <v>6.4516129032258063E-2</v>
      </c>
      <c r="P1394" s="157">
        <f t="shared" si="416"/>
        <v>0.16129032258064516</v>
      </c>
    </row>
    <row r="1395" spans="1:16" ht="13.5" customHeight="1">
      <c r="A1395" s="474"/>
      <c r="B1395" s="127">
        <v>9</v>
      </c>
      <c r="C1395" s="147">
        <v>2</v>
      </c>
      <c r="D1395" s="147">
        <v>3</v>
      </c>
      <c r="E1395" s="147">
        <v>0</v>
      </c>
      <c r="F1395" s="147">
        <v>0</v>
      </c>
      <c r="G1395" s="147">
        <v>1</v>
      </c>
      <c r="H1395" s="147">
        <v>0</v>
      </c>
      <c r="I1395" s="147">
        <v>0</v>
      </c>
      <c r="J1395" s="147">
        <v>0</v>
      </c>
      <c r="K1395" s="147">
        <v>0</v>
      </c>
      <c r="L1395" s="148">
        <v>0</v>
      </c>
      <c r="M1395" s="177">
        <v>3</v>
      </c>
      <c r="N1395" s="158">
        <v>3</v>
      </c>
      <c r="O1395" s="168">
        <v>9.6774193548387094E-2</v>
      </c>
      <c r="P1395" s="157">
        <v>9.6774193548387094E-2</v>
      </c>
    </row>
    <row r="1396" spans="1:16" ht="13.5" customHeight="1">
      <c r="A1396" s="474"/>
      <c r="B1396" s="127">
        <v>10</v>
      </c>
      <c r="C1396" s="147">
        <v>1</v>
      </c>
      <c r="D1396" s="147">
        <v>1</v>
      </c>
      <c r="E1396" s="147">
        <v>0</v>
      </c>
      <c r="F1396" s="181">
        <v>0</v>
      </c>
      <c r="G1396" s="147">
        <v>0</v>
      </c>
      <c r="H1396" s="147">
        <v>0</v>
      </c>
      <c r="I1396" s="147">
        <v>0</v>
      </c>
      <c r="J1396" s="147">
        <v>0</v>
      </c>
      <c r="K1396" s="147">
        <v>0</v>
      </c>
      <c r="L1396" s="148">
        <v>0</v>
      </c>
      <c r="M1396" s="154">
        <f t="shared" ref="M1396:M1398" si="417">+C1396+E1396+G1396+I1396+K1396</f>
        <v>1</v>
      </c>
      <c r="N1396" s="155">
        <f t="shared" ref="N1396:N1398" si="418">+D1396+F1396+H1396+J1396+L1396</f>
        <v>1</v>
      </c>
      <c r="O1396" s="168">
        <f t="shared" ref="O1396:O1398" si="419">M1396/31</f>
        <v>3.2258064516129031E-2</v>
      </c>
      <c r="P1396" s="157">
        <f t="shared" ref="P1396:P1398" si="420">N1396/31</f>
        <v>3.2258064516129031E-2</v>
      </c>
    </row>
    <row r="1397" spans="1:16" ht="13.5" customHeight="1">
      <c r="A1397" s="474"/>
      <c r="B1397" s="127">
        <v>11</v>
      </c>
      <c r="C1397" s="367">
        <v>0</v>
      </c>
      <c r="D1397" s="367">
        <v>4</v>
      </c>
      <c r="E1397" s="367">
        <v>0</v>
      </c>
      <c r="F1397" s="367">
        <v>0</v>
      </c>
      <c r="G1397" s="367">
        <v>0</v>
      </c>
      <c r="H1397" s="367">
        <v>0</v>
      </c>
      <c r="I1397" s="367">
        <v>0</v>
      </c>
      <c r="J1397" s="367">
        <v>0</v>
      </c>
      <c r="K1397" s="367">
        <v>0</v>
      </c>
      <c r="L1397" s="368">
        <v>0</v>
      </c>
      <c r="M1397" s="154">
        <f t="shared" si="417"/>
        <v>0</v>
      </c>
      <c r="N1397" s="155">
        <f t="shared" si="418"/>
        <v>4</v>
      </c>
      <c r="O1397" s="168">
        <f t="shared" si="419"/>
        <v>0</v>
      </c>
      <c r="P1397" s="157">
        <f t="shared" si="420"/>
        <v>0.12903225806451613</v>
      </c>
    </row>
    <row r="1398" spans="1:16" ht="13.5" customHeight="1" thickBot="1">
      <c r="A1398" s="475"/>
      <c r="B1398" s="127">
        <v>12</v>
      </c>
      <c r="C1398" s="187">
        <v>1</v>
      </c>
      <c r="D1398" s="187">
        <v>0</v>
      </c>
      <c r="E1398" s="187">
        <v>0</v>
      </c>
      <c r="F1398" s="188">
        <v>0</v>
      </c>
      <c r="G1398" s="187">
        <v>0</v>
      </c>
      <c r="H1398" s="187">
        <v>0</v>
      </c>
      <c r="I1398" s="187">
        <v>0</v>
      </c>
      <c r="J1398" s="187">
        <v>0</v>
      </c>
      <c r="K1398" s="187">
        <v>0</v>
      </c>
      <c r="L1398" s="189">
        <v>0</v>
      </c>
      <c r="M1398" s="154">
        <f t="shared" si="417"/>
        <v>1</v>
      </c>
      <c r="N1398" s="155">
        <f t="shared" si="418"/>
        <v>0</v>
      </c>
      <c r="O1398" s="168">
        <f t="shared" si="419"/>
        <v>3.2258064516129031E-2</v>
      </c>
      <c r="P1398" s="157">
        <f t="shared" si="420"/>
        <v>0</v>
      </c>
    </row>
    <row r="1399" spans="1:16" ht="13.5" customHeight="1">
      <c r="A1399" s="473">
        <v>2020</v>
      </c>
      <c r="B1399" s="410">
        <v>1</v>
      </c>
      <c r="C1399" s="158">
        <v>0</v>
      </c>
      <c r="D1399" s="158">
        <v>2</v>
      </c>
      <c r="E1399" s="158">
        <v>0</v>
      </c>
      <c r="F1399" s="169">
        <v>0</v>
      </c>
      <c r="G1399" s="158">
        <v>0</v>
      </c>
      <c r="H1399" s="158">
        <v>0</v>
      </c>
      <c r="I1399" s="158">
        <v>0</v>
      </c>
      <c r="J1399" s="158">
        <v>0</v>
      </c>
      <c r="K1399" s="158">
        <v>0</v>
      </c>
      <c r="L1399" s="159">
        <v>0</v>
      </c>
      <c r="M1399" s="424">
        <f t="shared" ref="M1399:M1410" si="421">+C1399+E1399+G1399+I1399+K1399</f>
        <v>0</v>
      </c>
      <c r="N1399" s="425">
        <f t="shared" ref="N1399:N1410" si="422">+D1399+F1399+H1399+J1399+L1399</f>
        <v>2</v>
      </c>
      <c r="O1399" s="430">
        <f t="shared" si="412"/>
        <v>0</v>
      </c>
      <c r="P1399" s="427">
        <f t="shared" si="412"/>
        <v>6.4516129032258063E-2</v>
      </c>
    </row>
    <row r="1400" spans="1:16" ht="13.5" customHeight="1">
      <c r="A1400" s="474"/>
      <c r="B1400" s="127">
        <v>2</v>
      </c>
      <c r="C1400" s="158">
        <v>0</v>
      </c>
      <c r="D1400" s="158">
        <v>0</v>
      </c>
      <c r="E1400" s="158">
        <v>0</v>
      </c>
      <c r="F1400" s="169">
        <v>0</v>
      </c>
      <c r="G1400" s="158">
        <v>0</v>
      </c>
      <c r="H1400" s="158">
        <v>0</v>
      </c>
      <c r="I1400" s="158">
        <v>0</v>
      </c>
      <c r="J1400" s="158">
        <v>0</v>
      </c>
      <c r="K1400" s="158">
        <v>0</v>
      </c>
      <c r="L1400" s="159">
        <v>0</v>
      </c>
      <c r="M1400" s="154">
        <f t="shared" si="421"/>
        <v>0</v>
      </c>
      <c r="N1400" s="155">
        <f t="shared" si="422"/>
        <v>0</v>
      </c>
      <c r="O1400" s="168">
        <f t="shared" si="412"/>
        <v>0</v>
      </c>
      <c r="P1400" s="157">
        <f t="shared" si="412"/>
        <v>0</v>
      </c>
    </row>
    <row r="1401" spans="1:16" ht="13.5" customHeight="1">
      <c r="A1401" s="474"/>
      <c r="B1401" s="127">
        <v>3</v>
      </c>
      <c r="C1401" s="158">
        <v>0</v>
      </c>
      <c r="D1401" s="158">
        <v>0</v>
      </c>
      <c r="E1401" s="158">
        <v>0</v>
      </c>
      <c r="F1401" s="169">
        <v>0</v>
      </c>
      <c r="G1401" s="158">
        <v>0</v>
      </c>
      <c r="H1401" s="158">
        <v>0</v>
      </c>
      <c r="I1401" s="158">
        <v>0</v>
      </c>
      <c r="J1401" s="158">
        <v>0</v>
      </c>
      <c r="K1401" s="158">
        <v>0</v>
      </c>
      <c r="L1401" s="159">
        <v>0</v>
      </c>
      <c r="M1401" s="154">
        <f t="shared" si="421"/>
        <v>0</v>
      </c>
      <c r="N1401" s="155">
        <f t="shared" si="422"/>
        <v>0</v>
      </c>
      <c r="O1401" s="168">
        <f t="shared" si="412"/>
        <v>0</v>
      </c>
      <c r="P1401" s="157">
        <f t="shared" si="412"/>
        <v>0</v>
      </c>
    </row>
    <row r="1402" spans="1:16" ht="13.5" customHeight="1">
      <c r="A1402" s="474"/>
      <c r="B1402" s="127">
        <v>4</v>
      </c>
      <c r="C1402" s="158">
        <v>0</v>
      </c>
      <c r="D1402" s="158">
        <v>0</v>
      </c>
      <c r="E1402" s="158">
        <v>0</v>
      </c>
      <c r="F1402" s="169">
        <v>0</v>
      </c>
      <c r="G1402" s="158">
        <v>0</v>
      </c>
      <c r="H1402" s="158">
        <v>0</v>
      </c>
      <c r="I1402" s="158">
        <v>0</v>
      </c>
      <c r="J1402" s="158">
        <v>0</v>
      </c>
      <c r="K1402" s="158">
        <v>0</v>
      </c>
      <c r="L1402" s="159">
        <v>0</v>
      </c>
      <c r="M1402" s="154">
        <f t="shared" si="421"/>
        <v>0</v>
      </c>
      <c r="N1402" s="155">
        <f t="shared" si="422"/>
        <v>0</v>
      </c>
      <c r="O1402" s="168">
        <f t="shared" si="412"/>
        <v>0</v>
      </c>
      <c r="P1402" s="157">
        <f t="shared" si="412"/>
        <v>0</v>
      </c>
    </row>
    <row r="1403" spans="1:16" ht="13.5" customHeight="1">
      <c r="A1403" s="474"/>
      <c r="B1403" s="127">
        <v>5</v>
      </c>
      <c r="C1403" s="158">
        <v>0</v>
      </c>
      <c r="D1403" s="158">
        <v>0</v>
      </c>
      <c r="E1403" s="158">
        <v>0</v>
      </c>
      <c r="F1403" s="169">
        <v>0</v>
      </c>
      <c r="G1403" s="158">
        <v>0</v>
      </c>
      <c r="H1403" s="158">
        <v>0</v>
      </c>
      <c r="I1403" s="158">
        <v>0</v>
      </c>
      <c r="J1403" s="158">
        <v>0</v>
      </c>
      <c r="K1403" s="158">
        <v>0</v>
      </c>
      <c r="L1403" s="159">
        <v>0</v>
      </c>
      <c r="M1403" s="154">
        <f t="shared" si="421"/>
        <v>0</v>
      </c>
      <c r="N1403" s="155">
        <f t="shared" si="422"/>
        <v>0</v>
      </c>
      <c r="O1403" s="168">
        <f t="shared" si="412"/>
        <v>0</v>
      </c>
      <c r="P1403" s="157">
        <f t="shared" si="412"/>
        <v>0</v>
      </c>
    </row>
    <row r="1404" spans="1:16" ht="13.5" customHeight="1">
      <c r="A1404" s="474"/>
      <c r="B1404" s="127">
        <v>6</v>
      </c>
      <c r="C1404" s="158">
        <f>集計用!C74</f>
        <v>0</v>
      </c>
      <c r="D1404" s="158">
        <f>集計用!S74</f>
        <v>0</v>
      </c>
      <c r="E1404" s="158">
        <f>集計用!E74</f>
        <v>0</v>
      </c>
      <c r="F1404" s="169">
        <f>集計用!U74</f>
        <v>0</v>
      </c>
      <c r="G1404" s="158">
        <f>集計用!G74</f>
        <v>0</v>
      </c>
      <c r="H1404" s="158">
        <f>集計用!W74</f>
        <v>0</v>
      </c>
      <c r="I1404" s="158">
        <f>集計用!I74</f>
        <v>0</v>
      </c>
      <c r="J1404" s="158">
        <f>集計用!Y74</f>
        <v>0</v>
      </c>
      <c r="K1404" s="158">
        <f>集計用!K74</f>
        <v>0</v>
      </c>
      <c r="L1404" s="159">
        <f>集計用!AA74</f>
        <v>0</v>
      </c>
      <c r="M1404" s="154">
        <f t="shared" si="421"/>
        <v>0</v>
      </c>
      <c r="N1404" s="155">
        <f t="shared" si="422"/>
        <v>0</v>
      </c>
      <c r="O1404" s="168">
        <f>M1404/30</f>
        <v>0</v>
      </c>
      <c r="P1404" s="157">
        <f>N1404/30</f>
        <v>0</v>
      </c>
    </row>
    <row r="1405" spans="1:16" ht="13.5" customHeight="1">
      <c r="A1405" s="474"/>
      <c r="B1405" s="127">
        <v>7</v>
      </c>
      <c r="C1405" s="158"/>
      <c r="D1405" s="158"/>
      <c r="E1405" s="158"/>
      <c r="F1405" s="158"/>
      <c r="G1405" s="158"/>
      <c r="H1405" s="158"/>
      <c r="I1405" s="158"/>
      <c r="J1405" s="158"/>
      <c r="K1405" s="158"/>
      <c r="L1405" s="158"/>
      <c r="M1405" s="154">
        <f t="shared" si="421"/>
        <v>0</v>
      </c>
      <c r="N1405" s="155">
        <f t="shared" si="422"/>
        <v>0</v>
      </c>
      <c r="O1405" s="168">
        <f t="shared" ref="O1405:O1410" si="423">M1405/31</f>
        <v>0</v>
      </c>
      <c r="P1405" s="157">
        <f t="shared" ref="P1405:P1410" si="424">N1405/31</f>
        <v>0</v>
      </c>
    </row>
    <row r="1406" spans="1:16" ht="13.5" customHeight="1">
      <c r="A1406" s="474"/>
      <c r="B1406" s="127">
        <v>8</v>
      </c>
      <c r="C1406" s="158"/>
      <c r="D1406" s="158"/>
      <c r="E1406" s="158"/>
      <c r="F1406" s="158"/>
      <c r="G1406" s="158"/>
      <c r="H1406" s="158"/>
      <c r="I1406" s="158"/>
      <c r="J1406" s="158"/>
      <c r="K1406" s="158"/>
      <c r="L1406" s="159"/>
      <c r="M1406" s="177">
        <f t="shared" si="421"/>
        <v>0</v>
      </c>
      <c r="N1406" s="158">
        <f t="shared" si="422"/>
        <v>0</v>
      </c>
      <c r="O1406" s="168">
        <f t="shared" si="423"/>
        <v>0</v>
      </c>
      <c r="P1406" s="157">
        <f t="shared" si="424"/>
        <v>0</v>
      </c>
    </row>
    <row r="1407" spans="1:16" ht="13.5" customHeight="1">
      <c r="A1407" s="474"/>
      <c r="B1407" s="127">
        <v>9</v>
      </c>
      <c r="C1407" s="147"/>
      <c r="D1407" s="147"/>
      <c r="E1407" s="147"/>
      <c r="F1407" s="147"/>
      <c r="G1407" s="147"/>
      <c r="H1407" s="147"/>
      <c r="I1407" s="147"/>
      <c r="J1407" s="147"/>
      <c r="K1407" s="147"/>
      <c r="L1407" s="148"/>
      <c r="M1407" s="177">
        <f t="shared" ref="M1407" si="425">+C1407+E1407+G1407+I1407+K1407</f>
        <v>0</v>
      </c>
      <c r="N1407" s="158">
        <f t="shared" ref="N1407" si="426">+D1407+F1407+H1407+J1407+L1407</f>
        <v>0</v>
      </c>
      <c r="O1407" s="168">
        <f>M1407/30</f>
        <v>0</v>
      </c>
      <c r="P1407" s="157">
        <f>N1407/30</f>
        <v>0</v>
      </c>
    </row>
    <row r="1408" spans="1:16" ht="13.5" customHeight="1">
      <c r="A1408" s="474"/>
      <c r="B1408" s="127">
        <v>10</v>
      </c>
      <c r="C1408" s="147"/>
      <c r="D1408" s="147"/>
      <c r="E1408" s="147"/>
      <c r="F1408" s="181"/>
      <c r="G1408" s="147"/>
      <c r="H1408" s="147"/>
      <c r="I1408" s="147"/>
      <c r="J1408" s="147"/>
      <c r="K1408" s="147"/>
      <c r="L1408" s="148"/>
      <c r="M1408" s="154">
        <f t="shared" ref="M1408" si="427">+C1408+E1408+G1408+I1408+K1408</f>
        <v>0</v>
      </c>
      <c r="N1408" s="155">
        <f t="shared" ref="N1408" si="428">+D1408+F1408+H1408+J1408+L1408</f>
        <v>0</v>
      </c>
      <c r="O1408" s="168">
        <f t="shared" ref="O1408" si="429">M1408/31</f>
        <v>0</v>
      </c>
      <c r="P1408" s="157">
        <f t="shared" ref="P1408" si="430">N1408/31</f>
        <v>0</v>
      </c>
    </row>
    <row r="1409" spans="1:16" ht="13.5" customHeight="1">
      <c r="A1409" s="474"/>
      <c r="B1409" s="127">
        <v>11</v>
      </c>
      <c r="C1409" s="367"/>
      <c r="D1409" s="367"/>
      <c r="E1409" s="367"/>
      <c r="F1409" s="367"/>
      <c r="G1409" s="367"/>
      <c r="H1409" s="367"/>
      <c r="I1409" s="367"/>
      <c r="J1409" s="367"/>
      <c r="K1409" s="367"/>
      <c r="L1409" s="368"/>
      <c r="M1409" s="154">
        <f t="shared" si="421"/>
        <v>0</v>
      </c>
      <c r="N1409" s="155">
        <f t="shared" si="422"/>
        <v>0</v>
      </c>
      <c r="O1409" s="168">
        <f t="shared" si="423"/>
        <v>0</v>
      </c>
      <c r="P1409" s="157">
        <f t="shared" si="424"/>
        <v>0</v>
      </c>
    </row>
    <row r="1410" spans="1:16" ht="13.5" customHeight="1" thickBot="1">
      <c r="A1410" s="475"/>
      <c r="B1410" s="127">
        <v>12</v>
      </c>
      <c r="C1410" s="187"/>
      <c r="D1410" s="187"/>
      <c r="E1410" s="187"/>
      <c r="F1410" s="188"/>
      <c r="G1410" s="187"/>
      <c r="H1410" s="187"/>
      <c r="I1410" s="187"/>
      <c r="J1410" s="187"/>
      <c r="K1410" s="187"/>
      <c r="L1410" s="189"/>
      <c r="M1410" s="154">
        <f t="shared" si="421"/>
        <v>0</v>
      </c>
      <c r="N1410" s="155">
        <f t="shared" si="422"/>
        <v>0</v>
      </c>
      <c r="O1410" s="168">
        <f t="shared" si="423"/>
        <v>0</v>
      </c>
      <c r="P1410" s="157">
        <f t="shared" si="424"/>
        <v>0</v>
      </c>
    </row>
    <row r="1411" spans="1:16" ht="18.75" customHeight="1" thickBot="1">
      <c r="A1411" s="180"/>
      <c r="B1411" s="160" t="s">
        <v>5</v>
      </c>
      <c r="C1411" s="161">
        <f>SUM(C1363:C1410)</f>
        <v>65</v>
      </c>
      <c r="D1411" s="161">
        <f t="shared" ref="D1411:K1411" si="431">SUM(D1363:D1410)</f>
        <v>100</v>
      </c>
      <c r="E1411" s="161">
        <f t="shared" si="431"/>
        <v>0</v>
      </c>
      <c r="F1411" s="161">
        <f t="shared" si="431"/>
        <v>0</v>
      </c>
      <c r="G1411" s="161">
        <f t="shared" si="431"/>
        <v>3</v>
      </c>
      <c r="H1411" s="161">
        <f t="shared" si="431"/>
        <v>4</v>
      </c>
      <c r="I1411" s="161">
        <f t="shared" si="431"/>
        <v>0</v>
      </c>
      <c r="J1411" s="161">
        <f t="shared" si="431"/>
        <v>0</v>
      </c>
      <c r="K1411" s="161">
        <f t="shared" si="431"/>
        <v>0</v>
      </c>
      <c r="L1411" s="161">
        <f>SUM(L1363:L1410)</f>
        <v>0</v>
      </c>
      <c r="M1411" s="162">
        <f>SUM(M1363:M1410)</f>
        <v>68</v>
      </c>
      <c r="N1411" s="161">
        <f>SUM(N1363:N1410)</f>
        <v>104</v>
      </c>
      <c r="O1411" s="161">
        <f>SUM(O1363:O1410)</f>
        <v>2.1989247311827951</v>
      </c>
      <c r="P1411" s="161">
        <f>SUM(P1363:P1410)</f>
        <v>3.3569892473118275</v>
      </c>
    </row>
    <row r="1413" spans="1:16" ht="11.25" customHeight="1">
      <c r="B1413" s="467" t="s">
        <v>91</v>
      </c>
      <c r="C1413" s="469" t="s">
        <v>29</v>
      </c>
      <c r="D1413" s="470"/>
      <c r="E1413" s="469" t="s">
        <v>30</v>
      </c>
      <c r="F1413" s="470"/>
      <c r="G1413" s="469" t="s">
        <v>31</v>
      </c>
      <c r="H1413" s="470"/>
      <c r="I1413" s="469" t="s">
        <v>58</v>
      </c>
      <c r="J1413" s="470"/>
      <c r="K1413" s="469" t="s">
        <v>57</v>
      </c>
      <c r="L1413" s="471"/>
      <c r="M1413" s="470" t="s">
        <v>5</v>
      </c>
      <c r="N1413" s="472"/>
      <c r="O1413" s="472" t="s">
        <v>33</v>
      </c>
      <c r="P1413" s="472"/>
    </row>
    <row r="1414" spans="1:16" ht="11.25" customHeight="1" thickBot="1">
      <c r="B1414" s="468"/>
      <c r="C1414" s="13" t="s">
        <v>34</v>
      </c>
      <c r="D1414" s="13" t="s">
        <v>35</v>
      </c>
      <c r="E1414" s="13" t="s">
        <v>34</v>
      </c>
      <c r="F1414" s="13" t="s">
        <v>35</v>
      </c>
      <c r="G1414" s="13" t="s">
        <v>34</v>
      </c>
      <c r="H1414" s="13" t="s">
        <v>35</v>
      </c>
      <c r="I1414" s="13" t="s">
        <v>59</v>
      </c>
      <c r="J1414" s="13" t="s">
        <v>60</v>
      </c>
      <c r="K1414" s="13" t="s">
        <v>34</v>
      </c>
      <c r="L1414" s="14" t="s">
        <v>35</v>
      </c>
      <c r="M1414" s="15" t="s">
        <v>34</v>
      </c>
      <c r="N1414" s="13" t="s">
        <v>35</v>
      </c>
      <c r="O1414" s="163" t="s">
        <v>34</v>
      </c>
      <c r="P1414" s="163" t="s">
        <v>35</v>
      </c>
    </row>
    <row r="1415" spans="1:16" ht="13.5" customHeight="1">
      <c r="A1415" s="473">
        <v>2017</v>
      </c>
      <c r="B1415" s="410">
        <v>1</v>
      </c>
      <c r="C1415" s="422"/>
      <c r="D1415" s="422"/>
      <c r="E1415" s="422"/>
      <c r="F1415" s="422"/>
      <c r="G1415" s="422"/>
      <c r="H1415" s="422"/>
      <c r="I1415" s="422"/>
      <c r="J1415" s="422"/>
      <c r="K1415" s="422"/>
      <c r="L1415" s="432"/>
      <c r="M1415" s="424">
        <f t="shared" ref="M1415:M1446" si="432">+C1415+E1415+G1415+I1415+K1415</f>
        <v>0</v>
      </c>
      <c r="N1415" s="425">
        <f t="shared" ref="N1415:N1446" si="433">+D1415+F1415+H1415+J1415+L1415</f>
        <v>0</v>
      </c>
      <c r="O1415" s="430">
        <f t="shared" ref="O1415:P1419" si="434">M1415/31</f>
        <v>0</v>
      </c>
      <c r="P1415" s="427">
        <f t="shared" si="434"/>
        <v>0</v>
      </c>
    </row>
    <row r="1416" spans="1:16" ht="13.5" customHeight="1">
      <c r="A1416" s="474"/>
      <c r="B1416" s="127">
        <v>2</v>
      </c>
      <c r="C1416" s="147"/>
      <c r="D1416" s="147"/>
      <c r="E1416" s="147"/>
      <c r="F1416" s="147"/>
      <c r="G1416" s="147"/>
      <c r="H1416" s="147"/>
      <c r="I1416" s="147"/>
      <c r="J1416" s="147"/>
      <c r="K1416" s="147"/>
      <c r="L1416" s="174"/>
      <c r="M1416" s="149">
        <f t="shared" si="432"/>
        <v>0</v>
      </c>
      <c r="N1416" s="150">
        <f t="shared" si="433"/>
        <v>0</v>
      </c>
      <c r="O1416" s="167">
        <f t="shared" si="434"/>
        <v>0</v>
      </c>
      <c r="P1416" s="152">
        <f t="shared" si="434"/>
        <v>0</v>
      </c>
    </row>
    <row r="1417" spans="1:16" ht="13.5" customHeight="1">
      <c r="A1417" s="474"/>
      <c r="B1417" s="127">
        <v>3</v>
      </c>
      <c r="C1417" s="147"/>
      <c r="D1417" s="147"/>
      <c r="E1417" s="147"/>
      <c r="F1417" s="147"/>
      <c r="G1417" s="147"/>
      <c r="H1417" s="147"/>
      <c r="I1417" s="147"/>
      <c r="J1417" s="147"/>
      <c r="K1417" s="147"/>
      <c r="L1417" s="174"/>
      <c r="M1417" s="149">
        <f t="shared" si="432"/>
        <v>0</v>
      </c>
      <c r="N1417" s="150">
        <f t="shared" si="433"/>
        <v>0</v>
      </c>
      <c r="O1417" s="167">
        <f t="shared" si="434"/>
        <v>0</v>
      </c>
      <c r="P1417" s="152">
        <f t="shared" si="434"/>
        <v>0</v>
      </c>
    </row>
    <row r="1418" spans="1:16" ht="13.5" customHeight="1">
      <c r="A1418" s="474"/>
      <c r="B1418" s="127">
        <v>4</v>
      </c>
      <c r="C1418" s="158"/>
      <c r="D1418" s="158"/>
      <c r="E1418" s="158"/>
      <c r="F1418" s="158"/>
      <c r="G1418" s="158"/>
      <c r="H1418" s="158"/>
      <c r="I1418" s="158"/>
      <c r="J1418" s="158"/>
      <c r="K1418" s="158"/>
      <c r="L1418" s="159"/>
      <c r="M1418" s="154">
        <f t="shared" si="432"/>
        <v>0</v>
      </c>
      <c r="N1418" s="155">
        <f t="shared" si="433"/>
        <v>0</v>
      </c>
      <c r="O1418" s="168">
        <f t="shared" si="434"/>
        <v>0</v>
      </c>
      <c r="P1418" s="157">
        <f t="shared" si="434"/>
        <v>0</v>
      </c>
    </row>
    <row r="1419" spans="1:16" ht="13.5" customHeight="1">
      <c r="A1419" s="474"/>
      <c r="B1419" s="127">
        <v>5</v>
      </c>
      <c r="C1419" s="158"/>
      <c r="D1419" s="158"/>
      <c r="E1419" s="158"/>
      <c r="F1419" s="158"/>
      <c r="G1419" s="158"/>
      <c r="H1419" s="158"/>
      <c r="I1419" s="158"/>
      <c r="J1419" s="158"/>
      <c r="K1419" s="158"/>
      <c r="L1419" s="159"/>
      <c r="M1419" s="154">
        <f t="shared" si="432"/>
        <v>0</v>
      </c>
      <c r="N1419" s="155">
        <f t="shared" si="433"/>
        <v>0</v>
      </c>
      <c r="O1419" s="168">
        <f t="shared" si="434"/>
        <v>0</v>
      </c>
      <c r="P1419" s="157">
        <f t="shared" si="434"/>
        <v>0</v>
      </c>
    </row>
    <row r="1420" spans="1:16" ht="13.5" customHeight="1">
      <c r="A1420" s="474"/>
      <c r="B1420" s="127">
        <v>6</v>
      </c>
      <c r="C1420" s="158"/>
      <c r="D1420" s="158"/>
      <c r="E1420" s="158"/>
      <c r="F1420" s="158"/>
      <c r="G1420" s="158"/>
      <c r="H1420" s="158"/>
      <c r="I1420" s="158"/>
      <c r="J1420" s="158"/>
      <c r="K1420" s="158"/>
      <c r="L1420" s="158"/>
      <c r="M1420" s="154">
        <f t="shared" si="432"/>
        <v>0</v>
      </c>
      <c r="N1420" s="155">
        <f t="shared" si="433"/>
        <v>0</v>
      </c>
      <c r="O1420" s="168">
        <f>M1420/30</f>
        <v>0</v>
      </c>
      <c r="P1420" s="157">
        <f>N1420/30</f>
        <v>0</v>
      </c>
    </row>
    <row r="1421" spans="1:16" ht="13.5" customHeight="1">
      <c r="A1421" s="474"/>
      <c r="B1421" s="127">
        <v>7</v>
      </c>
      <c r="C1421" s="158"/>
      <c r="D1421" s="158"/>
      <c r="E1421" s="158"/>
      <c r="F1421" s="158"/>
      <c r="G1421" s="158"/>
      <c r="H1421" s="158"/>
      <c r="I1421" s="158"/>
      <c r="J1421" s="158"/>
      <c r="K1421" s="158"/>
      <c r="L1421" s="158"/>
      <c r="M1421" s="154">
        <f t="shared" si="432"/>
        <v>0</v>
      </c>
      <c r="N1421" s="155">
        <f t="shared" si="433"/>
        <v>0</v>
      </c>
      <c r="O1421" s="168">
        <f t="shared" ref="O1421:O1431" si="435">M1421/31</f>
        <v>0</v>
      </c>
      <c r="P1421" s="157">
        <f t="shared" ref="P1421:P1431" si="436">N1421/31</f>
        <v>0</v>
      </c>
    </row>
    <row r="1422" spans="1:16" ht="13.5" customHeight="1">
      <c r="A1422" s="474"/>
      <c r="B1422" s="127">
        <v>8</v>
      </c>
      <c r="C1422" s="158">
        <v>7</v>
      </c>
      <c r="D1422" s="158">
        <v>2</v>
      </c>
      <c r="E1422" s="158">
        <v>0</v>
      </c>
      <c r="F1422" s="158">
        <v>0</v>
      </c>
      <c r="G1422" s="158">
        <v>0</v>
      </c>
      <c r="H1422" s="158">
        <v>0</v>
      </c>
      <c r="I1422" s="158">
        <v>0</v>
      </c>
      <c r="J1422" s="158">
        <v>0</v>
      </c>
      <c r="K1422" s="158">
        <v>0</v>
      </c>
      <c r="L1422" s="159">
        <v>0</v>
      </c>
      <c r="M1422" s="177">
        <f t="shared" si="432"/>
        <v>7</v>
      </c>
      <c r="N1422" s="158">
        <f t="shared" si="433"/>
        <v>2</v>
      </c>
      <c r="O1422" s="168">
        <f t="shared" si="435"/>
        <v>0.22580645161290322</v>
      </c>
      <c r="P1422" s="157">
        <f t="shared" si="436"/>
        <v>6.4516129032258063E-2</v>
      </c>
    </row>
    <row r="1423" spans="1:16" ht="13.5" customHeight="1">
      <c r="A1423" s="474"/>
      <c r="B1423" s="127">
        <v>9</v>
      </c>
      <c r="C1423" s="147">
        <v>3</v>
      </c>
      <c r="D1423" s="147">
        <v>7</v>
      </c>
      <c r="E1423" s="147">
        <v>0</v>
      </c>
      <c r="F1423" s="147">
        <v>0</v>
      </c>
      <c r="G1423" s="147">
        <v>0</v>
      </c>
      <c r="H1423" s="147">
        <v>0</v>
      </c>
      <c r="I1423" s="147">
        <v>0</v>
      </c>
      <c r="J1423" s="147">
        <v>0</v>
      </c>
      <c r="K1423" s="147">
        <v>2</v>
      </c>
      <c r="L1423" s="148">
        <v>0</v>
      </c>
      <c r="M1423" s="177">
        <f t="shared" si="432"/>
        <v>5</v>
      </c>
      <c r="N1423" s="158">
        <f t="shared" si="433"/>
        <v>7</v>
      </c>
      <c r="O1423" s="168">
        <f t="shared" si="435"/>
        <v>0.16129032258064516</v>
      </c>
      <c r="P1423" s="157">
        <f t="shared" si="436"/>
        <v>0.22580645161290322</v>
      </c>
    </row>
    <row r="1424" spans="1:16" ht="13.5" customHeight="1">
      <c r="A1424" s="474"/>
      <c r="B1424" s="127">
        <v>10</v>
      </c>
      <c r="C1424" s="147">
        <v>2</v>
      </c>
      <c r="D1424" s="147">
        <v>13</v>
      </c>
      <c r="E1424" s="147">
        <v>0</v>
      </c>
      <c r="F1424" s="181">
        <v>0</v>
      </c>
      <c r="G1424" s="147">
        <v>0</v>
      </c>
      <c r="H1424" s="147">
        <v>0</v>
      </c>
      <c r="I1424" s="147">
        <v>0</v>
      </c>
      <c r="J1424" s="147">
        <v>0</v>
      </c>
      <c r="K1424" s="147">
        <v>1</v>
      </c>
      <c r="L1424" s="148">
        <v>4</v>
      </c>
      <c r="M1424" s="154">
        <f t="shared" si="432"/>
        <v>3</v>
      </c>
      <c r="N1424" s="155">
        <f t="shared" si="433"/>
        <v>17</v>
      </c>
      <c r="O1424" s="168">
        <f t="shared" si="435"/>
        <v>9.6774193548387094E-2</v>
      </c>
      <c r="P1424" s="157">
        <f t="shared" si="436"/>
        <v>0.54838709677419351</v>
      </c>
    </row>
    <row r="1425" spans="1:16" ht="13.5" customHeight="1">
      <c r="A1425" s="474"/>
      <c r="B1425" s="127">
        <v>11</v>
      </c>
      <c r="C1425" s="367">
        <v>0</v>
      </c>
      <c r="D1425" s="367">
        <v>0</v>
      </c>
      <c r="E1425" s="367">
        <v>0</v>
      </c>
      <c r="F1425" s="367">
        <v>0</v>
      </c>
      <c r="G1425" s="367">
        <v>0</v>
      </c>
      <c r="H1425" s="367">
        <v>0</v>
      </c>
      <c r="I1425" s="367">
        <v>0</v>
      </c>
      <c r="J1425" s="367">
        <v>0</v>
      </c>
      <c r="K1425" s="367">
        <v>0</v>
      </c>
      <c r="L1425" s="368">
        <v>0</v>
      </c>
      <c r="M1425" s="154">
        <f t="shared" si="432"/>
        <v>0</v>
      </c>
      <c r="N1425" s="155">
        <f t="shared" si="433"/>
        <v>0</v>
      </c>
      <c r="O1425" s="168">
        <f t="shared" si="435"/>
        <v>0</v>
      </c>
      <c r="P1425" s="157">
        <f t="shared" si="436"/>
        <v>0</v>
      </c>
    </row>
    <row r="1426" spans="1:16" ht="13.5" customHeight="1" thickBot="1">
      <c r="A1426" s="475"/>
      <c r="B1426" s="127">
        <v>12</v>
      </c>
      <c r="C1426" s="187">
        <v>0</v>
      </c>
      <c r="D1426" s="187">
        <v>0</v>
      </c>
      <c r="E1426" s="187">
        <v>0</v>
      </c>
      <c r="F1426" s="188">
        <v>0</v>
      </c>
      <c r="G1426" s="187">
        <v>0</v>
      </c>
      <c r="H1426" s="187">
        <v>0</v>
      </c>
      <c r="I1426" s="187">
        <v>0</v>
      </c>
      <c r="J1426" s="187">
        <v>0</v>
      </c>
      <c r="K1426" s="187">
        <v>0</v>
      </c>
      <c r="L1426" s="189">
        <v>0</v>
      </c>
      <c r="M1426" s="154">
        <f t="shared" si="432"/>
        <v>0</v>
      </c>
      <c r="N1426" s="155">
        <f t="shared" si="433"/>
        <v>0</v>
      </c>
      <c r="O1426" s="168">
        <f t="shared" si="435"/>
        <v>0</v>
      </c>
      <c r="P1426" s="157">
        <f t="shared" si="436"/>
        <v>0</v>
      </c>
    </row>
    <row r="1427" spans="1:16" ht="13.5" customHeight="1">
      <c r="A1427" s="473">
        <v>2018</v>
      </c>
      <c r="B1427" s="410">
        <v>1</v>
      </c>
      <c r="C1427" s="158">
        <v>0</v>
      </c>
      <c r="D1427" s="158">
        <v>0</v>
      </c>
      <c r="E1427" s="158">
        <v>0</v>
      </c>
      <c r="F1427" s="169">
        <v>0</v>
      </c>
      <c r="G1427" s="158">
        <v>0</v>
      </c>
      <c r="H1427" s="158">
        <v>0</v>
      </c>
      <c r="I1427" s="158">
        <v>0</v>
      </c>
      <c r="J1427" s="158">
        <v>0</v>
      </c>
      <c r="K1427" s="158">
        <v>0</v>
      </c>
      <c r="L1427" s="159">
        <v>0</v>
      </c>
      <c r="M1427" s="424">
        <f t="shared" si="432"/>
        <v>0</v>
      </c>
      <c r="N1427" s="425">
        <f t="shared" si="433"/>
        <v>0</v>
      </c>
      <c r="O1427" s="430">
        <f t="shared" si="435"/>
        <v>0</v>
      </c>
      <c r="P1427" s="427">
        <f t="shared" si="436"/>
        <v>0</v>
      </c>
    </row>
    <row r="1428" spans="1:16" ht="13.5" customHeight="1">
      <c r="A1428" s="474"/>
      <c r="B1428" s="127">
        <v>2</v>
      </c>
      <c r="C1428" s="158">
        <v>0</v>
      </c>
      <c r="D1428" s="158">
        <v>0</v>
      </c>
      <c r="E1428" s="158">
        <v>0</v>
      </c>
      <c r="F1428" s="169">
        <v>0</v>
      </c>
      <c r="G1428" s="158">
        <v>0</v>
      </c>
      <c r="H1428" s="158">
        <v>0</v>
      </c>
      <c r="I1428" s="158">
        <v>0</v>
      </c>
      <c r="J1428" s="158">
        <v>0</v>
      </c>
      <c r="K1428" s="158">
        <v>0</v>
      </c>
      <c r="L1428" s="159">
        <v>0</v>
      </c>
      <c r="M1428" s="154">
        <f t="shared" si="432"/>
        <v>0</v>
      </c>
      <c r="N1428" s="155">
        <f t="shared" si="433"/>
        <v>0</v>
      </c>
      <c r="O1428" s="168">
        <f t="shared" si="435"/>
        <v>0</v>
      </c>
      <c r="P1428" s="157">
        <f t="shared" si="436"/>
        <v>0</v>
      </c>
    </row>
    <row r="1429" spans="1:16" ht="13.5" customHeight="1">
      <c r="A1429" s="474"/>
      <c r="B1429" s="127">
        <v>3</v>
      </c>
      <c r="C1429" s="158">
        <v>0</v>
      </c>
      <c r="D1429" s="158">
        <v>0</v>
      </c>
      <c r="E1429" s="158">
        <v>0</v>
      </c>
      <c r="F1429" s="169">
        <v>0</v>
      </c>
      <c r="G1429" s="158">
        <v>0</v>
      </c>
      <c r="H1429" s="158">
        <v>0</v>
      </c>
      <c r="I1429" s="158">
        <v>0</v>
      </c>
      <c r="J1429" s="158">
        <v>0</v>
      </c>
      <c r="K1429" s="158">
        <v>0</v>
      </c>
      <c r="L1429" s="159">
        <v>0</v>
      </c>
      <c r="M1429" s="154">
        <f t="shared" si="432"/>
        <v>0</v>
      </c>
      <c r="N1429" s="155">
        <f t="shared" si="433"/>
        <v>0</v>
      </c>
      <c r="O1429" s="168">
        <f t="shared" si="435"/>
        <v>0</v>
      </c>
      <c r="P1429" s="157">
        <f t="shared" si="436"/>
        <v>0</v>
      </c>
    </row>
    <row r="1430" spans="1:16" ht="13.5" customHeight="1">
      <c r="A1430" s="474"/>
      <c r="B1430" s="127">
        <v>4</v>
      </c>
      <c r="C1430" s="158">
        <v>0</v>
      </c>
      <c r="D1430" s="158">
        <v>0</v>
      </c>
      <c r="E1430" s="158">
        <v>0</v>
      </c>
      <c r="F1430" s="169">
        <v>0</v>
      </c>
      <c r="G1430" s="158">
        <v>0</v>
      </c>
      <c r="H1430" s="158">
        <v>0</v>
      </c>
      <c r="I1430" s="158">
        <v>0</v>
      </c>
      <c r="J1430" s="158">
        <v>0</v>
      </c>
      <c r="K1430" s="158">
        <v>0</v>
      </c>
      <c r="L1430" s="159">
        <v>0</v>
      </c>
      <c r="M1430" s="154">
        <f t="shared" si="432"/>
        <v>0</v>
      </c>
      <c r="N1430" s="155">
        <f t="shared" si="433"/>
        <v>0</v>
      </c>
      <c r="O1430" s="168">
        <f t="shared" si="435"/>
        <v>0</v>
      </c>
      <c r="P1430" s="157">
        <f t="shared" si="436"/>
        <v>0</v>
      </c>
    </row>
    <row r="1431" spans="1:16" ht="13.5" customHeight="1">
      <c r="A1431" s="474"/>
      <c r="B1431" s="127">
        <v>5</v>
      </c>
      <c r="C1431" s="158">
        <v>0</v>
      </c>
      <c r="D1431" s="158">
        <v>0</v>
      </c>
      <c r="E1431" s="158">
        <v>0</v>
      </c>
      <c r="F1431" s="169">
        <v>0</v>
      </c>
      <c r="G1431" s="158">
        <v>0</v>
      </c>
      <c r="H1431" s="158">
        <v>0</v>
      </c>
      <c r="I1431" s="158">
        <v>0</v>
      </c>
      <c r="J1431" s="158">
        <v>0</v>
      </c>
      <c r="K1431" s="158">
        <v>0</v>
      </c>
      <c r="L1431" s="159">
        <v>0</v>
      </c>
      <c r="M1431" s="154">
        <f t="shared" si="432"/>
        <v>0</v>
      </c>
      <c r="N1431" s="155">
        <f t="shared" si="433"/>
        <v>0</v>
      </c>
      <c r="O1431" s="168">
        <f t="shared" si="435"/>
        <v>0</v>
      </c>
      <c r="P1431" s="157">
        <f t="shared" si="436"/>
        <v>0</v>
      </c>
    </row>
    <row r="1432" spans="1:16" ht="13.5" customHeight="1">
      <c r="A1432" s="474"/>
      <c r="B1432" s="127">
        <v>6</v>
      </c>
      <c r="C1432" s="158">
        <v>4</v>
      </c>
      <c r="D1432" s="158">
        <v>0</v>
      </c>
      <c r="E1432" s="158">
        <v>0</v>
      </c>
      <c r="F1432" s="169">
        <v>0</v>
      </c>
      <c r="G1432" s="158">
        <v>0</v>
      </c>
      <c r="H1432" s="158">
        <v>0</v>
      </c>
      <c r="I1432" s="158">
        <v>0</v>
      </c>
      <c r="J1432" s="158">
        <v>0</v>
      </c>
      <c r="K1432" s="158">
        <v>1</v>
      </c>
      <c r="L1432" s="159">
        <v>0</v>
      </c>
      <c r="M1432" s="154">
        <f t="shared" si="432"/>
        <v>5</v>
      </c>
      <c r="N1432" s="155">
        <f t="shared" si="433"/>
        <v>0</v>
      </c>
      <c r="O1432" s="168">
        <f>M1432/30</f>
        <v>0.16666666666666666</v>
      </c>
      <c r="P1432" s="157">
        <f>N1432/30</f>
        <v>0</v>
      </c>
    </row>
    <row r="1433" spans="1:16" ht="13.5" customHeight="1">
      <c r="A1433" s="474"/>
      <c r="B1433" s="127">
        <v>7</v>
      </c>
      <c r="C1433" s="158">
        <v>28</v>
      </c>
      <c r="D1433" s="158">
        <v>18</v>
      </c>
      <c r="E1433" s="158">
        <v>0</v>
      </c>
      <c r="F1433" s="169">
        <v>0</v>
      </c>
      <c r="G1433" s="158">
        <v>3</v>
      </c>
      <c r="H1433" s="158">
        <v>0</v>
      </c>
      <c r="I1433" s="158">
        <v>0</v>
      </c>
      <c r="J1433" s="158">
        <v>0</v>
      </c>
      <c r="K1433" s="158">
        <v>0</v>
      </c>
      <c r="L1433" s="159">
        <v>7</v>
      </c>
      <c r="M1433" s="154">
        <f t="shared" si="432"/>
        <v>31</v>
      </c>
      <c r="N1433" s="155">
        <f t="shared" si="433"/>
        <v>25</v>
      </c>
      <c r="O1433" s="168">
        <f>M1433/30</f>
        <v>1.0333333333333334</v>
      </c>
      <c r="P1433" s="157">
        <f>N1433/30</f>
        <v>0.83333333333333337</v>
      </c>
    </row>
    <row r="1434" spans="1:16" ht="13.5" customHeight="1">
      <c r="A1434" s="474"/>
      <c r="B1434" s="127">
        <v>8</v>
      </c>
      <c r="C1434" s="158">
        <v>9</v>
      </c>
      <c r="D1434" s="158">
        <v>26</v>
      </c>
      <c r="E1434" s="158">
        <v>0</v>
      </c>
      <c r="F1434" s="158">
        <v>0</v>
      </c>
      <c r="G1434" s="158">
        <v>3</v>
      </c>
      <c r="H1434" s="158">
        <v>9</v>
      </c>
      <c r="I1434" s="158">
        <v>0</v>
      </c>
      <c r="J1434" s="158">
        <v>0</v>
      </c>
      <c r="K1434" s="158">
        <v>0</v>
      </c>
      <c r="L1434" s="159">
        <v>0</v>
      </c>
      <c r="M1434" s="177">
        <f t="shared" si="432"/>
        <v>12</v>
      </c>
      <c r="N1434" s="158">
        <f t="shared" si="433"/>
        <v>35</v>
      </c>
      <c r="O1434" s="168">
        <f t="shared" ref="O1434:P1455" si="437">M1434/31</f>
        <v>0.38709677419354838</v>
      </c>
      <c r="P1434" s="157">
        <f t="shared" si="437"/>
        <v>1.1290322580645162</v>
      </c>
    </row>
    <row r="1435" spans="1:16" ht="13.5" customHeight="1">
      <c r="A1435" s="474"/>
      <c r="B1435" s="127">
        <v>9</v>
      </c>
      <c r="C1435" s="147">
        <v>7</v>
      </c>
      <c r="D1435" s="147">
        <v>17</v>
      </c>
      <c r="E1435" s="147">
        <v>0</v>
      </c>
      <c r="F1435" s="147">
        <v>0</v>
      </c>
      <c r="G1435" s="147">
        <v>0</v>
      </c>
      <c r="H1435" s="147">
        <v>2</v>
      </c>
      <c r="I1435" s="147">
        <v>0</v>
      </c>
      <c r="J1435" s="147">
        <v>0</v>
      </c>
      <c r="K1435" s="147">
        <v>0</v>
      </c>
      <c r="L1435" s="148">
        <v>0</v>
      </c>
      <c r="M1435" s="177">
        <f t="shared" si="432"/>
        <v>7</v>
      </c>
      <c r="N1435" s="158">
        <f t="shared" si="433"/>
        <v>19</v>
      </c>
      <c r="O1435" s="168">
        <f t="shared" si="437"/>
        <v>0.22580645161290322</v>
      </c>
      <c r="P1435" s="157">
        <f t="shared" si="437"/>
        <v>0.61290322580645162</v>
      </c>
    </row>
    <row r="1436" spans="1:16" ht="13.5" customHeight="1">
      <c r="A1436" s="474"/>
      <c r="B1436" s="127">
        <v>10</v>
      </c>
      <c r="C1436" s="147">
        <v>2</v>
      </c>
      <c r="D1436" s="147">
        <v>7</v>
      </c>
      <c r="E1436" s="147">
        <v>0</v>
      </c>
      <c r="F1436" s="181">
        <v>0</v>
      </c>
      <c r="G1436" s="147">
        <v>0</v>
      </c>
      <c r="H1436" s="147">
        <v>0</v>
      </c>
      <c r="I1436" s="147">
        <v>0</v>
      </c>
      <c r="J1436" s="147">
        <v>0</v>
      </c>
      <c r="K1436" s="147">
        <v>0</v>
      </c>
      <c r="L1436" s="148">
        <v>0</v>
      </c>
      <c r="M1436" s="154">
        <f t="shared" si="432"/>
        <v>2</v>
      </c>
      <c r="N1436" s="155">
        <f t="shared" si="433"/>
        <v>7</v>
      </c>
      <c r="O1436" s="168">
        <f t="shared" si="437"/>
        <v>6.4516129032258063E-2</v>
      </c>
      <c r="P1436" s="157">
        <f t="shared" si="437"/>
        <v>0.22580645161290322</v>
      </c>
    </row>
    <row r="1437" spans="1:16" ht="13.5" customHeight="1">
      <c r="A1437" s="474"/>
      <c r="B1437" s="127">
        <v>11</v>
      </c>
      <c r="C1437" s="367">
        <v>0</v>
      </c>
      <c r="D1437" s="367">
        <v>0</v>
      </c>
      <c r="E1437" s="367">
        <v>0</v>
      </c>
      <c r="F1437" s="367">
        <v>0</v>
      </c>
      <c r="G1437" s="367">
        <v>0</v>
      </c>
      <c r="H1437" s="367">
        <v>0</v>
      </c>
      <c r="I1437" s="367">
        <v>0</v>
      </c>
      <c r="J1437" s="367">
        <v>0</v>
      </c>
      <c r="K1437" s="367">
        <v>0</v>
      </c>
      <c r="L1437" s="368">
        <v>0</v>
      </c>
      <c r="M1437" s="154">
        <f t="shared" si="432"/>
        <v>0</v>
      </c>
      <c r="N1437" s="155">
        <f t="shared" si="433"/>
        <v>0</v>
      </c>
      <c r="O1437" s="168">
        <f t="shared" si="437"/>
        <v>0</v>
      </c>
      <c r="P1437" s="157">
        <f t="shared" si="437"/>
        <v>0</v>
      </c>
    </row>
    <row r="1438" spans="1:16" ht="13.5" customHeight="1" thickBot="1">
      <c r="A1438" s="475"/>
      <c r="B1438" s="127">
        <v>12</v>
      </c>
      <c r="C1438" s="187">
        <v>0</v>
      </c>
      <c r="D1438" s="187">
        <v>0</v>
      </c>
      <c r="E1438" s="187">
        <v>0</v>
      </c>
      <c r="F1438" s="188">
        <v>0</v>
      </c>
      <c r="G1438" s="187">
        <v>0</v>
      </c>
      <c r="H1438" s="187">
        <v>0</v>
      </c>
      <c r="I1438" s="187">
        <v>0</v>
      </c>
      <c r="J1438" s="187">
        <v>0</v>
      </c>
      <c r="K1438" s="187">
        <v>0</v>
      </c>
      <c r="L1438" s="189">
        <v>0</v>
      </c>
      <c r="M1438" s="154">
        <f t="shared" si="432"/>
        <v>0</v>
      </c>
      <c r="N1438" s="155">
        <f t="shared" si="433"/>
        <v>0</v>
      </c>
      <c r="O1438" s="168">
        <f t="shared" si="437"/>
        <v>0</v>
      </c>
      <c r="P1438" s="157">
        <f t="shared" si="437"/>
        <v>0</v>
      </c>
    </row>
    <row r="1439" spans="1:16" ht="13.5" customHeight="1">
      <c r="A1439" s="473">
        <v>2019</v>
      </c>
      <c r="B1439" s="410">
        <v>1</v>
      </c>
      <c r="C1439" s="158">
        <v>0</v>
      </c>
      <c r="D1439" s="158">
        <v>0</v>
      </c>
      <c r="E1439" s="158">
        <v>0</v>
      </c>
      <c r="F1439" s="169">
        <v>0</v>
      </c>
      <c r="G1439" s="158">
        <v>0</v>
      </c>
      <c r="H1439" s="158">
        <v>0</v>
      </c>
      <c r="I1439" s="158">
        <v>0</v>
      </c>
      <c r="J1439" s="158">
        <v>0</v>
      </c>
      <c r="K1439" s="158">
        <v>0</v>
      </c>
      <c r="L1439" s="159">
        <v>0</v>
      </c>
      <c r="M1439" s="424">
        <f t="shared" si="432"/>
        <v>0</v>
      </c>
      <c r="N1439" s="425">
        <f t="shared" si="433"/>
        <v>0</v>
      </c>
      <c r="O1439" s="430">
        <f t="shared" ref="O1439:O1443" si="438">M1439/31</f>
        <v>0</v>
      </c>
      <c r="P1439" s="427">
        <f t="shared" ref="P1439:P1443" si="439">N1439/31</f>
        <v>0</v>
      </c>
    </row>
    <row r="1440" spans="1:16" ht="13.5" customHeight="1">
      <c r="A1440" s="474"/>
      <c r="B1440" s="127">
        <v>2</v>
      </c>
      <c r="C1440" s="158">
        <v>0</v>
      </c>
      <c r="D1440" s="158">
        <v>0</v>
      </c>
      <c r="E1440" s="158">
        <v>0</v>
      </c>
      <c r="F1440" s="169">
        <v>0</v>
      </c>
      <c r="G1440" s="158">
        <v>0</v>
      </c>
      <c r="H1440" s="158">
        <v>0</v>
      </c>
      <c r="I1440" s="158">
        <v>0</v>
      </c>
      <c r="J1440" s="158">
        <v>0</v>
      </c>
      <c r="K1440" s="158">
        <v>0</v>
      </c>
      <c r="L1440" s="159">
        <v>0</v>
      </c>
      <c r="M1440" s="154">
        <f t="shared" si="432"/>
        <v>0</v>
      </c>
      <c r="N1440" s="155">
        <f t="shared" si="433"/>
        <v>0</v>
      </c>
      <c r="O1440" s="168">
        <f t="shared" si="438"/>
        <v>0</v>
      </c>
      <c r="P1440" s="157">
        <f t="shared" si="439"/>
        <v>0</v>
      </c>
    </row>
    <row r="1441" spans="1:16" ht="13.5" customHeight="1">
      <c r="A1441" s="474"/>
      <c r="B1441" s="127">
        <v>3</v>
      </c>
      <c r="C1441" s="158">
        <v>0</v>
      </c>
      <c r="D1441" s="158">
        <v>0</v>
      </c>
      <c r="E1441" s="158">
        <v>0</v>
      </c>
      <c r="F1441" s="169">
        <v>0</v>
      </c>
      <c r="G1441" s="158">
        <v>0</v>
      </c>
      <c r="H1441" s="158">
        <v>0</v>
      </c>
      <c r="I1441" s="158">
        <v>0</v>
      </c>
      <c r="J1441" s="158">
        <v>0</v>
      </c>
      <c r="K1441" s="158">
        <v>0</v>
      </c>
      <c r="L1441" s="159">
        <v>0</v>
      </c>
      <c r="M1441" s="154">
        <f t="shared" si="432"/>
        <v>0</v>
      </c>
      <c r="N1441" s="155">
        <f t="shared" si="433"/>
        <v>0</v>
      </c>
      <c r="O1441" s="168">
        <f t="shared" si="438"/>
        <v>0</v>
      </c>
      <c r="P1441" s="157">
        <f t="shared" si="439"/>
        <v>0</v>
      </c>
    </row>
    <row r="1442" spans="1:16" ht="13.5" customHeight="1">
      <c r="A1442" s="474"/>
      <c r="B1442" s="127">
        <v>4</v>
      </c>
      <c r="C1442" s="158">
        <v>0</v>
      </c>
      <c r="D1442" s="158">
        <v>0</v>
      </c>
      <c r="E1442" s="158">
        <v>0</v>
      </c>
      <c r="F1442" s="169">
        <v>0</v>
      </c>
      <c r="G1442" s="158">
        <v>0</v>
      </c>
      <c r="H1442" s="158">
        <v>0</v>
      </c>
      <c r="I1442" s="158">
        <v>0</v>
      </c>
      <c r="J1442" s="158">
        <v>0</v>
      </c>
      <c r="K1442" s="158">
        <v>0</v>
      </c>
      <c r="L1442" s="159">
        <v>0</v>
      </c>
      <c r="M1442" s="154">
        <f t="shared" si="432"/>
        <v>0</v>
      </c>
      <c r="N1442" s="155">
        <f t="shared" si="433"/>
        <v>0</v>
      </c>
      <c r="O1442" s="168">
        <f t="shared" si="438"/>
        <v>0</v>
      </c>
      <c r="P1442" s="157">
        <f t="shared" si="439"/>
        <v>0</v>
      </c>
    </row>
    <row r="1443" spans="1:16" ht="13.5" customHeight="1">
      <c r="A1443" s="474"/>
      <c r="B1443" s="127">
        <v>5</v>
      </c>
      <c r="C1443" s="158">
        <v>0</v>
      </c>
      <c r="D1443" s="158">
        <v>0</v>
      </c>
      <c r="E1443" s="158">
        <v>0</v>
      </c>
      <c r="F1443" s="169">
        <v>0</v>
      </c>
      <c r="G1443" s="158">
        <v>0</v>
      </c>
      <c r="H1443" s="158">
        <v>0</v>
      </c>
      <c r="I1443" s="158">
        <v>0</v>
      </c>
      <c r="J1443" s="158">
        <v>0</v>
      </c>
      <c r="K1443" s="158">
        <v>0</v>
      </c>
      <c r="L1443" s="159">
        <v>0</v>
      </c>
      <c r="M1443" s="154">
        <f t="shared" si="432"/>
        <v>0</v>
      </c>
      <c r="N1443" s="155">
        <f t="shared" si="433"/>
        <v>0</v>
      </c>
      <c r="O1443" s="168">
        <f t="shared" si="438"/>
        <v>0</v>
      </c>
      <c r="P1443" s="157">
        <f t="shared" si="439"/>
        <v>0</v>
      </c>
    </row>
    <row r="1444" spans="1:16" ht="13.5" customHeight="1">
      <c r="A1444" s="474"/>
      <c r="B1444" s="127">
        <v>6</v>
      </c>
      <c r="C1444" s="158">
        <v>6</v>
      </c>
      <c r="D1444" s="158">
        <v>0</v>
      </c>
      <c r="E1444" s="158">
        <v>0</v>
      </c>
      <c r="F1444" s="169">
        <v>0</v>
      </c>
      <c r="G1444" s="158">
        <v>0</v>
      </c>
      <c r="H1444" s="158">
        <v>0</v>
      </c>
      <c r="I1444" s="158">
        <v>0</v>
      </c>
      <c r="J1444" s="158">
        <v>0</v>
      </c>
      <c r="K1444" s="158">
        <v>1</v>
      </c>
      <c r="L1444" s="159">
        <v>0</v>
      </c>
      <c r="M1444" s="154">
        <f t="shared" si="432"/>
        <v>7</v>
      </c>
      <c r="N1444" s="155">
        <f t="shared" si="433"/>
        <v>0</v>
      </c>
      <c r="O1444" s="168">
        <f>M1444/30</f>
        <v>0.23333333333333334</v>
      </c>
      <c r="P1444" s="157">
        <f>N1444/30</f>
        <v>0</v>
      </c>
    </row>
    <row r="1445" spans="1:16" ht="13.5" customHeight="1">
      <c r="A1445" s="474"/>
      <c r="B1445" s="127">
        <v>7</v>
      </c>
      <c r="C1445" s="158">
        <v>7</v>
      </c>
      <c r="D1445" s="158">
        <v>6</v>
      </c>
      <c r="E1445" s="158">
        <v>0</v>
      </c>
      <c r="F1445" s="169">
        <v>0</v>
      </c>
      <c r="G1445" s="158">
        <v>0</v>
      </c>
      <c r="H1445" s="158">
        <v>0</v>
      </c>
      <c r="I1445" s="158">
        <v>0</v>
      </c>
      <c r="J1445" s="158">
        <v>0</v>
      </c>
      <c r="K1445" s="158">
        <v>0</v>
      </c>
      <c r="L1445" s="159">
        <v>2</v>
      </c>
      <c r="M1445" s="154">
        <f t="shared" si="432"/>
        <v>7</v>
      </c>
      <c r="N1445" s="155">
        <f t="shared" si="433"/>
        <v>8</v>
      </c>
      <c r="O1445" s="168">
        <f>M1445/30</f>
        <v>0.23333333333333334</v>
      </c>
      <c r="P1445" s="157">
        <f>N1445/30</f>
        <v>0.26666666666666666</v>
      </c>
    </row>
    <row r="1446" spans="1:16" ht="13.5" customHeight="1">
      <c r="A1446" s="474"/>
      <c r="B1446" s="127">
        <v>8</v>
      </c>
      <c r="C1446" s="158">
        <v>8</v>
      </c>
      <c r="D1446" s="158">
        <v>10</v>
      </c>
      <c r="E1446" s="158">
        <v>0</v>
      </c>
      <c r="F1446" s="158">
        <v>0</v>
      </c>
      <c r="G1446" s="158">
        <v>1</v>
      </c>
      <c r="H1446" s="158">
        <v>0</v>
      </c>
      <c r="I1446" s="158">
        <v>0</v>
      </c>
      <c r="J1446" s="158">
        <v>0</v>
      </c>
      <c r="K1446" s="158">
        <v>3</v>
      </c>
      <c r="L1446" s="159">
        <v>2</v>
      </c>
      <c r="M1446" s="177">
        <f t="shared" si="432"/>
        <v>12</v>
      </c>
      <c r="N1446" s="158">
        <f t="shared" si="433"/>
        <v>12</v>
      </c>
      <c r="O1446" s="168">
        <f t="shared" ref="O1446" si="440">M1446/31</f>
        <v>0.38709677419354838</v>
      </c>
      <c r="P1446" s="157">
        <f t="shared" ref="P1446" si="441">N1446/31</f>
        <v>0.38709677419354838</v>
      </c>
    </row>
    <row r="1447" spans="1:16" ht="13.5" customHeight="1">
      <c r="A1447" s="474"/>
      <c r="B1447" s="127">
        <v>9</v>
      </c>
      <c r="C1447" s="147">
        <v>9</v>
      </c>
      <c r="D1447" s="147">
        <v>16</v>
      </c>
      <c r="E1447" s="147">
        <v>0</v>
      </c>
      <c r="F1447" s="147">
        <v>0</v>
      </c>
      <c r="G1447" s="147">
        <v>2</v>
      </c>
      <c r="H1447" s="147">
        <v>0</v>
      </c>
      <c r="I1447" s="147">
        <v>0</v>
      </c>
      <c r="J1447" s="147">
        <v>0</v>
      </c>
      <c r="K1447" s="147">
        <v>0</v>
      </c>
      <c r="L1447" s="148">
        <v>2</v>
      </c>
      <c r="M1447" s="177">
        <v>11</v>
      </c>
      <c r="N1447" s="158">
        <v>18</v>
      </c>
      <c r="O1447" s="168">
        <v>0.35483870967741937</v>
      </c>
      <c r="P1447" s="157">
        <v>0.58064516129032262</v>
      </c>
    </row>
    <row r="1448" spans="1:16">
      <c r="A1448" s="474"/>
      <c r="B1448" s="127">
        <v>10</v>
      </c>
      <c r="C1448" s="147">
        <v>7</v>
      </c>
      <c r="D1448" s="147">
        <v>16</v>
      </c>
      <c r="E1448" s="147">
        <v>1</v>
      </c>
      <c r="F1448" s="181">
        <v>1</v>
      </c>
      <c r="G1448" s="147">
        <v>0</v>
      </c>
      <c r="H1448" s="147">
        <v>3</v>
      </c>
      <c r="I1448" s="147">
        <v>0</v>
      </c>
      <c r="J1448" s="147">
        <v>0</v>
      </c>
      <c r="K1448" s="147">
        <v>0</v>
      </c>
      <c r="L1448" s="148">
        <v>0</v>
      </c>
      <c r="M1448" s="154">
        <f t="shared" ref="M1448:M1450" si="442">+C1448+E1448+G1448+I1448+K1448</f>
        <v>8</v>
      </c>
      <c r="N1448" s="155">
        <f t="shared" ref="N1448:N1450" si="443">+D1448+F1448+H1448+J1448+L1448</f>
        <v>20</v>
      </c>
      <c r="O1448" s="168">
        <f t="shared" ref="O1448:O1450" si="444">M1448/31</f>
        <v>0.25806451612903225</v>
      </c>
      <c r="P1448" s="157">
        <f t="shared" ref="P1448:P1450" si="445">N1448/31</f>
        <v>0.64516129032258063</v>
      </c>
    </row>
    <row r="1449" spans="1:16" ht="13.5" customHeight="1">
      <c r="A1449" s="474"/>
      <c r="B1449" s="127">
        <v>11</v>
      </c>
      <c r="C1449" s="367">
        <v>0</v>
      </c>
      <c r="D1449" s="367">
        <v>0</v>
      </c>
      <c r="E1449" s="367">
        <v>0</v>
      </c>
      <c r="F1449" s="367">
        <v>0</v>
      </c>
      <c r="G1449" s="367">
        <v>0</v>
      </c>
      <c r="H1449" s="367">
        <v>0</v>
      </c>
      <c r="I1449" s="367">
        <v>0</v>
      </c>
      <c r="J1449" s="367">
        <v>0</v>
      </c>
      <c r="K1449" s="367">
        <v>0</v>
      </c>
      <c r="L1449" s="368">
        <v>0</v>
      </c>
      <c r="M1449" s="154">
        <f t="shared" si="442"/>
        <v>0</v>
      </c>
      <c r="N1449" s="155">
        <f t="shared" si="443"/>
        <v>0</v>
      </c>
      <c r="O1449" s="168">
        <f t="shared" si="444"/>
        <v>0</v>
      </c>
      <c r="P1449" s="157">
        <f t="shared" si="445"/>
        <v>0</v>
      </c>
    </row>
    <row r="1450" spans="1:16" ht="13.5" customHeight="1" thickBot="1">
      <c r="A1450" s="475"/>
      <c r="B1450" s="127">
        <v>12</v>
      </c>
      <c r="C1450" s="187">
        <v>0</v>
      </c>
      <c r="D1450" s="187">
        <v>0</v>
      </c>
      <c r="E1450" s="187">
        <v>0</v>
      </c>
      <c r="F1450" s="188">
        <v>0</v>
      </c>
      <c r="G1450" s="187">
        <v>0</v>
      </c>
      <c r="H1450" s="187">
        <v>0</v>
      </c>
      <c r="I1450" s="187">
        <v>0</v>
      </c>
      <c r="J1450" s="187">
        <v>0</v>
      </c>
      <c r="K1450" s="187">
        <v>0</v>
      </c>
      <c r="L1450" s="189">
        <v>0</v>
      </c>
      <c r="M1450" s="154">
        <f t="shared" si="442"/>
        <v>0</v>
      </c>
      <c r="N1450" s="155">
        <f t="shared" si="443"/>
        <v>0</v>
      </c>
      <c r="O1450" s="168">
        <f t="shared" si="444"/>
        <v>0</v>
      </c>
      <c r="P1450" s="157">
        <f t="shared" si="445"/>
        <v>0</v>
      </c>
    </row>
    <row r="1451" spans="1:16" ht="13.5" customHeight="1">
      <c r="A1451" s="473">
        <v>2020</v>
      </c>
      <c r="B1451" s="410">
        <v>1</v>
      </c>
      <c r="C1451" s="158">
        <v>0</v>
      </c>
      <c r="D1451" s="158">
        <v>0</v>
      </c>
      <c r="E1451" s="158">
        <v>0</v>
      </c>
      <c r="F1451" s="169">
        <v>0</v>
      </c>
      <c r="G1451" s="158">
        <v>0</v>
      </c>
      <c r="H1451" s="158">
        <v>0</v>
      </c>
      <c r="I1451" s="158">
        <v>0</v>
      </c>
      <c r="J1451" s="158">
        <v>0</v>
      </c>
      <c r="K1451" s="158">
        <v>0</v>
      </c>
      <c r="L1451" s="159">
        <v>0</v>
      </c>
      <c r="M1451" s="424">
        <f t="shared" ref="M1451:M1462" si="446">+C1451+E1451+G1451+I1451+K1451</f>
        <v>0</v>
      </c>
      <c r="N1451" s="425">
        <f t="shared" ref="N1451:N1462" si="447">+D1451+F1451+H1451+J1451+L1451</f>
        <v>0</v>
      </c>
      <c r="O1451" s="430">
        <f t="shared" si="437"/>
        <v>0</v>
      </c>
      <c r="P1451" s="427">
        <f t="shared" si="437"/>
        <v>0</v>
      </c>
    </row>
    <row r="1452" spans="1:16" ht="13.5" customHeight="1">
      <c r="A1452" s="474"/>
      <c r="B1452" s="127">
        <v>2</v>
      </c>
      <c r="C1452" s="158">
        <v>0</v>
      </c>
      <c r="D1452" s="158">
        <v>0</v>
      </c>
      <c r="E1452" s="158">
        <v>0</v>
      </c>
      <c r="F1452" s="169">
        <v>0</v>
      </c>
      <c r="G1452" s="158">
        <v>0</v>
      </c>
      <c r="H1452" s="158">
        <v>0</v>
      </c>
      <c r="I1452" s="158">
        <v>0</v>
      </c>
      <c r="J1452" s="158">
        <v>0</v>
      </c>
      <c r="K1452" s="158">
        <v>0</v>
      </c>
      <c r="L1452" s="159">
        <v>0</v>
      </c>
      <c r="M1452" s="154">
        <f t="shared" si="446"/>
        <v>0</v>
      </c>
      <c r="N1452" s="155">
        <f t="shared" si="447"/>
        <v>0</v>
      </c>
      <c r="O1452" s="168">
        <f t="shared" si="437"/>
        <v>0</v>
      </c>
      <c r="P1452" s="157">
        <f t="shared" si="437"/>
        <v>0</v>
      </c>
    </row>
    <row r="1453" spans="1:16" ht="13.5" customHeight="1">
      <c r="A1453" s="474"/>
      <c r="B1453" s="127">
        <v>3</v>
      </c>
      <c r="C1453" s="158">
        <v>0</v>
      </c>
      <c r="D1453" s="158">
        <v>0</v>
      </c>
      <c r="E1453" s="158">
        <v>0</v>
      </c>
      <c r="F1453" s="169">
        <v>0</v>
      </c>
      <c r="G1453" s="158">
        <v>0</v>
      </c>
      <c r="H1453" s="158">
        <v>0</v>
      </c>
      <c r="I1453" s="158">
        <v>0</v>
      </c>
      <c r="J1453" s="158">
        <v>0</v>
      </c>
      <c r="K1453" s="158">
        <v>0</v>
      </c>
      <c r="L1453" s="159">
        <v>0</v>
      </c>
      <c r="M1453" s="154">
        <f t="shared" si="446"/>
        <v>0</v>
      </c>
      <c r="N1453" s="155">
        <f t="shared" si="447"/>
        <v>0</v>
      </c>
      <c r="O1453" s="168">
        <f t="shared" si="437"/>
        <v>0</v>
      </c>
      <c r="P1453" s="157">
        <f t="shared" si="437"/>
        <v>0</v>
      </c>
    </row>
    <row r="1454" spans="1:16" ht="13.5" customHeight="1">
      <c r="A1454" s="474"/>
      <c r="B1454" s="127">
        <v>4</v>
      </c>
      <c r="C1454" s="158">
        <v>0</v>
      </c>
      <c r="D1454" s="158">
        <v>0</v>
      </c>
      <c r="E1454" s="158">
        <v>0</v>
      </c>
      <c r="F1454" s="169">
        <v>0</v>
      </c>
      <c r="G1454" s="158">
        <v>0</v>
      </c>
      <c r="H1454" s="158">
        <v>0</v>
      </c>
      <c r="I1454" s="158">
        <v>0</v>
      </c>
      <c r="J1454" s="158">
        <v>0</v>
      </c>
      <c r="K1454" s="158">
        <v>0</v>
      </c>
      <c r="L1454" s="159">
        <v>0</v>
      </c>
      <c r="M1454" s="154">
        <f t="shared" si="446"/>
        <v>0</v>
      </c>
      <c r="N1454" s="155">
        <f t="shared" si="447"/>
        <v>0</v>
      </c>
      <c r="O1454" s="168">
        <f t="shared" si="437"/>
        <v>0</v>
      </c>
      <c r="P1454" s="157">
        <f t="shared" si="437"/>
        <v>0</v>
      </c>
    </row>
    <row r="1455" spans="1:16" ht="13.5" customHeight="1">
      <c r="A1455" s="474"/>
      <c r="B1455" s="127">
        <v>5</v>
      </c>
      <c r="C1455" s="158">
        <v>0</v>
      </c>
      <c r="D1455" s="158">
        <v>0</v>
      </c>
      <c r="E1455" s="158">
        <v>0</v>
      </c>
      <c r="F1455" s="169">
        <v>0</v>
      </c>
      <c r="G1455" s="158">
        <v>0</v>
      </c>
      <c r="H1455" s="158">
        <v>0</v>
      </c>
      <c r="I1455" s="158">
        <v>0</v>
      </c>
      <c r="J1455" s="158">
        <v>0</v>
      </c>
      <c r="K1455" s="158">
        <v>0</v>
      </c>
      <c r="L1455" s="159">
        <v>0</v>
      </c>
      <c r="M1455" s="154">
        <f t="shared" si="446"/>
        <v>0</v>
      </c>
      <c r="N1455" s="155">
        <f t="shared" si="447"/>
        <v>0</v>
      </c>
      <c r="O1455" s="168">
        <f t="shared" si="437"/>
        <v>0</v>
      </c>
      <c r="P1455" s="157">
        <f t="shared" si="437"/>
        <v>0</v>
      </c>
    </row>
    <row r="1456" spans="1:16" ht="13.5" customHeight="1">
      <c r="A1456" s="474"/>
      <c r="B1456" s="127">
        <v>6</v>
      </c>
      <c r="C1456" s="158">
        <f>集計用!C56</f>
        <v>0</v>
      </c>
      <c r="D1456" s="158">
        <f>集計用!S56</f>
        <v>0</v>
      </c>
      <c r="E1456" s="158">
        <f>集計用!E56</f>
        <v>0</v>
      </c>
      <c r="F1456" s="169">
        <f>集計用!U56</f>
        <v>0</v>
      </c>
      <c r="G1456" s="158">
        <f>集計用!G56</f>
        <v>0</v>
      </c>
      <c r="H1456" s="158">
        <f>集計用!W56</f>
        <v>0</v>
      </c>
      <c r="I1456" s="158">
        <f>集計用!I56</f>
        <v>0</v>
      </c>
      <c r="J1456" s="158">
        <f>集計用!Y56</f>
        <v>0</v>
      </c>
      <c r="K1456" s="158">
        <f>集計用!K56</f>
        <v>0</v>
      </c>
      <c r="L1456" s="159">
        <f>集計用!AA56</f>
        <v>0</v>
      </c>
      <c r="M1456" s="154">
        <f t="shared" si="446"/>
        <v>0</v>
      </c>
      <c r="N1456" s="155">
        <f t="shared" si="447"/>
        <v>0</v>
      </c>
      <c r="O1456" s="168">
        <f>M1456/30</f>
        <v>0</v>
      </c>
      <c r="P1456" s="157">
        <f>N1456/30</f>
        <v>0</v>
      </c>
    </row>
    <row r="1457" spans="1:16" ht="13.5" customHeight="1">
      <c r="A1457" s="474"/>
      <c r="B1457" s="127">
        <v>7</v>
      </c>
      <c r="C1457" s="158"/>
      <c r="D1457" s="158"/>
      <c r="E1457" s="158"/>
      <c r="F1457" s="169"/>
      <c r="G1457" s="158"/>
      <c r="H1457" s="158"/>
      <c r="I1457" s="158"/>
      <c r="J1457" s="158"/>
      <c r="K1457" s="158"/>
      <c r="L1457" s="159"/>
      <c r="M1457" s="154">
        <f t="shared" si="446"/>
        <v>0</v>
      </c>
      <c r="N1457" s="155">
        <f t="shared" si="447"/>
        <v>0</v>
      </c>
      <c r="O1457" s="168">
        <f>M1457/30</f>
        <v>0</v>
      </c>
      <c r="P1457" s="157">
        <f>N1457/30</f>
        <v>0</v>
      </c>
    </row>
    <row r="1458" spans="1:16" ht="13.5" customHeight="1">
      <c r="A1458" s="474"/>
      <c r="B1458" s="127">
        <v>8</v>
      </c>
      <c r="C1458" s="158"/>
      <c r="D1458" s="158"/>
      <c r="E1458" s="158"/>
      <c r="F1458" s="158"/>
      <c r="G1458" s="158"/>
      <c r="H1458" s="158"/>
      <c r="I1458" s="158"/>
      <c r="J1458" s="158"/>
      <c r="K1458" s="158"/>
      <c r="L1458" s="159"/>
      <c r="M1458" s="177">
        <f t="shared" si="446"/>
        <v>0</v>
      </c>
      <c r="N1458" s="158">
        <f t="shared" si="447"/>
        <v>0</v>
      </c>
      <c r="O1458" s="168">
        <f t="shared" ref="O1458:O1462" si="448">M1458/31</f>
        <v>0</v>
      </c>
      <c r="P1458" s="157">
        <f t="shared" ref="P1458:P1462" si="449">N1458/31</f>
        <v>0</v>
      </c>
    </row>
    <row r="1459" spans="1:16" ht="13.5" customHeight="1">
      <c r="A1459" s="474"/>
      <c r="B1459" s="127">
        <v>9</v>
      </c>
      <c r="C1459" s="147"/>
      <c r="D1459" s="147"/>
      <c r="E1459" s="147"/>
      <c r="F1459" s="147"/>
      <c r="G1459" s="147"/>
      <c r="H1459" s="147"/>
      <c r="I1459" s="147"/>
      <c r="J1459" s="147"/>
      <c r="K1459" s="147"/>
      <c r="L1459" s="148"/>
      <c r="M1459" s="177">
        <f t="shared" ref="M1459" si="450">+C1459+E1459+G1459+I1459+K1459</f>
        <v>0</v>
      </c>
      <c r="N1459" s="158">
        <f t="shared" ref="N1459" si="451">+D1459+F1459+H1459+J1459+L1459</f>
        <v>0</v>
      </c>
      <c r="O1459" s="168">
        <f>M1459/30</f>
        <v>0</v>
      </c>
      <c r="P1459" s="157">
        <f>N1459/30</f>
        <v>0</v>
      </c>
    </row>
    <row r="1460" spans="1:16">
      <c r="A1460" s="474"/>
      <c r="B1460" s="127">
        <v>10</v>
      </c>
      <c r="C1460" s="147"/>
      <c r="D1460" s="147"/>
      <c r="E1460" s="147"/>
      <c r="F1460" s="181"/>
      <c r="G1460" s="147"/>
      <c r="H1460" s="147"/>
      <c r="I1460" s="147"/>
      <c r="J1460" s="147"/>
      <c r="K1460" s="147"/>
      <c r="L1460" s="148"/>
      <c r="M1460" s="154">
        <f t="shared" ref="M1460" si="452">+C1460+E1460+G1460+I1460+K1460</f>
        <v>0</v>
      </c>
      <c r="N1460" s="155">
        <f t="shared" ref="N1460" si="453">+D1460+F1460+H1460+J1460+L1460</f>
        <v>0</v>
      </c>
      <c r="O1460" s="168">
        <f t="shared" ref="O1460" si="454">M1460/31</f>
        <v>0</v>
      </c>
      <c r="P1460" s="157">
        <f t="shared" ref="P1460" si="455">N1460/31</f>
        <v>0</v>
      </c>
    </row>
    <row r="1461" spans="1:16" ht="13.5" customHeight="1">
      <c r="A1461" s="474"/>
      <c r="B1461" s="127">
        <v>11</v>
      </c>
      <c r="C1461" s="367"/>
      <c r="D1461" s="367"/>
      <c r="E1461" s="367"/>
      <c r="F1461" s="367"/>
      <c r="G1461" s="367"/>
      <c r="H1461" s="367"/>
      <c r="I1461" s="367"/>
      <c r="J1461" s="367"/>
      <c r="K1461" s="367"/>
      <c r="L1461" s="368"/>
      <c r="M1461" s="154">
        <f t="shared" si="446"/>
        <v>0</v>
      </c>
      <c r="N1461" s="155">
        <f t="shared" si="447"/>
        <v>0</v>
      </c>
      <c r="O1461" s="168">
        <f t="shared" si="448"/>
        <v>0</v>
      </c>
      <c r="P1461" s="157">
        <f t="shared" si="449"/>
        <v>0</v>
      </c>
    </row>
    <row r="1462" spans="1:16" ht="13.5" customHeight="1" thickBot="1">
      <c r="A1462" s="475"/>
      <c r="B1462" s="127">
        <v>12</v>
      </c>
      <c r="C1462" s="187"/>
      <c r="D1462" s="187"/>
      <c r="E1462" s="187"/>
      <c r="F1462" s="188"/>
      <c r="G1462" s="187"/>
      <c r="H1462" s="187"/>
      <c r="I1462" s="187"/>
      <c r="J1462" s="187"/>
      <c r="K1462" s="187"/>
      <c r="L1462" s="189"/>
      <c r="M1462" s="154">
        <f t="shared" si="446"/>
        <v>0</v>
      </c>
      <c r="N1462" s="155">
        <f t="shared" si="447"/>
        <v>0</v>
      </c>
      <c r="O1462" s="168">
        <f t="shared" si="448"/>
        <v>0</v>
      </c>
      <c r="P1462" s="157">
        <f t="shared" si="449"/>
        <v>0</v>
      </c>
    </row>
    <row r="1463" spans="1:16" ht="18.75" customHeight="1" thickBot="1">
      <c r="A1463" s="180"/>
      <c r="B1463" s="160" t="s">
        <v>5</v>
      </c>
      <c r="C1463" s="161">
        <f>SUM(C1415:C1462)</f>
        <v>99</v>
      </c>
      <c r="D1463" s="161">
        <f t="shared" ref="D1463:K1463" si="456">SUM(D1415:D1462)</f>
        <v>138</v>
      </c>
      <c r="E1463" s="161">
        <f t="shared" si="456"/>
        <v>1</v>
      </c>
      <c r="F1463" s="161">
        <f t="shared" si="456"/>
        <v>1</v>
      </c>
      <c r="G1463" s="161">
        <f t="shared" si="456"/>
        <v>9</v>
      </c>
      <c r="H1463" s="161">
        <f t="shared" si="456"/>
        <v>14</v>
      </c>
      <c r="I1463" s="161">
        <f t="shared" si="456"/>
        <v>0</v>
      </c>
      <c r="J1463" s="161">
        <f t="shared" si="456"/>
        <v>0</v>
      </c>
      <c r="K1463" s="161">
        <f t="shared" si="456"/>
        <v>8</v>
      </c>
      <c r="L1463" s="161">
        <f>SUM(L1415:L1462)</f>
        <v>17</v>
      </c>
      <c r="M1463" s="162">
        <f>SUM(M1415:M1462)</f>
        <v>117</v>
      </c>
      <c r="N1463" s="161">
        <f>SUM(N1415:N1462)</f>
        <v>170</v>
      </c>
      <c r="O1463" s="161">
        <f>SUM(O1415:O1462)</f>
        <v>3.827956989247312</v>
      </c>
      <c r="P1463" s="161">
        <f>SUM(P1415:P1462)</f>
        <v>5.5193548387096776</v>
      </c>
    </row>
    <row r="1465" spans="1:16" ht="11.25" customHeight="1">
      <c r="B1465" s="467" t="s">
        <v>92</v>
      </c>
      <c r="C1465" s="469" t="s">
        <v>29</v>
      </c>
      <c r="D1465" s="470"/>
      <c r="E1465" s="469" t="s">
        <v>30</v>
      </c>
      <c r="F1465" s="470"/>
      <c r="G1465" s="469" t="s">
        <v>31</v>
      </c>
      <c r="H1465" s="470"/>
      <c r="I1465" s="469" t="s">
        <v>58</v>
      </c>
      <c r="J1465" s="470"/>
      <c r="K1465" s="469" t="s">
        <v>57</v>
      </c>
      <c r="L1465" s="471"/>
      <c r="M1465" s="470" t="s">
        <v>5</v>
      </c>
      <c r="N1465" s="472"/>
      <c r="O1465" s="472" t="s">
        <v>33</v>
      </c>
      <c r="P1465" s="472"/>
    </row>
    <row r="1466" spans="1:16" ht="11.25" customHeight="1" thickBot="1">
      <c r="B1466" s="468"/>
      <c r="C1466" s="13" t="s">
        <v>34</v>
      </c>
      <c r="D1466" s="13" t="s">
        <v>35</v>
      </c>
      <c r="E1466" s="13" t="s">
        <v>34</v>
      </c>
      <c r="F1466" s="13" t="s">
        <v>35</v>
      </c>
      <c r="G1466" s="13" t="s">
        <v>34</v>
      </c>
      <c r="H1466" s="13" t="s">
        <v>35</v>
      </c>
      <c r="I1466" s="13" t="s">
        <v>59</v>
      </c>
      <c r="J1466" s="13" t="s">
        <v>60</v>
      </c>
      <c r="K1466" s="13" t="s">
        <v>34</v>
      </c>
      <c r="L1466" s="14" t="s">
        <v>35</v>
      </c>
      <c r="M1466" s="15" t="s">
        <v>34</v>
      </c>
      <c r="N1466" s="13" t="s">
        <v>35</v>
      </c>
      <c r="O1466" s="163" t="s">
        <v>34</v>
      </c>
      <c r="P1466" s="163" t="s">
        <v>35</v>
      </c>
    </row>
    <row r="1467" spans="1:16" ht="13.5" customHeight="1">
      <c r="A1467" s="473">
        <v>2017</v>
      </c>
      <c r="B1467" s="410">
        <v>1</v>
      </c>
      <c r="C1467" s="422"/>
      <c r="D1467" s="422"/>
      <c r="E1467" s="422"/>
      <c r="F1467" s="422"/>
      <c r="G1467" s="422"/>
      <c r="H1467" s="422"/>
      <c r="I1467" s="422"/>
      <c r="J1467" s="422"/>
      <c r="K1467" s="422"/>
      <c r="L1467" s="432"/>
      <c r="M1467" s="424">
        <f t="shared" ref="M1467:M1498" si="457">+C1467+E1467+G1467+I1467+K1467</f>
        <v>0</v>
      </c>
      <c r="N1467" s="425">
        <f t="shared" ref="N1467:N1498" si="458">+D1467+F1467+H1467+J1467+L1467</f>
        <v>0</v>
      </c>
      <c r="O1467" s="430">
        <f t="shared" ref="O1467:P1471" si="459">M1467/31</f>
        <v>0</v>
      </c>
      <c r="P1467" s="427">
        <f t="shared" si="459"/>
        <v>0</v>
      </c>
    </row>
    <row r="1468" spans="1:16" ht="13.5" customHeight="1">
      <c r="A1468" s="474"/>
      <c r="B1468" s="127">
        <v>2</v>
      </c>
      <c r="C1468" s="147"/>
      <c r="D1468" s="147"/>
      <c r="E1468" s="147"/>
      <c r="F1468" s="147"/>
      <c r="G1468" s="147"/>
      <c r="H1468" s="147"/>
      <c r="I1468" s="147"/>
      <c r="J1468" s="147"/>
      <c r="K1468" s="147"/>
      <c r="L1468" s="174"/>
      <c r="M1468" s="149">
        <f t="shared" si="457"/>
        <v>0</v>
      </c>
      <c r="N1468" s="150">
        <f t="shared" si="458"/>
        <v>0</v>
      </c>
      <c r="O1468" s="167">
        <f t="shared" si="459"/>
        <v>0</v>
      </c>
      <c r="P1468" s="152">
        <f t="shared" si="459"/>
        <v>0</v>
      </c>
    </row>
    <row r="1469" spans="1:16" ht="13.5" customHeight="1">
      <c r="A1469" s="474"/>
      <c r="B1469" s="127">
        <v>3</v>
      </c>
      <c r="C1469" s="147"/>
      <c r="D1469" s="147"/>
      <c r="E1469" s="147"/>
      <c r="F1469" s="147"/>
      <c r="G1469" s="147"/>
      <c r="H1469" s="147"/>
      <c r="I1469" s="147"/>
      <c r="J1469" s="147"/>
      <c r="K1469" s="147"/>
      <c r="L1469" s="174"/>
      <c r="M1469" s="149">
        <f t="shared" si="457"/>
        <v>0</v>
      </c>
      <c r="N1469" s="150">
        <f t="shared" si="458"/>
        <v>0</v>
      </c>
      <c r="O1469" s="167">
        <f t="shared" si="459"/>
        <v>0</v>
      </c>
      <c r="P1469" s="152">
        <f t="shared" si="459"/>
        <v>0</v>
      </c>
    </row>
    <row r="1470" spans="1:16" ht="13.5" customHeight="1">
      <c r="A1470" s="474"/>
      <c r="B1470" s="127">
        <v>4</v>
      </c>
      <c r="C1470" s="158"/>
      <c r="D1470" s="158"/>
      <c r="E1470" s="158"/>
      <c r="F1470" s="158"/>
      <c r="G1470" s="158"/>
      <c r="H1470" s="158"/>
      <c r="I1470" s="158"/>
      <c r="J1470" s="158"/>
      <c r="K1470" s="158"/>
      <c r="L1470" s="159"/>
      <c r="M1470" s="154">
        <f t="shared" si="457"/>
        <v>0</v>
      </c>
      <c r="N1470" s="155">
        <f t="shared" si="458"/>
        <v>0</v>
      </c>
      <c r="O1470" s="168">
        <f t="shared" si="459"/>
        <v>0</v>
      </c>
      <c r="P1470" s="157">
        <f t="shared" si="459"/>
        <v>0</v>
      </c>
    </row>
    <row r="1471" spans="1:16" ht="13.5" customHeight="1">
      <c r="A1471" s="474"/>
      <c r="B1471" s="127">
        <v>5</v>
      </c>
      <c r="C1471" s="158"/>
      <c r="D1471" s="158"/>
      <c r="E1471" s="158"/>
      <c r="F1471" s="158"/>
      <c r="G1471" s="158"/>
      <c r="H1471" s="158"/>
      <c r="I1471" s="158"/>
      <c r="J1471" s="158"/>
      <c r="K1471" s="158"/>
      <c r="L1471" s="159"/>
      <c r="M1471" s="154">
        <f t="shared" si="457"/>
        <v>0</v>
      </c>
      <c r="N1471" s="155">
        <f t="shared" si="458"/>
        <v>0</v>
      </c>
      <c r="O1471" s="168">
        <f t="shared" si="459"/>
        <v>0</v>
      </c>
      <c r="P1471" s="157">
        <f t="shared" si="459"/>
        <v>0</v>
      </c>
    </row>
    <row r="1472" spans="1:16" ht="13.5" customHeight="1">
      <c r="A1472" s="474"/>
      <c r="B1472" s="127">
        <v>6</v>
      </c>
      <c r="C1472" s="158"/>
      <c r="D1472" s="158"/>
      <c r="E1472" s="158"/>
      <c r="F1472" s="158"/>
      <c r="G1472" s="158"/>
      <c r="H1472" s="158"/>
      <c r="I1472" s="158"/>
      <c r="J1472" s="158"/>
      <c r="K1472" s="158"/>
      <c r="L1472" s="158"/>
      <c r="M1472" s="154">
        <f t="shared" si="457"/>
        <v>0</v>
      </c>
      <c r="N1472" s="155">
        <f t="shared" si="458"/>
        <v>0</v>
      </c>
      <c r="O1472" s="168">
        <f>M1472/30</f>
        <v>0</v>
      </c>
      <c r="P1472" s="157">
        <f>N1472/30</f>
        <v>0</v>
      </c>
    </row>
    <row r="1473" spans="1:16" ht="13.5" customHeight="1">
      <c r="A1473" s="474"/>
      <c r="B1473" s="127">
        <v>7</v>
      </c>
      <c r="C1473" s="158"/>
      <c r="D1473" s="158"/>
      <c r="E1473" s="158"/>
      <c r="F1473" s="158"/>
      <c r="G1473" s="158"/>
      <c r="H1473" s="158"/>
      <c r="I1473" s="158"/>
      <c r="J1473" s="158"/>
      <c r="K1473" s="158"/>
      <c r="L1473" s="158"/>
      <c r="M1473" s="154">
        <f t="shared" si="457"/>
        <v>0</v>
      </c>
      <c r="N1473" s="155">
        <f t="shared" si="458"/>
        <v>0</v>
      </c>
      <c r="O1473" s="168">
        <f t="shared" ref="O1473:O1483" si="460">M1473/31</f>
        <v>0</v>
      </c>
      <c r="P1473" s="157">
        <f t="shared" ref="P1473:P1483" si="461">N1473/31</f>
        <v>0</v>
      </c>
    </row>
    <row r="1474" spans="1:16" ht="13.5" customHeight="1">
      <c r="A1474" s="474"/>
      <c r="B1474" s="127">
        <v>8</v>
      </c>
      <c r="C1474" s="158">
        <v>1</v>
      </c>
      <c r="D1474" s="158">
        <v>0</v>
      </c>
      <c r="E1474" s="158">
        <v>0</v>
      </c>
      <c r="F1474" s="158">
        <v>0</v>
      </c>
      <c r="G1474" s="158">
        <v>0</v>
      </c>
      <c r="H1474" s="158">
        <v>0</v>
      </c>
      <c r="I1474" s="158">
        <v>0</v>
      </c>
      <c r="J1474" s="158">
        <v>0</v>
      </c>
      <c r="K1474" s="158">
        <v>0</v>
      </c>
      <c r="L1474" s="159">
        <v>0</v>
      </c>
      <c r="M1474" s="177">
        <f t="shared" si="457"/>
        <v>1</v>
      </c>
      <c r="N1474" s="158">
        <f t="shared" si="458"/>
        <v>0</v>
      </c>
      <c r="O1474" s="168">
        <f t="shared" si="460"/>
        <v>3.2258064516129031E-2</v>
      </c>
      <c r="P1474" s="157">
        <f t="shared" si="461"/>
        <v>0</v>
      </c>
    </row>
    <row r="1475" spans="1:16" ht="13.5" customHeight="1">
      <c r="A1475" s="474"/>
      <c r="B1475" s="127">
        <v>9</v>
      </c>
      <c r="C1475" s="147">
        <v>0</v>
      </c>
      <c r="D1475" s="147">
        <v>2</v>
      </c>
      <c r="E1475" s="147">
        <v>0</v>
      </c>
      <c r="F1475" s="147">
        <v>0</v>
      </c>
      <c r="G1475" s="147">
        <v>0</v>
      </c>
      <c r="H1475" s="147">
        <v>0</v>
      </c>
      <c r="I1475" s="147">
        <v>0</v>
      </c>
      <c r="J1475" s="147">
        <v>0</v>
      </c>
      <c r="K1475" s="147">
        <v>0</v>
      </c>
      <c r="L1475" s="148">
        <v>0</v>
      </c>
      <c r="M1475" s="177">
        <f t="shared" si="457"/>
        <v>0</v>
      </c>
      <c r="N1475" s="158">
        <f t="shared" si="458"/>
        <v>2</v>
      </c>
      <c r="O1475" s="168">
        <f t="shared" si="460"/>
        <v>0</v>
      </c>
      <c r="P1475" s="157">
        <f t="shared" si="461"/>
        <v>6.4516129032258063E-2</v>
      </c>
    </row>
    <row r="1476" spans="1:16" ht="13.5" customHeight="1">
      <c r="A1476" s="474"/>
      <c r="B1476" s="127">
        <v>10</v>
      </c>
      <c r="C1476" s="147">
        <v>0</v>
      </c>
      <c r="D1476" s="147">
        <v>0</v>
      </c>
      <c r="E1476" s="147">
        <v>0</v>
      </c>
      <c r="F1476" s="181">
        <v>0</v>
      </c>
      <c r="G1476" s="147">
        <v>0</v>
      </c>
      <c r="H1476" s="147">
        <v>0</v>
      </c>
      <c r="I1476" s="147">
        <v>0</v>
      </c>
      <c r="J1476" s="147">
        <v>0</v>
      </c>
      <c r="K1476" s="147">
        <v>0</v>
      </c>
      <c r="L1476" s="148">
        <v>0</v>
      </c>
      <c r="M1476" s="154">
        <f t="shared" si="457"/>
        <v>0</v>
      </c>
      <c r="N1476" s="155">
        <f t="shared" si="458"/>
        <v>0</v>
      </c>
      <c r="O1476" s="168">
        <f t="shared" si="460"/>
        <v>0</v>
      </c>
      <c r="P1476" s="157">
        <f t="shared" si="461"/>
        <v>0</v>
      </c>
    </row>
    <row r="1477" spans="1:16" ht="13.5" customHeight="1">
      <c r="A1477" s="474"/>
      <c r="B1477" s="127">
        <v>11</v>
      </c>
      <c r="C1477" s="367">
        <v>0</v>
      </c>
      <c r="D1477" s="367">
        <v>0</v>
      </c>
      <c r="E1477" s="367">
        <v>0</v>
      </c>
      <c r="F1477" s="367">
        <v>0</v>
      </c>
      <c r="G1477" s="367">
        <v>0</v>
      </c>
      <c r="H1477" s="367">
        <v>0</v>
      </c>
      <c r="I1477" s="367">
        <v>0</v>
      </c>
      <c r="J1477" s="367">
        <v>0</v>
      </c>
      <c r="K1477" s="367">
        <v>0</v>
      </c>
      <c r="L1477" s="368">
        <v>0</v>
      </c>
      <c r="M1477" s="154">
        <f t="shared" si="457"/>
        <v>0</v>
      </c>
      <c r="N1477" s="155">
        <f t="shared" si="458"/>
        <v>0</v>
      </c>
      <c r="O1477" s="168">
        <f t="shared" si="460"/>
        <v>0</v>
      </c>
      <c r="P1477" s="157">
        <f t="shared" si="461"/>
        <v>0</v>
      </c>
    </row>
    <row r="1478" spans="1:16" ht="13.5" customHeight="1" thickBot="1">
      <c r="A1478" s="475"/>
      <c r="B1478" s="127">
        <v>12</v>
      </c>
      <c r="C1478" s="187">
        <v>0</v>
      </c>
      <c r="D1478" s="187">
        <v>0</v>
      </c>
      <c r="E1478" s="187">
        <v>0</v>
      </c>
      <c r="F1478" s="188">
        <v>0</v>
      </c>
      <c r="G1478" s="187">
        <v>0</v>
      </c>
      <c r="H1478" s="187">
        <v>0</v>
      </c>
      <c r="I1478" s="187">
        <v>0</v>
      </c>
      <c r="J1478" s="187">
        <v>0</v>
      </c>
      <c r="K1478" s="187">
        <v>0</v>
      </c>
      <c r="L1478" s="189">
        <v>0</v>
      </c>
      <c r="M1478" s="154">
        <f t="shared" si="457"/>
        <v>0</v>
      </c>
      <c r="N1478" s="155">
        <f t="shared" si="458"/>
        <v>0</v>
      </c>
      <c r="O1478" s="168">
        <f t="shared" si="460"/>
        <v>0</v>
      </c>
      <c r="P1478" s="157">
        <f t="shared" si="461"/>
        <v>0</v>
      </c>
    </row>
    <row r="1479" spans="1:16" ht="13.5" customHeight="1">
      <c r="A1479" s="473">
        <v>2018</v>
      </c>
      <c r="B1479" s="410">
        <v>1</v>
      </c>
      <c r="C1479" s="158">
        <v>0</v>
      </c>
      <c r="D1479" s="158">
        <v>0</v>
      </c>
      <c r="E1479" s="158">
        <v>0</v>
      </c>
      <c r="F1479" s="169">
        <v>0</v>
      </c>
      <c r="G1479" s="158">
        <v>0</v>
      </c>
      <c r="H1479" s="158">
        <v>0</v>
      </c>
      <c r="I1479" s="158">
        <v>0</v>
      </c>
      <c r="J1479" s="158">
        <v>0</v>
      </c>
      <c r="K1479" s="158">
        <v>0</v>
      </c>
      <c r="L1479" s="159">
        <v>0</v>
      </c>
      <c r="M1479" s="424">
        <f t="shared" si="457"/>
        <v>0</v>
      </c>
      <c r="N1479" s="425">
        <f t="shared" si="458"/>
        <v>0</v>
      </c>
      <c r="O1479" s="430">
        <f t="shared" si="460"/>
        <v>0</v>
      </c>
      <c r="P1479" s="427">
        <f t="shared" si="461"/>
        <v>0</v>
      </c>
    </row>
    <row r="1480" spans="1:16" ht="13.5" customHeight="1">
      <c r="A1480" s="474"/>
      <c r="B1480" s="127">
        <v>2</v>
      </c>
      <c r="C1480" s="158">
        <v>0</v>
      </c>
      <c r="D1480" s="158">
        <v>0</v>
      </c>
      <c r="E1480" s="158">
        <v>0</v>
      </c>
      <c r="F1480" s="169">
        <v>0</v>
      </c>
      <c r="G1480" s="158">
        <v>0</v>
      </c>
      <c r="H1480" s="158">
        <v>0</v>
      </c>
      <c r="I1480" s="158">
        <v>0</v>
      </c>
      <c r="J1480" s="158">
        <v>0</v>
      </c>
      <c r="K1480" s="158">
        <v>0</v>
      </c>
      <c r="L1480" s="159">
        <v>0</v>
      </c>
      <c r="M1480" s="154">
        <f t="shared" si="457"/>
        <v>0</v>
      </c>
      <c r="N1480" s="155">
        <f t="shared" si="458"/>
        <v>0</v>
      </c>
      <c r="O1480" s="168">
        <f t="shared" si="460"/>
        <v>0</v>
      </c>
      <c r="P1480" s="157">
        <f t="shared" si="461"/>
        <v>0</v>
      </c>
    </row>
    <row r="1481" spans="1:16" ht="13.5" customHeight="1">
      <c r="A1481" s="474"/>
      <c r="B1481" s="127">
        <v>3</v>
      </c>
      <c r="C1481" s="158">
        <v>0</v>
      </c>
      <c r="D1481" s="158">
        <v>0</v>
      </c>
      <c r="E1481" s="158">
        <v>0</v>
      </c>
      <c r="F1481" s="169">
        <v>0</v>
      </c>
      <c r="G1481" s="158">
        <v>0</v>
      </c>
      <c r="H1481" s="158">
        <v>0</v>
      </c>
      <c r="I1481" s="158">
        <v>0</v>
      </c>
      <c r="J1481" s="158">
        <v>0</v>
      </c>
      <c r="K1481" s="158">
        <v>0</v>
      </c>
      <c r="L1481" s="159">
        <v>0</v>
      </c>
      <c r="M1481" s="154">
        <f t="shared" si="457"/>
        <v>0</v>
      </c>
      <c r="N1481" s="155">
        <f t="shared" si="458"/>
        <v>0</v>
      </c>
      <c r="O1481" s="168">
        <f t="shared" si="460"/>
        <v>0</v>
      </c>
      <c r="P1481" s="157">
        <f t="shared" si="461"/>
        <v>0</v>
      </c>
    </row>
    <row r="1482" spans="1:16" ht="13.5" customHeight="1">
      <c r="A1482" s="474"/>
      <c r="B1482" s="127">
        <v>4</v>
      </c>
      <c r="C1482" s="158">
        <v>0</v>
      </c>
      <c r="D1482" s="158">
        <v>0</v>
      </c>
      <c r="E1482" s="158">
        <v>0</v>
      </c>
      <c r="F1482" s="169">
        <v>0</v>
      </c>
      <c r="G1482" s="158">
        <v>0</v>
      </c>
      <c r="H1482" s="158">
        <v>0</v>
      </c>
      <c r="I1482" s="158">
        <v>0</v>
      </c>
      <c r="J1482" s="158">
        <v>0</v>
      </c>
      <c r="K1482" s="158">
        <v>0</v>
      </c>
      <c r="L1482" s="159">
        <v>0</v>
      </c>
      <c r="M1482" s="154">
        <f t="shared" si="457"/>
        <v>0</v>
      </c>
      <c r="N1482" s="155">
        <f t="shared" si="458"/>
        <v>0</v>
      </c>
      <c r="O1482" s="168">
        <f t="shared" si="460"/>
        <v>0</v>
      </c>
      <c r="P1482" s="157">
        <f t="shared" si="461"/>
        <v>0</v>
      </c>
    </row>
    <row r="1483" spans="1:16" ht="13.5" customHeight="1">
      <c r="A1483" s="474"/>
      <c r="B1483" s="127">
        <v>5</v>
      </c>
      <c r="C1483" s="158">
        <v>0</v>
      </c>
      <c r="D1483" s="158">
        <v>0</v>
      </c>
      <c r="E1483" s="158">
        <v>0</v>
      </c>
      <c r="F1483" s="169">
        <v>0</v>
      </c>
      <c r="G1483" s="158">
        <v>0</v>
      </c>
      <c r="H1483" s="158">
        <v>0</v>
      </c>
      <c r="I1483" s="158">
        <v>0</v>
      </c>
      <c r="J1483" s="158">
        <v>0</v>
      </c>
      <c r="K1483" s="158">
        <v>0</v>
      </c>
      <c r="L1483" s="159">
        <v>0</v>
      </c>
      <c r="M1483" s="154">
        <f t="shared" si="457"/>
        <v>0</v>
      </c>
      <c r="N1483" s="155">
        <f t="shared" si="458"/>
        <v>0</v>
      </c>
      <c r="O1483" s="168">
        <f t="shared" si="460"/>
        <v>0</v>
      </c>
      <c r="P1483" s="157">
        <f t="shared" si="461"/>
        <v>0</v>
      </c>
    </row>
    <row r="1484" spans="1:16" ht="13.5" customHeight="1">
      <c r="A1484" s="474"/>
      <c r="B1484" s="127">
        <v>6</v>
      </c>
      <c r="C1484" s="158">
        <v>0</v>
      </c>
      <c r="D1484" s="158">
        <v>0</v>
      </c>
      <c r="E1484" s="158">
        <v>0</v>
      </c>
      <c r="F1484" s="169">
        <v>0</v>
      </c>
      <c r="G1484" s="158">
        <v>0</v>
      </c>
      <c r="H1484" s="158">
        <v>0</v>
      </c>
      <c r="I1484" s="158">
        <v>0</v>
      </c>
      <c r="J1484" s="158">
        <v>0</v>
      </c>
      <c r="K1484" s="158">
        <v>0</v>
      </c>
      <c r="L1484" s="159">
        <v>0</v>
      </c>
      <c r="M1484" s="154">
        <f t="shared" si="457"/>
        <v>0</v>
      </c>
      <c r="N1484" s="155">
        <f t="shared" si="458"/>
        <v>0</v>
      </c>
      <c r="O1484" s="168">
        <f>M1484/30</f>
        <v>0</v>
      </c>
      <c r="P1484" s="157">
        <f>N1484/30</f>
        <v>0</v>
      </c>
    </row>
    <row r="1485" spans="1:16" ht="13.5" customHeight="1">
      <c r="A1485" s="474"/>
      <c r="B1485" s="127">
        <v>7</v>
      </c>
      <c r="C1485" s="158">
        <v>0</v>
      </c>
      <c r="D1485" s="158">
        <v>0</v>
      </c>
      <c r="E1485" s="158">
        <v>0</v>
      </c>
      <c r="F1485" s="169">
        <v>0</v>
      </c>
      <c r="G1485" s="158">
        <v>0</v>
      </c>
      <c r="H1485" s="158">
        <v>0</v>
      </c>
      <c r="I1485" s="158">
        <v>0</v>
      </c>
      <c r="J1485" s="158">
        <v>0</v>
      </c>
      <c r="K1485" s="158">
        <v>0</v>
      </c>
      <c r="L1485" s="159">
        <v>0</v>
      </c>
      <c r="M1485" s="154">
        <f t="shared" si="457"/>
        <v>0</v>
      </c>
      <c r="N1485" s="155">
        <f t="shared" si="458"/>
        <v>0</v>
      </c>
      <c r="O1485" s="168">
        <f t="shared" ref="O1485:P1507" si="462">M1485/31</f>
        <v>0</v>
      </c>
      <c r="P1485" s="157">
        <f t="shared" si="462"/>
        <v>0</v>
      </c>
    </row>
    <row r="1486" spans="1:16" ht="13.5" customHeight="1">
      <c r="A1486" s="474"/>
      <c r="B1486" s="127">
        <v>8</v>
      </c>
      <c r="C1486" s="158">
        <v>0</v>
      </c>
      <c r="D1486" s="158">
        <v>0</v>
      </c>
      <c r="E1486" s="158">
        <v>0</v>
      </c>
      <c r="F1486" s="158">
        <v>0</v>
      </c>
      <c r="G1486" s="158">
        <v>0</v>
      </c>
      <c r="H1486" s="158">
        <v>0</v>
      </c>
      <c r="I1486" s="158">
        <v>0</v>
      </c>
      <c r="J1486" s="158">
        <v>0</v>
      </c>
      <c r="K1486" s="158">
        <v>0</v>
      </c>
      <c r="L1486" s="159">
        <v>0</v>
      </c>
      <c r="M1486" s="177">
        <f t="shared" si="457"/>
        <v>0</v>
      </c>
      <c r="N1486" s="158">
        <f t="shared" si="458"/>
        <v>0</v>
      </c>
      <c r="O1486" s="168">
        <f t="shared" si="462"/>
        <v>0</v>
      </c>
      <c r="P1486" s="157">
        <f t="shared" si="462"/>
        <v>0</v>
      </c>
    </row>
    <row r="1487" spans="1:16" ht="13.5" customHeight="1">
      <c r="A1487" s="474"/>
      <c r="B1487" s="127">
        <v>9</v>
      </c>
      <c r="C1487" s="147">
        <v>0</v>
      </c>
      <c r="D1487" s="147">
        <v>0</v>
      </c>
      <c r="E1487" s="147">
        <v>0</v>
      </c>
      <c r="F1487" s="147">
        <v>0</v>
      </c>
      <c r="G1487" s="147">
        <v>0</v>
      </c>
      <c r="H1487" s="147">
        <v>0</v>
      </c>
      <c r="I1487" s="147">
        <v>0</v>
      </c>
      <c r="J1487" s="147">
        <v>0</v>
      </c>
      <c r="K1487" s="147">
        <v>0</v>
      </c>
      <c r="L1487" s="148">
        <v>0</v>
      </c>
      <c r="M1487" s="177">
        <f t="shared" si="457"/>
        <v>0</v>
      </c>
      <c r="N1487" s="158">
        <f t="shared" si="458"/>
        <v>0</v>
      </c>
      <c r="O1487" s="168">
        <f t="shared" si="462"/>
        <v>0</v>
      </c>
      <c r="P1487" s="157">
        <f t="shared" si="462"/>
        <v>0</v>
      </c>
    </row>
    <row r="1488" spans="1:16" ht="13.5" customHeight="1">
      <c r="A1488" s="474"/>
      <c r="B1488" s="127">
        <v>10</v>
      </c>
      <c r="C1488" s="147">
        <v>0</v>
      </c>
      <c r="D1488" s="147">
        <v>0</v>
      </c>
      <c r="E1488" s="147">
        <v>0</v>
      </c>
      <c r="F1488" s="181">
        <v>0</v>
      </c>
      <c r="G1488" s="147">
        <v>0</v>
      </c>
      <c r="H1488" s="147">
        <v>0</v>
      </c>
      <c r="I1488" s="147">
        <v>0</v>
      </c>
      <c r="J1488" s="147">
        <v>0</v>
      </c>
      <c r="K1488" s="147">
        <v>0</v>
      </c>
      <c r="L1488" s="148">
        <v>0</v>
      </c>
      <c r="M1488" s="154">
        <f t="shared" si="457"/>
        <v>0</v>
      </c>
      <c r="N1488" s="155">
        <f t="shared" si="458"/>
        <v>0</v>
      </c>
      <c r="O1488" s="168">
        <f t="shared" si="462"/>
        <v>0</v>
      </c>
      <c r="P1488" s="157">
        <f t="shared" si="462"/>
        <v>0</v>
      </c>
    </row>
    <row r="1489" spans="1:16" ht="13.5" customHeight="1">
      <c r="A1489" s="474"/>
      <c r="B1489" s="127">
        <v>11</v>
      </c>
      <c r="C1489" s="367">
        <v>0</v>
      </c>
      <c r="D1489" s="367">
        <v>0</v>
      </c>
      <c r="E1489" s="367">
        <v>0</v>
      </c>
      <c r="F1489" s="367">
        <v>0</v>
      </c>
      <c r="G1489" s="367">
        <v>0</v>
      </c>
      <c r="H1489" s="367">
        <v>0</v>
      </c>
      <c r="I1489" s="367">
        <v>0</v>
      </c>
      <c r="J1489" s="367">
        <v>0</v>
      </c>
      <c r="K1489" s="367">
        <v>0</v>
      </c>
      <c r="L1489" s="368">
        <v>0</v>
      </c>
      <c r="M1489" s="154">
        <f t="shared" si="457"/>
        <v>0</v>
      </c>
      <c r="N1489" s="155">
        <f t="shared" si="458"/>
        <v>0</v>
      </c>
      <c r="O1489" s="168">
        <f t="shared" si="462"/>
        <v>0</v>
      </c>
      <c r="P1489" s="157">
        <f t="shared" si="462"/>
        <v>0</v>
      </c>
    </row>
    <row r="1490" spans="1:16" ht="13.5" customHeight="1" thickBot="1">
      <c r="A1490" s="475"/>
      <c r="B1490" s="127">
        <v>12</v>
      </c>
      <c r="C1490" s="187">
        <v>0</v>
      </c>
      <c r="D1490" s="187">
        <v>0</v>
      </c>
      <c r="E1490" s="187">
        <v>0</v>
      </c>
      <c r="F1490" s="188">
        <v>0</v>
      </c>
      <c r="G1490" s="187">
        <v>0</v>
      </c>
      <c r="H1490" s="187">
        <v>0</v>
      </c>
      <c r="I1490" s="187">
        <v>0</v>
      </c>
      <c r="J1490" s="187">
        <v>0</v>
      </c>
      <c r="K1490" s="187">
        <v>0</v>
      </c>
      <c r="L1490" s="189">
        <v>0</v>
      </c>
      <c r="M1490" s="154">
        <f t="shared" si="457"/>
        <v>0</v>
      </c>
      <c r="N1490" s="155">
        <f t="shared" si="458"/>
        <v>0</v>
      </c>
      <c r="O1490" s="168">
        <f t="shared" si="462"/>
        <v>0</v>
      </c>
      <c r="P1490" s="157">
        <f t="shared" si="462"/>
        <v>0</v>
      </c>
    </row>
    <row r="1491" spans="1:16" ht="13.5" customHeight="1">
      <c r="A1491" s="473">
        <v>2019</v>
      </c>
      <c r="B1491" s="410">
        <v>1</v>
      </c>
      <c r="C1491" s="158">
        <v>0</v>
      </c>
      <c r="D1491" s="158">
        <v>0</v>
      </c>
      <c r="E1491" s="158">
        <v>0</v>
      </c>
      <c r="F1491" s="169">
        <v>0</v>
      </c>
      <c r="G1491" s="158">
        <v>0</v>
      </c>
      <c r="H1491" s="158">
        <v>0</v>
      </c>
      <c r="I1491" s="158">
        <v>0</v>
      </c>
      <c r="J1491" s="158">
        <v>0</v>
      </c>
      <c r="K1491" s="158">
        <v>0</v>
      </c>
      <c r="L1491" s="159">
        <v>0</v>
      </c>
      <c r="M1491" s="424">
        <f t="shared" si="457"/>
        <v>0</v>
      </c>
      <c r="N1491" s="425">
        <f t="shared" si="458"/>
        <v>0</v>
      </c>
      <c r="O1491" s="430">
        <f t="shared" ref="O1491:O1495" si="463">M1491/31</f>
        <v>0</v>
      </c>
      <c r="P1491" s="427">
        <f t="shared" ref="P1491:P1495" si="464">N1491/31</f>
        <v>0</v>
      </c>
    </row>
    <row r="1492" spans="1:16" ht="13.5" customHeight="1">
      <c r="A1492" s="474"/>
      <c r="B1492" s="127">
        <v>2</v>
      </c>
      <c r="C1492" s="158">
        <v>0</v>
      </c>
      <c r="D1492" s="158">
        <v>0</v>
      </c>
      <c r="E1492" s="158">
        <v>0</v>
      </c>
      <c r="F1492" s="169">
        <v>0</v>
      </c>
      <c r="G1492" s="158">
        <v>0</v>
      </c>
      <c r="H1492" s="158">
        <v>0</v>
      </c>
      <c r="I1492" s="158">
        <v>0</v>
      </c>
      <c r="J1492" s="158">
        <v>0</v>
      </c>
      <c r="K1492" s="158">
        <v>0</v>
      </c>
      <c r="L1492" s="159">
        <v>0</v>
      </c>
      <c r="M1492" s="154">
        <f t="shared" si="457"/>
        <v>0</v>
      </c>
      <c r="N1492" s="155">
        <f t="shared" si="458"/>
        <v>0</v>
      </c>
      <c r="O1492" s="168">
        <f t="shared" si="463"/>
        <v>0</v>
      </c>
      <c r="P1492" s="157">
        <f t="shared" si="464"/>
        <v>0</v>
      </c>
    </row>
    <row r="1493" spans="1:16" ht="13.5" customHeight="1">
      <c r="A1493" s="474"/>
      <c r="B1493" s="127">
        <v>3</v>
      </c>
      <c r="C1493" s="158">
        <v>0</v>
      </c>
      <c r="D1493" s="158">
        <v>0</v>
      </c>
      <c r="E1493" s="158">
        <v>0</v>
      </c>
      <c r="F1493" s="169">
        <v>0</v>
      </c>
      <c r="G1493" s="158">
        <v>0</v>
      </c>
      <c r="H1493" s="158">
        <v>0</v>
      </c>
      <c r="I1493" s="158">
        <v>0</v>
      </c>
      <c r="J1493" s="158">
        <v>0</v>
      </c>
      <c r="K1493" s="158">
        <v>0</v>
      </c>
      <c r="L1493" s="159">
        <v>0</v>
      </c>
      <c r="M1493" s="154">
        <f t="shared" si="457"/>
        <v>0</v>
      </c>
      <c r="N1493" s="155">
        <f t="shared" si="458"/>
        <v>0</v>
      </c>
      <c r="O1493" s="168">
        <f t="shared" si="463"/>
        <v>0</v>
      </c>
      <c r="P1493" s="157">
        <f t="shared" si="464"/>
        <v>0</v>
      </c>
    </row>
    <row r="1494" spans="1:16" ht="13.5" customHeight="1">
      <c r="A1494" s="474"/>
      <c r="B1494" s="127">
        <v>4</v>
      </c>
      <c r="C1494" s="158">
        <v>0</v>
      </c>
      <c r="D1494" s="158">
        <v>0</v>
      </c>
      <c r="E1494" s="158">
        <v>0</v>
      </c>
      <c r="F1494" s="169">
        <v>0</v>
      </c>
      <c r="G1494" s="158">
        <v>0</v>
      </c>
      <c r="H1494" s="158">
        <v>0</v>
      </c>
      <c r="I1494" s="158">
        <v>0</v>
      </c>
      <c r="J1494" s="158">
        <v>0</v>
      </c>
      <c r="K1494" s="158">
        <v>0</v>
      </c>
      <c r="L1494" s="159">
        <v>0</v>
      </c>
      <c r="M1494" s="154">
        <f t="shared" si="457"/>
        <v>0</v>
      </c>
      <c r="N1494" s="155">
        <f t="shared" si="458"/>
        <v>0</v>
      </c>
      <c r="O1494" s="168">
        <f t="shared" si="463"/>
        <v>0</v>
      </c>
      <c r="P1494" s="157">
        <f t="shared" si="464"/>
        <v>0</v>
      </c>
    </row>
    <row r="1495" spans="1:16" ht="13.5" customHeight="1">
      <c r="A1495" s="474"/>
      <c r="B1495" s="127">
        <v>5</v>
      </c>
      <c r="C1495" s="158">
        <v>0</v>
      </c>
      <c r="D1495" s="158">
        <v>0</v>
      </c>
      <c r="E1495" s="158">
        <v>0</v>
      </c>
      <c r="F1495" s="169">
        <v>0</v>
      </c>
      <c r="G1495" s="158">
        <v>0</v>
      </c>
      <c r="H1495" s="158">
        <v>0</v>
      </c>
      <c r="I1495" s="158">
        <v>0</v>
      </c>
      <c r="J1495" s="158">
        <v>0</v>
      </c>
      <c r="K1495" s="158">
        <v>0</v>
      </c>
      <c r="L1495" s="159">
        <v>0</v>
      </c>
      <c r="M1495" s="154">
        <f t="shared" si="457"/>
        <v>0</v>
      </c>
      <c r="N1495" s="155">
        <f t="shared" si="458"/>
        <v>0</v>
      </c>
      <c r="O1495" s="168">
        <f t="shared" si="463"/>
        <v>0</v>
      </c>
      <c r="P1495" s="157">
        <f t="shared" si="464"/>
        <v>0</v>
      </c>
    </row>
    <row r="1496" spans="1:16" ht="13.5" customHeight="1">
      <c r="A1496" s="474"/>
      <c r="B1496" s="127">
        <v>6</v>
      </c>
      <c r="C1496" s="158">
        <v>0</v>
      </c>
      <c r="D1496" s="158">
        <v>0</v>
      </c>
      <c r="E1496" s="158">
        <v>0</v>
      </c>
      <c r="F1496" s="169">
        <v>0</v>
      </c>
      <c r="G1496" s="158">
        <v>0</v>
      </c>
      <c r="H1496" s="158">
        <v>0</v>
      </c>
      <c r="I1496" s="158">
        <v>0</v>
      </c>
      <c r="J1496" s="158">
        <v>0</v>
      </c>
      <c r="K1496" s="158">
        <v>0</v>
      </c>
      <c r="L1496" s="159">
        <v>0</v>
      </c>
      <c r="M1496" s="154">
        <f t="shared" si="457"/>
        <v>0</v>
      </c>
      <c r="N1496" s="155">
        <f t="shared" si="458"/>
        <v>0</v>
      </c>
      <c r="O1496" s="168">
        <f>M1496/30</f>
        <v>0</v>
      </c>
      <c r="P1496" s="157">
        <f>N1496/30</f>
        <v>0</v>
      </c>
    </row>
    <row r="1497" spans="1:16" ht="13.5" customHeight="1">
      <c r="A1497" s="474"/>
      <c r="B1497" s="127">
        <v>7</v>
      </c>
      <c r="C1497" s="158">
        <v>0</v>
      </c>
      <c r="D1497" s="158">
        <v>0</v>
      </c>
      <c r="E1497" s="158">
        <v>0</v>
      </c>
      <c r="F1497" s="169">
        <v>0</v>
      </c>
      <c r="G1497" s="158">
        <v>0</v>
      </c>
      <c r="H1497" s="158">
        <v>0</v>
      </c>
      <c r="I1497" s="158">
        <v>0</v>
      </c>
      <c r="J1497" s="158">
        <v>0</v>
      </c>
      <c r="K1497" s="158">
        <v>0</v>
      </c>
      <c r="L1497" s="159">
        <v>0</v>
      </c>
      <c r="M1497" s="154">
        <f t="shared" si="457"/>
        <v>0</v>
      </c>
      <c r="N1497" s="155">
        <f t="shared" si="458"/>
        <v>0</v>
      </c>
      <c r="O1497" s="168">
        <f t="shared" ref="O1497:O1498" si="465">M1497/31</f>
        <v>0</v>
      </c>
      <c r="P1497" s="157">
        <f t="shared" ref="P1497:P1498" si="466">N1497/31</f>
        <v>0</v>
      </c>
    </row>
    <row r="1498" spans="1:16" ht="13.5" customHeight="1">
      <c r="A1498" s="474"/>
      <c r="B1498" s="127">
        <v>8</v>
      </c>
      <c r="C1498" s="158">
        <v>0</v>
      </c>
      <c r="D1498" s="158">
        <v>0</v>
      </c>
      <c r="E1498" s="158">
        <v>0</v>
      </c>
      <c r="F1498" s="158">
        <v>0</v>
      </c>
      <c r="G1498" s="158">
        <v>0</v>
      </c>
      <c r="H1498" s="158">
        <v>0</v>
      </c>
      <c r="I1498" s="158">
        <v>0</v>
      </c>
      <c r="J1498" s="158">
        <v>0</v>
      </c>
      <c r="K1498" s="158">
        <v>0</v>
      </c>
      <c r="L1498" s="159">
        <v>0</v>
      </c>
      <c r="M1498" s="177">
        <f t="shared" si="457"/>
        <v>0</v>
      </c>
      <c r="N1498" s="158">
        <f t="shared" si="458"/>
        <v>0</v>
      </c>
      <c r="O1498" s="168">
        <f t="shared" si="465"/>
        <v>0</v>
      </c>
      <c r="P1498" s="157">
        <f t="shared" si="466"/>
        <v>0</v>
      </c>
    </row>
    <row r="1499" spans="1:16" ht="13.5" customHeight="1">
      <c r="A1499" s="474"/>
      <c r="B1499" s="127">
        <v>9</v>
      </c>
      <c r="C1499" s="147">
        <v>0</v>
      </c>
      <c r="D1499" s="147">
        <v>0</v>
      </c>
      <c r="E1499" s="147">
        <v>0</v>
      </c>
      <c r="F1499" s="147">
        <v>0</v>
      </c>
      <c r="G1499" s="147">
        <v>0</v>
      </c>
      <c r="H1499" s="147">
        <v>0</v>
      </c>
      <c r="I1499" s="147">
        <v>0</v>
      </c>
      <c r="J1499" s="147">
        <v>0</v>
      </c>
      <c r="K1499" s="147">
        <v>0</v>
      </c>
      <c r="L1499" s="148">
        <v>0</v>
      </c>
      <c r="M1499" s="177">
        <v>0</v>
      </c>
      <c r="N1499" s="158">
        <v>0</v>
      </c>
      <c r="O1499" s="168">
        <v>0</v>
      </c>
      <c r="P1499" s="157">
        <v>0</v>
      </c>
    </row>
    <row r="1500" spans="1:16" ht="13.5" customHeight="1">
      <c r="A1500" s="474"/>
      <c r="B1500" s="127">
        <v>10</v>
      </c>
      <c r="C1500" s="147">
        <v>0</v>
      </c>
      <c r="D1500" s="147">
        <v>0</v>
      </c>
      <c r="E1500" s="147">
        <v>0</v>
      </c>
      <c r="F1500" s="181">
        <v>0</v>
      </c>
      <c r="G1500" s="147">
        <v>0</v>
      </c>
      <c r="H1500" s="147">
        <v>0</v>
      </c>
      <c r="I1500" s="147">
        <v>0</v>
      </c>
      <c r="J1500" s="147">
        <v>0</v>
      </c>
      <c r="K1500" s="147">
        <v>0</v>
      </c>
      <c r="L1500" s="148">
        <v>0</v>
      </c>
      <c r="M1500" s="154">
        <f t="shared" ref="M1500:M1502" si="467">+C1500+E1500+G1500+I1500+K1500</f>
        <v>0</v>
      </c>
      <c r="N1500" s="155">
        <f t="shared" ref="N1500:N1502" si="468">+D1500+F1500+H1500+J1500+L1500</f>
        <v>0</v>
      </c>
      <c r="O1500" s="168">
        <f t="shared" ref="O1500:O1502" si="469">M1500/31</f>
        <v>0</v>
      </c>
      <c r="P1500" s="157">
        <f t="shared" ref="P1500:P1502" si="470">N1500/31</f>
        <v>0</v>
      </c>
    </row>
    <row r="1501" spans="1:16" ht="13.5" customHeight="1">
      <c r="A1501" s="474"/>
      <c r="B1501" s="127">
        <v>11</v>
      </c>
      <c r="C1501" s="367">
        <v>0</v>
      </c>
      <c r="D1501" s="367">
        <v>0</v>
      </c>
      <c r="E1501" s="367">
        <v>0</v>
      </c>
      <c r="F1501" s="367">
        <v>0</v>
      </c>
      <c r="G1501" s="367">
        <v>0</v>
      </c>
      <c r="H1501" s="367">
        <v>0</v>
      </c>
      <c r="I1501" s="367">
        <v>0</v>
      </c>
      <c r="J1501" s="367">
        <v>0</v>
      </c>
      <c r="K1501" s="367">
        <v>0</v>
      </c>
      <c r="L1501" s="368">
        <v>0</v>
      </c>
      <c r="M1501" s="154">
        <f t="shared" si="467"/>
        <v>0</v>
      </c>
      <c r="N1501" s="155">
        <f t="shared" si="468"/>
        <v>0</v>
      </c>
      <c r="O1501" s="168">
        <f t="shared" si="469"/>
        <v>0</v>
      </c>
      <c r="P1501" s="157">
        <f t="shared" si="470"/>
        <v>0</v>
      </c>
    </row>
    <row r="1502" spans="1:16" ht="13.5" customHeight="1" thickBot="1">
      <c r="A1502" s="475"/>
      <c r="B1502" s="127">
        <v>12</v>
      </c>
      <c r="C1502" s="187">
        <v>0</v>
      </c>
      <c r="D1502" s="187">
        <v>0</v>
      </c>
      <c r="E1502" s="187">
        <v>0</v>
      </c>
      <c r="F1502" s="188">
        <v>0</v>
      </c>
      <c r="G1502" s="187">
        <v>0</v>
      </c>
      <c r="H1502" s="187">
        <v>0</v>
      </c>
      <c r="I1502" s="187">
        <v>0</v>
      </c>
      <c r="J1502" s="187">
        <v>0</v>
      </c>
      <c r="K1502" s="187">
        <v>0</v>
      </c>
      <c r="L1502" s="189">
        <v>0</v>
      </c>
      <c r="M1502" s="154">
        <f t="shared" si="467"/>
        <v>0</v>
      </c>
      <c r="N1502" s="155">
        <f t="shared" si="468"/>
        <v>0</v>
      </c>
      <c r="O1502" s="168">
        <f t="shared" si="469"/>
        <v>0</v>
      </c>
      <c r="P1502" s="157">
        <f t="shared" si="470"/>
        <v>0</v>
      </c>
    </row>
    <row r="1503" spans="1:16" ht="13.5" customHeight="1">
      <c r="A1503" s="473">
        <v>2020</v>
      </c>
      <c r="B1503" s="410">
        <v>1</v>
      </c>
      <c r="C1503" s="158">
        <v>0</v>
      </c>
      <c r="D1503" s="158">
        <v>0</v>
      </c>
      <c r="E1503" s="158">
        <v>0</v>
      </c>
      <c r="F1503" s="169">
        <v>0</v>
      </c>
      <c r="G1503" s="158">
        <v>0</v>
      </c>
      <c r="H1503" s="158">
        <v>0</v>
      </c>
      <c r="I1503" s="158">
        <v>0</v>
      </c>
      <c r="J1503" s="158">
        <v>0</v>
      </c>
      <c r="K1503" s="158">
        <v>0</v>
      </c>
      <c r="L1503" s="159">
        <v>0</v>
      </c>
      <c r="M1503" s="424">
        <f t="shared" ref="M1503:M1514" si="471">+C1503+E1503+G1503+I1503+K1503</f>
        <v>0</v>
      </c>
      <c r="N1503" s="425">
        <f t="shared" ref="N1503:N1514" si="472">+D1503+F1503+H1503+J1503+L1503</f>
        <v>0</v>
      </c>
      <c r="O1503" s="430">
        <f t="shared" si="462"/>
        <v>0</v>
      </c>
      <c r="P1503" s="427">
        <f t="shared" si="462"/>
        <v>0</v>
      </c>
    </row>
    <row r="1504" spans="1:16" ht="13.5" customHeight="1">
      <c r="A1504" s="474"/>
      <c r="B1504" s="127">
        <v>2</v>
      </c>
      <c r="C1504" s="158">
        <v>0</v>
      </c>
      <c r="D1504" s="158">
        <v>0</v>
      </c>
      <c r="E1504" s="158">
        <v>0</v>
      </c>
      <c r="F1504" s="169">
        <v>0</v>
      </c>
      <c r="G1504" s="158">
        <v>0</v>
      </c>
      <c r="H1504" s="158">
        <v>0</v>
      </c>
      <c r="I1504" s="158">
        <v>0</v>
      </c>
      <c r="J1504" s="158">
        <v>0</v>
      </c>
      <c r="K1504" s="158">
        <v>0</v>
      </c>
      <c r="L1504" s="159">
        <v>0</v>
      </c>
      <c r="M1504" s="154">
        <f t="shared" si="471"/>
        <v>0</v>
      </c>
      <c r="N1504" s="155">
        <f t="shared" si="472"/>
        <v>0</v>
      </c>
      <c r="O1504" s="168">
        <f t="shared" si="462"/>
        <v>0</v>
      </c>
      <c r="P1504" s="157">
        <f t="shared" si="462"/>
        <v>0</v>
      </c>
    </row>
    <row r="1505" spans="1:16" ht="13.5" customHeight="1">
      <c r="A1505" s="474"/>
      <c r="B1505" s="127">
        <v>3</v>
      </c>
      <c r="C1505" s="158">
        <v>0</v>
      </c>
      <c r="D1505" s="158">
        <v>0</v>
      </c>
      <c r="E1505" s="158">
        <v>0</v>
      </c>
      <c r="F1505" s="169">
        <v>0</v>
      </c>
      <c r="G1505" s="158">
        <v>0</v>
      </c>
      <c r="H1505" s="158">
        <v>0</v>
      </c>
      <c r="I1505" s="158">
        <v>0</v>
      </c>
      <c r="J1505" s="158">
        <v>0</v>
      </c>
      <c r="K1505" s="158">
        <v>0</v>
      </c>
      <c r="L1505" s="159">
        <v>0</v>
      </c>
      <c r="M1505" s="154">
        <f t="shared" si="471"/>
        <v>0</v>
      </c>
      <c r="N1505" s="155">
        <f t="shared" si="472"/>
        <v>0</v>
      </c>
      <c r="O1505" s="168">
        <f t="shared" si="462"/>
        <v>0</v>
      </c>
      <c r="P1505" s="157">
        <f t="shared" si="462"/>
        <v>0</v>
      </c>
    </row>
    <row r="1506" spans="1:16" ht="13.5" customHeight="1">
      <c r="A1506" s="474"/>
      <c r="B1506" s="127">
        <v>4</v>
      </c>
      <c r="C1506" s="158">
        <v>0</v>
      </c>
      <c r="D1506" s="158">
        <v>0</v>
      </c>
      <c r="E1506" s="158">
        <v>0</v>
      </c>
      <c r="F1506" s="169">
        <v>0</v>
      </c>
      <c r="G1506" s="158">
        <v>0</v>
      </c>
      <c r="H1506" s="158">
        <v>0</v>
      </c>
      <c r="I1506" s="158">
        <v>0</v>
      </c>
      <c r="J1506" s="158">
        <v>0</v>
      </c>
      <c r="K1506" s="158">
        <v>0</v>
      </c>
      <c r="L1506" s="159">
        <v>0</v>
      </c>
      <c r="M1506" s="154">
        <f t="shared" si="471"/>
        <v>0</v>
      </c>
      <c r="N1506" s="155">
        <f t="shared" si="472"/>
        <v>0</v>
      </c>
      <c r="O1506" s="168">
        <f t="shared" si="462"/>
        <v>0</v>
      </c>
      <c r="P1506" s="157">
        <f t="shared" si="462"/>
        <v>0</v>
      </c>
    </row>
    <row r="1507" spans="1:16" ht="13.5" customHeight="1">
      <c r="A1507" s="474"/>
      <c r="B1507" s="127">
        <v>5</v>
      </c>
      <c r="C1507" s="158">
        <v>0</v>
      </c>
      <c r="D1507" s="158">
        <v>0</v>
      </c>
      <c r="E1507" s="158">
        <v>0</v>
      </c>
      <c r="F1507" s="169">
        <v>0</v>
      </c>
      <c r="G1507" s="158">
        <v>0</v>
      </c>
      <c r="H1507" s="158">
        <v>0</v>
      </c>
      <c r="I1507" s="158">
        <v>0</v>
      </c>
      <c r="J1507" s="158">
        <v>0</v>
      </c>
      <c r="K1507" s="158">
        <v>0</v>
      </c>
      <c r="L1507" s="159">
        <v>0</v>
      </c>
      <c r="M1507" s="154">
        <f t="shared" si="471"/>
        <v>0</v>
      </c>
      <c r="N1507" s="155">
        <f t="shared" si="472"/>
        <v>0</v>
      </c>
      <c r="O1507" s="168">
        <f t="shared" si="462"/>
        <v>0</v>
      </c>
      <c r="P1507" s="157">
        <f t="shared" si="462"/>
        <v>0</v>
      </c>
    </row>
    <row r="1508" spans="1:16" ht="13.5" customHeight="1">
      <c r="A1508" s="474"/>
      <c r="B1508" s="127">
        <v>6</v>
      </c>
      <c r="C1508" s="158">
        <f>集計用!C61</f>
        <v>0</v>
      </c>
      <c r="D1508" s="158">
        <f>集計用!S61</f>
        <v>0</v>
      </c>
      <c r="E1508" s="158">
        <f>集計用!E61</f>
        <v>0</v>
      </c>
      <c r="F1508" s="169">
        <f>集計用!U61</f>
        <v>0</v>
      </c>
      <c r="G1508" s="158">
        <f>集計用!G61</f>
        <v>0</v>
      </c>
      <c r="H1508" s="158">
        <f>集計用!W61</f>
        <v>0</v>
      </c>
      <c r="I1508" s="158">
        <f>集計用!I61</f>
        <v>0</v>
      </c>
      <c r="J1508" s="158">
        <f>集計用!Y61</f>
        <v>0</v>
      </c>
      <c r="K1508" s="158">
        <f>集計用!K61</f>
        <v>0</v>
      </c>
      <c r="L1508" s="159">
        <f>集計用!AA61</f>
        <v>0</v>
      </c>
      <c r="M1508" s="154">
        <f t="shared" si="471"/>
        <v>0</v>
      </c>
      <c r="N1508" s="155">
        <f t="shared" si="472"/>
        <v>0</v>
      </c>
      <c r="O1508" s="168">
        <f>M1508/30</f>
        <v>0</v>
      </c>
      <c r="P1508" s="157">
        <f>N1508/30</f>
        <v>0</v>
      </c>
    </row>
    <row r="1509" spans="1:16" ht="13.5" customHeight="1">
      <c r="A1509" s="474"/>
      <c r="B1509" s="127">
        <v>7</v>
      </c>
      <c r="C1509" s="158"/>
      <c r="D1509" s="158"/>
      <c r="E1509" s="158"/>
      <c r="F1509" s="169"/>
      <c r="G1509" s="158"/>
      <c r="H1509" s="158"/>
      <c r="I1509" s="158"/>
      <c r="J1509" s="158"/>
      <c r="K1509" s="158"/>
      <c r="L1509" s="159"/>
      <c r="M1509" s="154">
        <f t="shared" si="471"/>
        <v>0</v>
      </c>
      <c r="N1509" s="155">
        <f t="shared" si="472"/>
        <v>0</v>
      </c>
      <c r="O1509" s="168">
        <f t="shared" ref="O1509:O1514" si="473">M1509/31</f>
        <v>0</v>
      </c>
      <c r="P1509" s="157">
        <f t="shared" ref="P1509:P1514" si="474">N1509/31</f>
        <v>0</v>
      </c>
    </row>
    <row r="1510" spans="1:16" ht="13.5" customHeight="1">
      <c r="A1510" s="474"/>
      <c r="B1510" s="127">
        <v>8</v>
      </c>
      <c r="C1510" s="158"/>
      <c r="D1510" s="158"/>
      <c r="E1510" s="158"/>
      <c r="F1510" s="158"/>
      <c r="G1510" s="158"/>
      <c r="H1510" s="158"/>
      <c r="I1510" s="158"/>
      <c r="J1510" s="158"/>
      <c r="K1510" s="158"/>
      <c r="L1510" s="159"/>
      <c r="M1510" s="177">
        <f t="shared" si="471"/>
        <v>0</v>
      </c>
      <c r="N1510" s="158">
        <f t="shared" si="472"/>
        <v>0</v>
      </c>
      <c r="O1510" s="168">
        <f t="shared" si="473"/>
        <v>0</v>
      </c>
      <c r="P1510" s="157">
        <f t="shared" si="474"/>
        <v>0</v>
      </c>
    </row>
    <row r="1511" spans="1:16" ht="13.5" customHeight="1">
      <c r="A1511" s="474"/>
      <c r="B1511" s="127">
        <v>9</v>
      </c>
      <c r="C1511" s="147"/>
      <c r="D1511" s="147"/>
      <c r="E1511" s="147"/>
      <c r="F1511" s="147"/>
      <c r="G1511" s="147"/>
      <c r="H1511" s="147"/>
      <c r="I1511" s="147"/>
      <c r="J1511" s="147"/>
      <c r="K1511" s="147"/>
      <c r="L1511" s="148"/>
      <c r="M1511" s="177">
        <f t="shared" ref="M1511" si="475">+C1511+E1511+G1511+I1511+K1511</f>
        <v>0</v>
      </c>
      <c r="N1511" s="158">
        <f t="shared" ref="N1511" si="476">+D1511+F1511+H1511+J1511+L1511</f>
        <v>0</v>
      </c>
      <c r="O1511" s="168">
        <f>M1511/30</f>
        <v>0</v>
      </c>
      <c r="P1511" s="157">
        <f>N1511/30</f>
        <v>0</v>
      </c>
    </row>
    <row r="1512" spans="1:16" ht="13.5" customHeight="1">
      <c r="A1512" s="474"/>
      <c r="B1512" s="127">
        <v>10</v>
      </c>
      <c r="C1512" s="147"/>
      <c r="D1512" s="147"/>
      <c r="E1512" s="147"/>
      <c r="F1512" s="181"/>
      <c r="G1512" s="147"/>
      <c r="H1512" s="147"/>
      <c r="I1512" s="147"/>
      <c r="J1512" s="147"/>
      <c r="K1512" s="147"/>
      <c r="L1512" s="148"/>
      <c r="M1512" s="154">
        <f t="shared" ref="M1512" si="477">+C1512+E1512+G1512+I1512+K1512</f>
        <v>0</v>
      </c>
      <c r="N1512" s="155">
        <f t="shared" ref="N1512" si="478">+D1512+F1512+H1512+J1512+L1512</f>
        <v>0</v>
      </c>
      <c r="O1512" s="168">
        <f t="shared" ref="O1512" si="479">M1512/31</f>
        <v>0</v>
      </c>
      <c r="P1512" s="157">
        <f t="shared" ref="P1512" si="480">N1512/31</f>
        <v>0</v>
      </c>
    </row>
    <row r="1513" spans="1:16" ht="13.5" customHeight="1">
      <c r="A1513" s="474"/>
      <c r="B1513" s="127">
        <v>11</v>
      </c>
      <c r="C1513" s="367"/>
      <c r="D1513" s="367"/>
      <c r="E1513" s="367"/>
      <c r="F1513" s="367"/>
      <c r="G1513" s="367"/>
      <c r="H1513" s="367"/>
      <c r="I1513" s="367"/>
      <c r="J1513" s="367"/>
      <c r="K1513" s="367"/>
      <c r="L1513" s="368"/>
      <c r="M1513" s="154">
        <f t="shared" si="471"/>
        <v>0</v>
      </c>
      <c r="N1513" s="155">
        <f t="shared" si="472"/>
        <v>0</v>
      </c>
      <c r="O1513" s="168">
        <f t="shared" si="473"/>
        <v>0</v>
      </c>
      <c r="P1513" s="157">
        <f t="shared" si="474"/>
        <v>0</v>
      </c>
    </row>
    <row r="1514" spans="1:16" ht="13.5" customHeight="1" thickBot="1">
      <c r="A1514" s="475"/>
      <c r="B1514" s="127">
        <v>12</v>
      </c>
      <c r="C1514" s="187"/>
      <c r="D1514" s="187"/>
      <c r="E1514" s="187"/>
      <c r="F1514" s="188"/>
      <c r="G1514" s="187"/>
      <c r="H1514" s="187"/>
      <c r="I1514" s="187"/>
      <c r="J1514" s="187"/>
      <c r="K1514" s="187"/>
      <c r="L1514" s="189"/>
      <c r="M1514" s="154">
        <f t="shared" si="471"/>
        <v>0</v>
      </c>
      <c r="N1514" s="155">
        <f t="shared" si="472"/>
        <v>0</v>
      </c>
      <c r="O1514" s="168">
        <f t="shared" si="473"/>
        <v>0</v>
      </c>
      <c r="P1514" s="157">
        <f t="shared" si="474"/>
        <v>0</v>
      </c>
    </row>
    <row r="1515" spans="1:16" ht="18.75" customHeight="1" thickBot="1">
      <c r="A1515" s="180"/>
      <c r="B1515" s="160" t="s">
        <v>5</v>
      </c>
      <c r="C1515" s="161">
        <f>SUM(C1467:C1514)</f>
        <v>1</v>
      </c>
      <c r="D1515" s="161">
        <f t="shared" ref="D1515:K1515" si="481">SUM(D1467:D1514)</f>
        <v>2</v>
      </c>
      <c r="E1515" s="161">
        <f t="shared" si="481"/>
        <v>0</v>
      </c>
      <c r="F1515" s="161">
        <f t="shared" si="481"/>
        <v>0</v>
      </c>
      <c r="G1515" s="161">
        <f t="shared" si="481"/>
        <v>0</v>
      </c>
      <c r="H1515" s="161">
        <f t="shared" si="481"/>
        <v>0</v>
      </c>
      <c r="I1515" s="161">
        <f t="shared" si="481"/>
        <v>0</v>
      </c>
      <c r="J1515" s="161">
        <f t="shared" si="481"/>
        <v>0</v>
      </c>
      <c r="K1515" s="161">
        <f t="shared" si="481"/>
        <v>0</v>
      </c>
      <c r="L1515" s="161">
        <f>SUM(L1467:L1514)</f>
        <v>0</v>
      </c>
      <c r="M1515" s="162">
        <f>SUM(M1467:M1514)</f>
        <v>1</v>
      </c>
      <c r="N1515" s="161">
        <f>SUM(N1467:N1514)</f>
        <v>2</v>
      </c>
      <c r="O1515" s="161">
        <f>SUM(O1467:O1514)</f>
        <v>3.2258064516129031E-2</v>
      </c>
      <c r="P1515" s="161">
        <f>SUM(P1467:P1514)</f>
        <v>6.4516129032258063E-2</v>
      </c>
    </row>
    <row r="1517" spans="1:16" ht="11.25" customHeight="1">
      <c r="B1517" s="467" t="s">
        <v>272</v>
      </c>
      <c r="C1517" s="469" t="s">
        <v>29</v>
      </c>
      <c r="D1517" s="470"/>
      <c r="E1517" s="469" t="s">
        <v>30</v>
      </c>
      <c r="F1517" s="470"/>
      <c r="G1517" s="469" t="s">
        <v>31</v>
      </c>
      <c r="H1517" s="470"/>
      <c r="I1517" s="469" t="s">
        <v>58</v>
      </c>
      <c r="J1517" s="470"/>
      <c r="K1517" s="469" t="s">
        <v>57</v>
      </c>
      <c r="L1517" s="471"/>
      <c r="M1517" s="470" t="s">
        <v>5</v>
      </c>
      <c r="N1517" s="472"/>
      <c r="O1517" s="472" t="s">
        <v>33</v>
      </c>
      <c r="P1517" s="472"/>
    </row>
    <row r="1518" spans="1:16" ht="11.25" customHeight="1" thickBot="1">
      <c r="B1518" s="468"/>
      <c r="C1518" s="13" t="s">
        <v>34</v>
      </c>
      <c r="D1518" s="13" t="s">
        <v>35</v>
      </c>
      <c r="E1518" s="13" t="s">
        <v>34</v>
      </c>
      <c r="F1518" s="13" t="s">
        <v>35</v>
      </c>
      <c r="G1518" s="13" t="s">
        <v>34</v>
      </c>
      <c r="H1518" s="13" t="s">
        <v>35</v>
      </c>
      <c r="I1518" s="13" t="s">
        <v>59</v>
      </c>
      <c r="J1518" s="13" t="s">
        <v>60</v>
      </c>
      <c r="K1518" s="13" t="s">
        <v>34</v>
      </c>
      <c r="L1518" s="14" t="s">
        <v>35</v>
      </c>
      <c r="M1518" s="15" t="s">
        <v>34</v>
      </c>
      <c r="N1518" s="13" t="s">
        <v>35</v>
      </c>
      <c r="O1518" s="163" t="s">
        <v>34</v>
      </c>
      <c r="P1518" s="163" t="s">
        <v>35</v>
      </c>
    </row>
    <row r="1519" spans="1:16" ht="13.5" customHeight="1">
      <c r="A1519" s="473">
        <v>2017</v>
      </c>
      <c r="B1519" s="410">
        <v>1</v>
      </c>
      <c r="C1519" s="422"/>
      <c r="D1519" s="422"/>
      <c r="E1519" s="422"/>
      <c r="F1519" s="422"/>
      <c r="G1519" s="422"/>
      <c r="H1519" s="422"/>
      <c r="I1519" s="422"/>
      <c r="J1519" s="422"/>
      <c r="K1519" s="422"/>
      <c r="L1519" s="432"/>
      <c r="M1519" s="424">
        <f t="shared" ref="M1519:M1550" si="482">+C1519+E1519+G1519+I1519+K1519</f>
        <v>0</v>
      </c>
      <c r="N1519" s="425">
        <f t="shared" ref="N1519:N1550" si="483">+D1519+F1519+H1519+J1519+L1519</f>
        <v>0</v>
      </c>
      <c r="O1519" s="430">
        <f t="shared" ref="O1519:P1523" si="484">M1519/31</f>
        <v>0</v>
      </c>
      <c r="P1519" s="427">
        <f t="shared" si="484"/>
        <v>0</v>
      </c>
    </row>
    <row r="1520" spans="1:16" ht="13.5" customHeight="1">
      <c r="A1520" s="474"/>
      <c r="B1520" s="127">
        <v>2</v>
      </c>
      <c r="C1520" s="147"/>
      <c r="D1520" s="147"/>
      <c r="E1520" s="147"/>
      <c r="F1520" s="147"/>
      <c r="G1520" s="147"/>
      <c r="H1520" s="147"/>
      <c r="I1520" s="147"/>
      <c r="J1520" s="147"/>
      <c r="K1520" s="147"/>
      <c r="L1520" s="174"/>
      <c r="M1520" s="149">
        <f t="shared" si="482"/>
        <v>0</v>
      </c>
      <c r="N1520" s="150">
        <f t="shared" si="483"/>
        <v>0</v>
      </c>
      <c r="O1520" s="167">
        <f t="shared" si="484"/>
        <v>0</v>
      </c>
      <c r="P1520" s="152">
        <f t="shared" si="484"/>
        <v>0</v>
      </c>
    </row>
    <row r="1521" spans="1:16" ht="13.5" customHeight="1">
      <c r="A1521" s="474"/>
      <c r="B1521" s="127">
        <v>3</v>
      </c>
      <c r="C1521" s="147"/>
      <c r="D1521" s="147"/>
      <c r="E1521" s="147"/>
      <c r="F1521" s="147"/>
      <c r="G1521" s="147"/>
      <c r="H1521" s="147"/>
      <c r="I1521" s="147"/>
      <c r="J1521" s="147"/>
      <c r="K1521" s="147"/>
      <c r="L1521" s="174"/>
      <c r="M1521" s="149">
        <f t="shared" si="482"/>
        <v>0</v>
      </c>
      <c r="N1521" s="150">
        <f t="shared" si="483"/>
        <v>0</v>
      </c>
      <c r="O1521" s="167">
        <f t="shared" si="484"/>
        <v>0</v>
      </c>
      <c r="P1521" s="152">
        <f t="shared" si="484"/>
        <v>0</v>
      </c>
    </row>
    <row r="1522" spans="1:16" ht="13.5" customHeight="1">
      <c r="A1522" s="474"/>
      <c r="B1522" s="127">
        <v>4</v>
      </c>
      <c r="C1522" s="158"/>
      <c r="D1522" s="158"/>
      <c r="E1522" s="158"/>
      <c r="F1522" s="158"/>
      <c r="G1522" s="158"/>
      <c r="H1522" s="158"/>
      <c r="I1522" s="158"/>
      <c r="J1522" s="158"/>
      <c r="K1522" s="158"/>
      <c r="L1522" s="159"/>
      <c r="M1522" s="154">
        <f t="shared" si="482"/>
        <v>0</v>
      </c>
      <c r="N1522" s="155">
        <f t="shared" si="483"/>
        <v>0</v>
      </c>
      <c r="O1522" s="168">
        <f t="shared" si="484"/>
        <v>0</v>
      </c>
      <c r="P1522" s="157">
        <f t="shared" si="484"/>
        <v>0</v>
      </c>
    </row>
    <row r="1523" spans="1:16" ht="13.5" customHeight="1">
      <c r="A1523" s="474"/>
      <c r="B1523" s="127">
        <v>5</v>
      </c>
      <c r="C1523" s="158"/>
      <c r="D1523" s="158"/>
      <c r="E1523" s="158"/>
      <c r="F1523" s="158"/>
      <c r="G1523" s="158"/>
      <c r="H1523" s="158"/>
      <c r="I1523" s="158"/>
      <c r="J1523" s="158"/>
      <c r="K1523" s="158"/>
      <c r="L1523" s="159"/>
      <c r="M1523" s="154">
        <f t="shared" si="482"/>
        <v>0</v>
      </c>
      <c r="N1523" s="155">
        <f t="shared" si="483"/>
        <v>0</v>
      </c>
      <c r="O1523" s="168">
        <f t="shared" si="484"/>
        <v>0</v>
      </c>
      <c r="P1523" s="157">
        <f t="shared" si="484"/>
        <v>0</v>
      </c>
    </row>
    <row r="1524" spans="1:16" ht="13.5" customHeight="1">
      <c r="A1524" s="474"/>
      <c r="B1524" s="127">
        <v>6</v>
      </c>
      <c r="C1524" s="158"/>
      <c r="D1524" s="158"/>
      <c r="E1524" s="158"/>
      <c r="F1524" s="158"/>
      <c r="G1524" s="158"/>
      <c r="H1524" s="158"/>
      <c r="I1524" s="158"/>
      <c r="J1524" s="158"/>
      <c r="K1524" s="158"/>
      <c r="L1524" s="158"/>
      <c r="M1524" s="154">
        <f t="shared" si="482"/>
        <v>0</v>
      </c>
      <c r="N1524" s="155">
        <f t="shared" si="483"/>
        <v>0</v>
      </c>
      <c r="O1524" s="168">
        <f>M1524/30</f>
        <v>0</v>
      </c>
      <c r="P1524" s="157">
        <f>N1524/30</f>
        <v>0</v>
      </c>
    </row>
    <row r="1525" spans="1:16" ht="13.5" customHeight="1">
      <c r="A1525" s="474"/>
      <c r="B1525" s="127">
        <v>7</v>
      </c>
      <c r="C1525" s="158"/>
      <c r="D1525" s="158"/>
      <c r="E1525" s="158"/>
      <c r="F1525" s="158"/>
      <c r="G1525" s="158"/>
      <c r="H1525" s="158"/>
      <c r="I1525" s="158"/>
      <c r="J1525" s="158"/>
      <c r="K1525" s="158"/>
      <c r="L1525" s="158"/>
      <c r="M1525" s="154">
        <f t="shared" si="482"/>
        <v>0</v>
      </c>
      <c r="N1525" s="155">
        <f t="shared" si="483"/>
        <v>0</v>
      </c>
      <c r="O1525" s="168">
        <f t="shared" ref="O1525:O1535" si="485">M1525/31</f>
        <v>0</v>
      </c>
      <c r="P1525" s="157">
        <f t="shared" ref="P1525:P1535" si="486">N1525/31</f>
        <v>0</v>
      </c>
    </row>
    <row r="1526" spans="1:16" ht="13.5" customHeight="1">
      <c r="A1526" s="474"/>
      <c r="B1526" s="127">
        <v>8</v>
      </c>
      <c r="C1526" s="158">
        <v>0</v>
      </c>
      <c r="D1526" s="158">
        <v>0</v>
      </c>
      <c r="E1526" s="158">
        <v>1</v>
      </c>
      <c r="F1526" s="158">
        <v>0</v>
      </c>
      <c r="G1526" s="158">
        <v>0</v>
      </c>
      <c r="H1526" s="158">
        <v>0</v>
      </c>
      <c r="I1526" s="158">
        <v>0</v>
      </c>
      <c r="J1526" s="158">
        <v>0</v>
      </c>
      <c r="K1526" s="158">
        <v>0</v>
      </c>
      <c r="L1526" s="159">
        <v>0</v>
      </c>
      <c r="M1526" s="177">
        <f t="shared" si="482"/>
        <v>1</v>
      </c>
      <c r="N1526" s="158">
        <f t="shared" si="483"/>
        <v>0</v>
      </c>
      <c r="O1526" s="168">
        <f t="shared" si="485"/>
        <v>3.2258064516129031E-2</v>
      </c>
      <c r="P1526" s="157">
        <f t="shared" si="486"/>
        <v>0</v>
      </c>
    </row>
    <row r="1527" spans="1:16" ht="13.5" customHeight="1">
      <c r="A1527" s="474"/>
      <c r="B1527" s="127">
        <v>9</v>
      </c>
      <c r="C1527" s="147">
        <v>0</v>
      </c>
      <c r="D1527" s="147">
        <v>0</v>
      </c>
      <c r="E1527" s="147">
        <v>0</v>
      </c>
      <c r="F1527" s="147">
        <v>1</v>
      </c>
      <c r="G1527" s="147">
        <v>0</v>
      </c>
      <c r="H1527" s="147">
        <v>0</v>
      </c>
      <c r="I1527" s="147">
        <v>0</v>
      </c>
      <c r="J1527" s="147">
        <v>0</v>
      </c>
      <c r="K1527" s="147">
        <v>0</v>
      </c>
      <c r="L1527" s="148">
        <v>0</v>
      </c>
      <c r="M1527" s="177">
        <f t="shared" si="482"/>
        <v>0</v>
      </c>
      <c r="N1527" s="158">
        <f t="shared" si="483"/>
        <v>1</v>
      </c>
      <c r="O1527" s="168">
        <f t="shared" si="485"/>
        <v>0</v>
      </c>
      <c r="P1527" s="157">
        <f t="shared" si="486"/>
        <v>3.2258064516129031E-2</v>
      </c>
    </row>
    <row r="1528" spans="1:16" ht="13.5" customHeight="1">
      <c r="A1528" s="474"/>
      <c r="B1528" s="127">
        <v>10</v>
      </c>
      <c r="C1528" s="147">
        <v>6</v>
      </c>
      <c r="D1528" s="147">
        <v>4</v>
      </c>
      <c r="E1528" s="147">
        <v>1</v>
      </c>
      <c r="F1528" s="181">
        <v>1</v>
      </c>
      <c r="G1528" s="147">
        <v>2</v>
      </c>
      <c r="H1528" s="147">
        <v>0</v>
      </c>
      <c r="I1528" s="147">
        <v>0</v>
      </c>
      <c r="J1528" s="147">
        <v>0</v>
      </c>
      <c r="K1528" s="147">
        <v>0</v>
      </c>
      <c r="L1528" s="148">
        <v>0</v>
      </c>
      <c r="M1528" s="154">
        <f t="shared" si="482"/>
        <v>9</v>
      </c>
      <c r="N1528" s="155">
        <f t="shared" si="483"/>
        <v>5</v>
      </c>
      <c r="O1528" s="168">
        <f t="shared" si="485"/>
        <v>0.29032258064516131</v>
      </c>
      <c r="P1528" s="157">
        <f t="shared" si="486"/>
        <v>0.16129032258064516</v>
      </c>
    </row>
    <row r="1529" spans="1:16" ht="13.5" customHeight="1">
      <c r="A1529" s="474"/>
      <c r="B1529" s="127">
        <v>11</v>
      </c>
      <c r="C1529" s="367">
        <v>3</v>
      </c>
      <c r="D1529" s="367">
        <v>17</v>
      </c>
      <c r="E1529" s="367">
        <v>0</v>
      </c>
      <c r="F1529" s="367">
        <v>0</v>
      </c>
      <c r="G1529" s="367">
        <v>0</v>
      </c>
      <c r="H1529" s="367">
        <v>2</v>
      </c>
      <c r="I1529" s="367">
        <v>1</v>
      </c>
      <c r="J1529" s="367">
        <v>2</v>
      </c>
      <c r="K1529" s="367">
        <v>1</v>
      </c>
      <c r="L1529" s="368">
        <v>3</v>
      </c>
      <c r="M1529" s="154">
        <f t="shared" si="482"/>
        <v>5</v>
      </c>
      <c r="N1529" s="155">
        <f t="shared" si="483"/>
        <v>24</v>
      </c>
      <c r="O1529" s="168">
        <f t="shared" si="485"/>
        <v>0.16129032258064516</v>
      </c>
      <c r="P1529" s="157">
        <f t="shared" si="486"/>
        <v>0.77419354838709675</v>
      </c>
    </row>
    <row r="1530" spans="1:16" ht="13.5" customHeight="1" thickBot="1">
      <c r="A1530" s="475"/>
      <c r="B1530" s="127">
        <v>12</v>
      </c>
      <c r="C1530" s="187">
        <v>6</v>
      </c>
      <c r="D1530" s="187">
        <v>14</v>
      </c>
      <c r="E1530" s="187">
        <v>0</v>
      </c>
      <c r="F1530" s="188">
        <v>0</v>
      </c>
      <c r="G1530" s="187">
        <v>1</v>
      </c>
      <c r="H1530" s="187">
        <v>1</v>
      </c>
      <c r="I1530" s="187">
        <v>0</v>
      </c>
      <c r="J1530" s="187">
        <v>0</v>
      </c>
      <c r="K1530" s="187">
        <v>0</v>
      </c>
      <c r="L1530" s="189">
        <v>0</v>
      </c>
      <c r="M1530" s="154">
        <f t="shared" si="482"/>
        <v>7</v>
      </c>
      <c r="N1530" s="155">
        <f t="shared" si="483"/>
        <v>15</v>
      </c>
      <c r="O1530" s="168">
        <f t="shared" si="485"/>
        <v>0.22580645161290322</v>
      </c>
      <c r="P1530" s="157">
        <f t="shared" si="486"/>
        <v>0.4838709677419355</v>
      </c>
    </row>
    <row r="1531" spans="1:16" ht="13.5" customHeight="1">
      <c r="A1531" s="473">
        <v>2018</v>
      </c>
      <c r="B1531" s="410">
        <v>1</v>
      </c>
      <c r="C1531" s="158">
        <v>2</v>
      </c>
      <c r="D1531" s="158">
        <v>6</v>
      </c>
      <c r="E1531" s="158">
        <v>1</v>
      </c>
      <c r="F1531" s="169">
        <v>4</v>
      </c>
      <c r="G1531" s="158">
        <v>2</v>
      </c>
      <c r="H1531" s="158">
        <v>0</v>
      </c>
      <c r="I1531" s="158">
        <v>1</v>
      </c>
      <c r="J1531" s="158">
        <v>0</v>
      </c>
      <c r="K1531" s="158">
        <v>0</v>
      </c>
      <c r="L1531" s="159">
        <v>0</v>
      </c>
      <c r="M1531" s="424">
        <f t="shared" si="482"/>
        <v>6</v>
      </c>
      <c r="N1531" s="425">
        <f t="shared" si="483"/>
        <v>10</v>
      </c>
      <c r="O1531" s="430">
        <f t="shared" si="485"/>
        <v>0.19354838709677419</v>
      </c>
      <c r="P1531" s="427">
        <f t="shared" si="486"/>
        <v>0.32258064516129031</v>
      </c>
    </row>
    <row r="1532" spans="1:16" ht="13.5" customHeight="1">
      <c r="A1532" s="474"/>
      <c r="B1532" s="127">
        <v>2</v>
      </c>
      <c r="C1532" s="158">
        <v>5</v>
      </c>
      <c r="D1532" s="158">
        <v>14</v>
      </c>
      <c r="E1532" s="158">
        <v>3</v>
      </c>
      <c r="F1532" s="169">
        <v>6</v>
      </c>
      <c r="G1532" s="158">
        <v>0</v>
      </c>
      <c r="H1532" s="158">
        <v>0</v>
      </c>
      <c r="I1532" s="158">
        <v>1</v>
      </c>
      <c r="J1532" s="158">
        <v>4</v>
      </c>
      <c r="K1532" s="158">
        <v>0</v>
      </c>
      <c r="L1532" s="159">
        <v>0</v>
      </c>
      <c r="M1532" s="154">
        <f t="shared" si="482"/>
        <v>9</v>
      </c>
      <c r="N1532" s="155">
        <f t="shared" si="483"/>
        <v>24</v>
      </c>
      <c r="O1532" s="168">
        <f t="shared" si="485"/>
        <v>0.29032258064516131</v>
      </c>
      <c r="P1532" s="157">
        <f t="shared" si="486"/>
        <v>0.77419354838709675</v>
      </c>
    </row>
    <row r="1533" spans="1:16" ht="13.5" customHeight="1">
      <c r="A1533" s="474"/>
      <c r="B1533" s="127">
        <v>3</v>
      </c>
      <c r="C1533" s="158">
        <v>13</v>
      </c>
      <c r="D1533" s="158">
        <v>10</v>
      </c>
      <c r="E1533" s="158">
        <v>0</v>
      </c>
      <c r="F1533" s="169">
        <v>2</v>
      </c>
      <c r="G1533" s="158">
        <v>2</v>
      </c>
      <c r="H1533" s="158">
        <v>2</v>
      </c>
      <c r="I1533" s="158">
        <v>0</v>
      </c>
      <c r="J1533" s="158">
        <v>0</v>
      </c>
      <c r="K1533" s="158">
        <v>2</v>
      </c>
      <c r="L1533" s="159">
        <v>3</v>
      </c>
      <c r="M1533" s="154">
        <f t="shared" si="482"/>
        <v>17</v>
      </c>
      <c r="N1533" s="155">
        <f t="shared" si="483"/>
        <v>17</v>
      </c>
      <c r="O1533" s="168">
        <f t="shared" si="485"/>
        <v>0.54838709677419351</v>
      </c>
      <c r="P1533" s="157">
        <f t="shared" si="486"/>
        <v>0.54838709677419351</v>
      </c>
    </row>
    <row r="1534" spans="1:16" ht="13.5" customHeight="1">
      <c r="A1534" s="474"/>
      <c r="B1534" s="127">
        <v>4</v>
      </c>
      <c r="C1534" s="158">
        <v>1</v>
      </c>
      <c r="D1534" s="158">
        <v>11</v>
      </c>
      <c r="E1534" s="158">
        <v>0</v>
      </c>
      <c r="F1534" s="169">
        <v>0</v>
      </c>
      <c r="G1534" s="158">
        <v>1</v>
      </c>
      <c r="H1534" s="158">
        <v>0</v>
      </c>
      <c r="I1534" s="158">
        <v>0</v>
      </c>
      <c r="J1534" s="158">
        <v>0</v>
      </c>
      <c r="K1534" s="158">
        <v>0</v>
      </c>
      <c r="L1534" s="159">
        <v>6</v>
      </c>
      <c r="M1534" s="154">
        <f t="shared" si="482"/>
        <v>2</v>
      </c>
      <c r="N1534" s="155">
        <f t="shared" si="483"/>
        <v>17</v>
      </c>
      <c r="O1534" s="168">
        <f t="shared" si="485"/>
        <v>6.4516129032258063E-2</v>
      </c>
      <c r="P1534" s="157">
        <f t="shared" si="486"/>
        <v>0.54838709677419351</v>
      </c>
    </row>
    <row r="1535" spans="1:16" ht="13.5" customHeight="1">
      <c r="A1535" s="474"/>
      <c r="B1535" s="127">
        <v>5</v>
      </c>
      <c r="C1535" s="158">
        <v>1</v>
      </c>
      <c r="D1535" s="158">
        <v>1</v>
      </c>
      <c r="E1535" s="158">
        <v>0</v>
      </c>
      <c r="F1535" s="169">
        <v>0</v>
      </c>
      <c r="G1535" s="158">
        <v>0</v>
      </c>
      <c r="H1535" s="158">
        <v>1</v>
      </c>
      <c r="I1535" s="158">
        <v>1</v>
      </c>
      <c r="J1535" s="158">
        <v>3</v>
      </c>
      <c r="K1535" s="158">
        <v>1</v>
      </c>
      <c r="L1535" s="159">
        <v>0</v>
      </c>
      <c r="M1535" s="154">
        <f t="shared" si="482"/>
        <v>3</v>
      </c>
      <c r="N1535" s="155">
        <f t="shared" si="483"/>
        <v>5</v>
      </c>
      <c r="O1535" s="168">
        <f t="shared" si="485"/>
        <v>9.6774193548387094E-2</v>
      </c>
      <c r="P1535" s="157">
        <f t="shared" si="486"/>
        <v>0.16129032258064516</v>
      </c>
    </row>
    <row r="1536" spans="1:16" ht="13.5" customHeight="1">
      <c r="A1536" s="474"/>
      <c r="B1536" s="127">
        <v>6</v>
      </c>
      <c r="C1536" s="158">
        <v>2</v>
      </c>
      <c r="D1536" s="158">
        <v>2</v>
      </c>
      <c r="E1536" s="158">
        <v>0</v>
      </c>
      <c r="F1536" s="169">
        <v>0</v>
      </c>
      <c r="G1536" s="158">
        <v>0</v>
      </c>
      <c r="H1536" s="158">
        <v>0</v>
      </c>
      <c r="I1536" s="158">
        <v>0</v>
      </c>
      <c r="J1536" s="158">
        <v>0</v>
      </c>
      <c r="K1536" s="158">
        <v>0</v>
      </c>
      <c r="L1536" s="159">
        <v>1</v>
      </c>
      <c r="M1536" s="154">
        <f t="shared" si="482"/>
        <v>2</v>
      </c>
      <c r="N1536" s="155">
        <f t="shared" si="483"/>
        <v>3</v>
      </c>
      <c r="O1536" s="168">
        <f>M1536/30</f>
        <v>6.6666666666666666E-2</v>
      </c>
      <c r="P1536" s="157">
        <f>N1536/30</f>
        <v>0.1</v>
      </c>
    </row>
    <row r="1537" spans="1:16" ht="13.5" customHeight="1">
      <c r="A1537" s="474"/>
      <c r="B1537" s="127">
        <v>7</v>
      </c>
      <c r="C1537" s="158">
        <v>8</v>
      </c>
      <c r="D1537" s="158">
        <v>10</v>
      </c>
      <c r="E1537" s="158">
        <v>0</v>
      </c>
      <c r="F1537" s="169">
        <v>0</v>
      </c>
      <c r="G1537" s="158">
        <v>1</v>
      </c>
      <c r="H1537" s="158">
        <v>2</v>
      </c>
      <c r="I1537" s="158">
        <v>0</v>
      </c>
      <c r="J1537" s="158">
        <v>0</v>
      </c>
      <c r="K1537" s="158">
        <v>0</v>
      </c>
      <c r="L1537" s="159">
        <v>0</v>
      </c>
      <c r="M1537" s="154">
        <f t="shared" si="482"/>
        <v>9</v>
      </c>
      <c r="N1537" s="155">
        <f t="shared" si="483"/>
        <v>12</v>
      </c>
      <c r="O1537" s="168">
        <f t="shared" ref="O1537:P1559" si="487">M1537/31</f>
        <v>0.29032258064516131</v>
      </c>
      <c r="P1537" s="157">
        <f t="shared" si="487"/>
        <v>0.38709677419354838</v>
      </c>
    </row>
    <row r="1538" spans="1:16" ht="13.5" customHeight="1">
      <c r="A1538" s="474"/>
      <c r="B1538" s="127">
        <v>8</v>
      </c>
      <c r="C1538" s="158">
        <v>2</v>
      </c>
      <c r="D1538" s="158">
        <v>3</v>
      </c>
      <c r="E1538" s="158">
        <v>2</v>
      </c>
      <c r="F1538" s="158">
        <v>3</v>
      </c>
      <c r="G1538" s="158">
        <v>0</v>
      </c>
      <c r="H1538" s="158">
        <v>0</v>
      </c>
      <c r="I1538" s="158">
        <v>1</v>
      </c>
      <c r="J1538" s="158">
        <v>1</v>
      </c>
      <c r="K1538" s="158">
        <v>1</v>
      </c>
      <c r="L1538" s="159">
        <v>1</v>
      </c>
      <c r="M1538" s="177">
        <f t="shared" si="482"/>
        <v>6</v>
      </c>
      <c r="N1538" s="158">
        <f t="shared" si="483"/>
        <v>8</v>
      </c>
      <c r="O1538" s="168">
        <f t="shared" si="487"/>
        <v>0.19354838709677419</v>
      </c>
      <c r="P1538" s="157">
        <f t="shared" si="487"/>
        <v>0.25806451612903225</v>
      </c>
    </row>
    <row r="1539" spans="1:16" ht="13.5" customHeight="1">
      <c r="A1539" s="474"/>
      <c r="B1539" s="127">
        <v>9</v>
      </c>
      <c r="C1539" s="147">
        <v>6</v>
      </c>
      <c r="D1539" s="147">
        <v>12</v>
      </c>
      <c r="E1539" s="147">
        <v>1</v>
      </c>
      <c r="F1539" s="147">
        <v>1</v>
      </c>
      <c r="G1539" s="147">
        <v>5</v>
      </c>
      <c r="H1539" s="147">
        <v>9</v>
      </c>
      <c r="I1539" s="147">
        <v>1</v>
      </c>
      <c r="J1539" s="147">
        <v>0</v>
      </c>
      <c r="K1539" s="147">
        <v>1</v>
      </c>
      <c r="L1539" s="148">
        <v>3</v>
      </c>
      <c r="M1539" s="177">
        <f t="shared" si="482"/>
        <v>14</v>
      </c>
      <c r="N1539" s="158">
        <f t="shared" si="483"/>
        <v>25</v>
      </c>
      <c r="O1539" s="168">
        <f t="shared" si="487"/>
        <v>0.45161290322580644</v>
      </c>
      <c r="P1539" s="157">
        <f t="shared" si="487"/>
        <v>0.80645161290322576</v>
      </c>
    </row>
    <row r="1540" spans="1:16" ht="13.5" customHeight="1">
      <c r="A1540" s="474"/>
      <c r="B1540" s="127">
        <v>10</v>
      </c>
      <c r="C1540" s="147">
        <v>6</v>
      </c>
      <c r="D1540" s="147">
        <v>6</v>
      </c>
      <c r="E1540" s="147">
        <v>1</v>
      </c>
      <c r="F1540" s="181">
        <v>0</v>
      </c>
      <c r="G1540" s="147">
        <v>0</v>
      </c>
      <c r="H1540" s="147">
        <v>0</v>
      </c>
      <c r="I1540" s="147">
        <v>2</v>
      </c>
      <c r="J1540" s="147">
        <v>4</v>
      </c>
      <c r="K1540" s="147">
        <v>0</v>
      </c>
      <c r="L1540" s="148">
        <v>0</v>
      </c>
      <c r="M1540" s="154">
        <f t="shared" si="482"/>
        <v>9</v>
      </c>
      <c r="N1540" s="155">
        <f t="shared" si="483"/>
        <v>10</v>
      </c>
      <c r="O1540" s="168">
        <f t="shared" si="487"/>
        <v>0.29032258064516131</v>
      </c>
      <c r="P1540" s="157">
        <f t="shared" si="487"/>
        <v>0.32258064516129031</v>
      </c>
    </row>
    <row r="1541" spans="1:16" ht="13.5" customHeight="1">
      <c r="A1541" s="474"/>
      <c r="B1541" s="127">
        <v>11</v>
      </c>
      <c r="C1541" s="367">
        <v>3</v>
      </c>
      <c r="D1541" s="367">
        <v>5</v>
      </c>
      <c r="E1541" s="367">
        <v>0</v>
      </c>
      <c r="F1541" s="367">
        <v>1</v>
      </c>
      <c r="G1541" s="367">
        <v>0</v>
      </c>
      <c r="H1541" s="367">
        <v>0</v>
      </c>
      <c r="I1541" s="367">
        <v>1</v>
      </c>
      <c r="J1541" s="367">
        <v>3</v>
      </c>
      <c r="K1541" s="367">
        <v>2</v>
      </c>
      <c r="L1541" s="368">
        <v>7</v>
      </c>
      <c r="M1541" s="154">
        <f t="shared" si="482"/>
        <v>6</v>
      </c>
      <c r="N1541" s="155">
        <f t="shared" si="483"/>
        <v>16</v>
      </c>
      <c r="O1541" s="168">
        <f t="shared" si="487"/>
        <v>0.19354838709677419</v>
      </c>
      <c r="P1541" s="157">
        <f t="shared" si="487"/>
        <v>0.5161290322580645</v>
      </c>
    </row>
    <row r="1542" spans="1:16" ht="13.5" customHeight="1" thickBot="1">
      <c r="A1542" s="475"/>
      <c r="B1542" s="127">
        <v>12</v>
      </c>
      <c r="C1542" s="187">
        <v>5</v>
      </c>
      <c r="D1542" s="187">
        <v>13</v>
      </c>
      <c r="E1542" s="187">
        <v>0</v>
      </c>
      <c r="F1542" s="188">
        <v>0</v>
      </c>
      <c r="G1542" s="187">
        <v>0</v>
      </c>
      <c r="H1542" s="187">
        <v>0</v>
      </c>
      <c r="I1542" s="187">
        <v>3</v>
      </c>
      <c r="J1542" s="187">
        <v>6</v>
      </c>
      <c r="K1542" s="187">
        <v>1</v>
      </c>
      <c r="L1542" s="189">
        <v>1</v>
      </c>
      <c r="M1542" s="154">
        <f t="shared" si="482"/>
        <v>9</v>
      </c>
      <c r="N1542" s="155">
        <f t="shared" si="483"/>
        <v>20</v>
      </c>
      <c r="O1542" s="168">
        <f t="shared" si="487"/>
        <v>0.29032258064516131</v>
      </c>
      <c r="P1542" s="157">
        <f t="shared" si="487"/>
        <v>0.64516129032258063</v>
      </c>
    </row>
    <row r="1543" spans="1:16" ht="13.5" customHeight="1">
      <c r="A1543" s="473">
        <v>2019</v>
      </c>
      <c r="B1543" s="410">
        <v>1</v>
      </c>
      <c r="C1543" s="158">
        <v>5</v>
      </c>
      <c r="D1543" s="158">
        <v>9</v>
      </c>
      <c r="E1543" s="158">
        <v>0</v>
      </c>
      <c r="F1543" s="169">
        <v>0</v>
      </c>
      <c r="G1543" s="158">
        <v>0</v>
      </c>
      <c r="H1543" s="158">
        <v>0</v>
      </c>
      <c r="I1543" s="158">
        <v>2</v>
      </c>
      <c r="J1543" s="158">
        <v>4</v>
      </c>
      <c r="K1543" s="158">
        <v>1</v>
      </c>
      <c r="L1543" s="159">
        <v>5</v>
      </c>
      <c r="M1543" s="424">
        <f t="shared" si="482"/>
        <v>8</v>
      </c>
      <c r="N1543" s="425">
        <f t="shared" si="483"/>
        <v>18</v>
      </c>
      <c r="O1543" s="430">
        <f t="shared" ref="O1543:O1547" si="488">M1543/31</f>
        <v>0.25806451612903225</v>
      </c>
      <c r="P1543" s="427">
        <f t="shared" ref="P1543:P1547" si="489">N1543/31</f>
        <v>0.58064516129032262</v>
      </c>
    </row>
    <row r="1544" spans="1:16" ht="13.5" customHeight="1">
      <c r="A1544" s="474"/>
      <c r="B1544" s="127">
        <v>2</v>
      </c>
      <c r="C1544" s="158">
        <v>2</v>
      </c>
      <c r="D1544" s="158">
        <v>6</v>
      </c>
      <c r="E1544" s="158">
        <v>0</v>
      </c>
      <c r="F1544" s="169">
        <v>0</v>
      </c>
      <c r="G1544" s="158">
        <v>0</v>
      </c>
      <c r="H1544" s="158">
        <v>0</v>
      </c>
      <c r="I1544" s="158">
        <v>0</v>
      </c>
      <c r="J1544" s="158">
        <v>3</v>
      </c>
      <c r="K1544" s="158">
        <v>0</v>
      </c>
      <c r="L1544" s="159">
        <v>0</v>
      </c>
      <c r="M1544" s="154">
        <f t="shared" si="482"/>
        <v>2</v>
      </c>
      <c r="N1544" s="155">
        <f t="shared" si="483"/>
        <v>9</v>
      </c>
      <c r="O1544" s="168">
        <f t="shared" si="488"/>
        <v>6.4516129032258063E-2</v>
      </c>
      <c r="P1544" s="157">
        <f t="shared" si="489"/>
        <v>0.29032258064516131</v>
      </c>
    </row>
    <row r="1545" spans="1:16" ht="13.5" customHeight="1">
      <c r="A1545" s="474"/>
      <c r="B1545" s="127">
        <v>3</v>
      </c>
      <c r="C1545" s="158">
        <v>10</v>
      </c>
      <c r="D1545" s="158">
        <v>18</v>
      </c>
      <c r="E1545" s="158">
        <v>0</v>
      </c>
      <c r="F1545" s="169">
        <v>0</v>
      </c>
      <c r="G1545" s="158">
        <v>0</v>
      </c>
      <c r="H1545" s="158">
        <v>0</v>
      </c>
      <c r="I1545" s="158">
        <v>1</v>
      </c>
      <c r="J1545" s="158">
        <v>0</v>
      </c>
      <c r="K1545" s="158">
        <v>1</v>
      </c>
      <c r="L1545" s="159">
        <v>0</v>
      </c>
      <c r="M1545" s="154">
        <f t="shared" si="482"/>
        <v>12</v>
      </c>
      <c r="N1545" s="155">
        <f t="shared" si="483"/>
        <v>18</v>
      </c>
      <c r="O1545" s="168">
        <f t="shared" si="488"/>
        <v>0.38709677419354838</v>
      </c>
      <c r="P1545" s="157">
        <f t="shared" si="489"/>
        <v>0.58064516129032262</v>
      </c>
    </row>
    <row r="1546" spans="1:16" ht="13.5" customHeight="1">
      <c r="A1546" s="474"/>
      <c r="B1546" s="127">
        <v>4</v>
      </c>
      <c r="C1546" s="158">
        <v>7</v>
      </c>
      <c r="D1546" s="158">
        <v>5</v>
      </c>
      <c r="E1546" s="158">
        <v>0</v>
      </c>
      <c r="F1546" s="169">
        <v>0</v>
      </c>
      <c r="G1546" s="158">
        <v>0</v>
      </c>
      <c r="H1546" s="158">
        <v>0</v>
      </c>
      <c r="I1546" s="158">
        <v>3</v>
      </c>
      <c r="J1546" s="158">
        <v>5</v>
      </c>
      <c r="K1546" s="158">
        <v>1</v>
      </c>
      <c r="L1546" s="159">
        <v>3</v>
      </c>
      <c r="M1546" s="154">
        <f t="shared" si="482"/>
        <v>11</v>
      </c>
      <c r="N1546" s="155">
        <f t="shared" si="483"/>
        <v>13</v>
      </c>
      <c r="O1546" s="168">
        <f t="shared" si="488"/>
        <v>0.35483870967741937</v>
      </c>
      <c r="P1546" s="157">
        <f t="shared" si="489"/>
        <v>0.41935483870967744</v>
      </c>
    </row>
    <row r="1547" spans="1:16" ht="13.5" customHeight="1">
      <c r="A1547" s="474"/>
      <c r="B1547" s="127">
        <v>5</v>
      </c>
      <c r="C1547" s="158">
        <v>1</v>
      </c>
      <c r="D1547" s="158">
        <v>7</v>
      </c>
      <c r="E1547" s="158">
        <v>0</v>
      </c>
      <c r="F1547" s="169">
        <v>0</v>
      </c>
      <c r="G1547" s="158">
        <v>1</v>
      </c>
      <c r="H1547" s="158">
        <v>1</v>
      </c>
      <c r="I1547" s="158">
        <v>2</v>
      </c>
      <c r="J1547" s="158">
        <v>2</v>
      </c>
      <c r="K1547" s="158">
        <v>0</v>
      </c>
      <c r="L1547" s="159">
        <v>2</v>
      </c>
      <c r="M1547" s="154">
        <f t="shared" si="482"/>
        <v>4</v>
      </c>
      <c r="N1547" s="155">
        <f t="shared" si="483"/>
        <v>12</v>
      </c>
      <c r="O1547" s="168">
        <f t="shared" si="488"/>
        <v>0.12903225806451613</v>
      </c>
      <c r="P1547" s="157">
        <f t="shared" si="489"/>
        <v>0.38709677419354838</v>
      </c>
    </row>
    <row r="1548" spans="1:16" ht="13.5" customHeight="1">
      <c r="A1548" s="474"/>
      <c r="B1548" s="127">
        <v>6</v>
      </c>
      <c r="C1548" s="158">
        <v>1</v>
      </c>
      <c r="D1548" s="158">
        <v>0</v>
      </c>
      <c r="E1548" s="158">
        <v>0</v>
      </c>
      <c r="F1548" s="169">
        <v>0</v>
      </c>
      <c r="G1548" s="158">
        <v>0</v>
      </c>
      <c r="H1548" s="158">
        <v>0</v>
      </c>
      <c r="I1548" s="158">
        <v>3</v>
      </c>
      <c r="J1548" s="158">
        <v>14</v>
      </c>
      <c r="K1548" s="158">
        <v>1</v>
      </c>
      <c r="L1548" s="159">
        <v>0</v>
      </c>
      <c r="M1548" s="154">
        <f t="shared" si="482"/>
        <v>5</v>
      </c>
      <c r="N1548" s="155">
        <f t="shared" si="483"/>
        <v>14</v>
      </c>
      <c r="O1548" s="168">
        <f>M1548/30</f>
        <v>0.16666666666666666</v>
      </c>
      <c r="P1548" s="157">
        <f>N1548/30</f>
        <v>0.46666666666666667</v>
      </c>
    </row>
    <row r="1549" spans="1:16" ht="13.5" customHeight="1">
      <c r="A1549" s="474"/>
      <c r="B1549" s="127">
        <v>7</v>
      </c>
      <c r="C1549" s="158">
        <v>3</v>
      </c>
      <c r="D1549" s="158">
        <v>8</v>
      </c>
      <c r="E1549" s="158">
        <v>0</v>
      </c>
      <c r="F1549" s="169">
        <v>0</v>
      </c>
      <c r="G1549" s="158">
        <v>1</v>
      </c>
      <c r="H1549" s="158">
        <v>2</v>
      </c>
      <c r="I1549" s="158">
        <v>0</v>
      </c>
      <c r="J1549" s="158">
        <v>3</v>
      </c>
      <c r="K1549" s="158">
        <v>1</v>
      </c>
      <c r="L1549" s="159">
        <v>1</v>
      </c>
      <c r="M1549" s="154">
        <f t="shared" si="482"/>
        <v>5</v>
      </c>
      <c r="N1549" s="155">
        <f t="shared" si="483"/>
        <v>14</v>
      </c>
      <c r="O1549" s="168">
        <f t="shared" ref="O1549:O1550" si="490">M1549/31</f>
        <v>0.16129032258064516</v>
      </c>
      <c r="P1549" s="157">
        <f t="shared" ref="P1549:P1550" si="491">N1549/31</f>
        <v>0.45161290322580644</v>
      </c>
    </row>
    <row r="1550" spans="1:16" ht="13.5" customHeight="1">
      <c r="A1550" s="474"/>
      <c r="B1550" s="127">
        <v>8</v>
      </c>
      <c r="C1550" s="158">
        <v>7</v>
      </c>
      <c r="D1550" s="158">
        <v>17</v>
      </c>
      <c r="E1550" s="158">
        <v>0</v>
      </c>
      <c r="F1550" s="158">
        <v>0</v>
      </c>
      <c r="G1550" s="158">
        <v>1</v>
      </c>
      <c r="H1550" s="158">
        <v>0</v>
      </c>
      <c r="I1550" s="158">
        <v>3</v>
      </c>
      <c r="J1550" s="158">
        <v>6</v>
      </c>
      <c r="K1550" s="158">
        <v>0</v>
      </c>
      <c r="L1550" s="159">
        <v>1</v>
      </c>
      <c r="M1550" s="177">
        <f t="shared" si="482"/>
        <v>11</v>
      </c>
      <c r="N1550" s="158">
        <f t="shared" si="483"/>
        <v>24</v>
      </c>
      <c r="O1550" s="168">
        <f t="shared" si="490"/>
        <v>0.35483870967741937</v>
      </c>
      <c r="P1550" s="157">
        <f t="shared" si="491"/>
        <v>0.77419354838709675</v>
      </c>
    </row>
    <row r="1551" spans="1:16" ht="13.5" customHeight="1">
      <c r="A1551" s="474"/>
      <c r="B1551" s="127">
        <v>9</v>
      </c>
      <c r="C1551" s="147">
        <v>4</v>
      </c>
      <c r="D1551" s="147">
        <v>6</v>
      </c>
      <c r="E1551" s="147">
        <v>0</v>
      </c>
      <c r="F1551" s="147">
        <v>0</v>
      </c>
      <c r="G1551" s="147">
        <v>0</v>
      </c>
      <c r="H1551" s="147">
        <v>1</v>
      </c>
      <c r="I1551" s="147">
        <v>3</v>
      </c>
      <c r="J1551" s="147">
        <v>6</v>
      </c>
      <c r="K1551" s="147">
        <v>2</v>
      </c>
      <c r="L1551" s="148">
        <v>0</v>
      </c>
      <c r="M1551" s="177">
        <v>9</v>
      </c>
      <c r="N1551" s="158">
        <v>13</v>
      </c>
      <c r="O1551" s="168">
        <v>0.29032258064516131</v>
      </c>
      <c r="P1551" s="157">
        <v>0.41935483870967744</v>
      </c>
    </row>
    <row r="1552" spans="1:16" ht="13.5" customHeight="1">
      <c r="A1552" s="474"/>
      <c r="B1552" s="127">
        <v>10</v>
      </c>
      <c r="C1552" s="147">
        <v>1</v>
      </c>
      <c r="D1552" s="147">
        <v>0</v>
      </c>
      <c r="E1552" s="147">
        <v>0</v>
      </c>
      <c r="F1552" s="181">
        <v>0</v>
      </c>
      <c r="G1552" s="147">
        <v>0</v>
      </c>
      <c r="H1552" s="147">
        <v>0</v>
      </c>
      <c r="I1552" s="147">
        <v>1</v>
      </c>
      <c r="J1552" s="147">
        <v>2</v>
      </c>
      <c r="K1552" s="147">
        <v>0</v>
      </c>
      <c r="L1552" s="148">
        <v>1</v>
      </c>
      <c r="M1552" s="154">
        <f t="shared" ref="M1552:M1554" si="492">+C1552+E1552+G1552+I1552+K1552</f>
        <v>2</v>
      </c>
      <c r="N1552" s="155">
        <f t="shared" ref="N1552:N1554" si="493">+D1552+F1552+H1552+J1552+L1552</f>
        <v>3</v>
      </c>
      <c r="O1552" s="168">
        <f t="shared" ref="O1552:O1554" si="494">M1552/31</f>
        <v>6.4516129032258063E-2</v>
      </c>
      <c r="P1552" s="157">
        <f t="shared" ref="P1552:P1554" si="495">N1552/31</f>
        <v>9.6774193548387094E-2</v>
      </c>
    </row>
    <row r="1553" spans="1:16" ht="13.5" customHeight="1">
      <c r="A1553" s="474"/>
      <c r="B1553" s="127">
        <v>11</v>
      </c>
      <c r="C1553" s="367">
        <v>9</v>
      </c>
      <c r="D1553" s="367">
        <v>17</v>
      </c>
      <c r="E1553" s="367">
        <v>0</v>
      </c>
      <c r="F1553" s="367">
        <v>0</v>
      </c>
      <c r="G1553" s="367">
        <v>6</v>
      </c>
      <c r="H1553" s="367">
        <v>3</v>
      </c>
      <c r="I1553" s="367">
        <v>0</v>
      </c>
      <c r="J1553" s="367">
        <v>0</v>
      </c>
      <c r="K1553" s="367">
        <v>1</v>
      </c>
      <c r="L1553" s="368">
        <v>3</v>
      </c>
      <c r="M1553" s="154">
        <f t="shared" si="492"/>
        <v>16</v>
      </c>
      <c r="N1553" s="155">
        <f t="shared" si="493"/>
        <v>23</v>
      </c>
      <c r="O1553" s="168">
        <f t="shared" si="494"/>
        <v>0.5161290322580645</v>
      </c>
      <c r="P1553" s="157">
        <f t="shared" si="495"/>
        <v>0.74193548387096775</v>
      </c>
    </row>
    <row r="1554" spans="1:16" ht="13.5" customHeight="1" thickBot="1">
      <c r="A1554" s="475"/>
      <c r="B1554" s="127">
        <v>12</v>
      </c>
      <c r="C1554" s="187">
        <v>3</v>
      </c>
      <c r="D1554" s="187">
        <v>1</v>
      </c>
      <c r="E1554" s="187">
        <v>0</v>
      </c>
      <c r="F1554" s="188">
        <v>0</v>
      </c>
      <c r="G1554" s="187">
        <v>1</v>
      </c>
      <c r="H1554" s="187">
        <v>9</v>
      </c>
      <c r="I1554" s="187">
        <v>8</v>
      </c>
      <c r="J1554" s="187">
        <v>12</v>
      </c>
      <c r="K1554" s="187">
        <v>1</v>
      </c>
      <c r="L1554" s="189">
        <v>2</v>
      </c>
      <c r="M1554" s="154">
        <f t="shared" si="492"/>
        <v>13</v>
      </c>
      <c r="N1554" s="155">
        <f t="shared" si="493"/>
        <v>24</v>
      </c>
      <c r="O1554" s="168">
        <f t="shared" si="494"/>
        <v>0.41935483870967744</v>
      </c>
      <c r="P1554" s="157">
        <f t="shared" si="495"/>
        <v>0.77419354838709675</v>
      </c>
    </row>
    <row r="1555" spans="1:16" ht="13.5" customHeight="1">
      <c r="A1555" s="473">
        <v>2020</v>
      </c>
      <c r="B1555" s="410">
        <v>1</v>
      </c>
      <c r="C1555" s="158">
        <v>0</v>
      </c>
      <c r="D1555" s="158">
        <v>3</v>
      </c>
      <c r="E1555" s="158">
        <v>0</v>
      </c>
      <c r="F1555" s="169">
        <v>0</v>
      </c>
      <c r="G1555" s="158">
        <v>0</v>
      </c>
      <c r="H1555" s="158">
        <v>0</v>
      </c>
      <c r="I1555" s="158">
        <v>1</v>
      </c>
      <c r="J1555" s="158">
        <v>4</v>
      </c>
      <c r="K1555" s="158">
        <v>0</v>
      </c>
      <c r="L1555" s="159">
        <v>0</v>
      </c>
      <c r="M1555" s="424">
        <f t="shared" ref="M1555:M1566" si="496">+C1555+E1555+G1555+I1555+K1555</f>
        <v>1</v>
      </c>
      <c r="N1555" s="425">
        <f t="shared" ref="N1555:N1566" si="497">+D1555+F1555+H1555+J1555+L1555</f>
        <v>7</v>
      </c>
      <c r="O1555" s="430">
        <f t="shared" si="487"/>
        <v>3.2258064516129031E-2</v>
      </c>
      <c r="P1555" s="427">
        <f t="shared" si="487"/>
        <v>0.22580645161290322</v>
      </c>
    </row>
    <row r="1556" spans="1:16" ht="13.5" customHeight="1">
      <c r="A1556" s="474"/>
      <c r="B1556" s="127">
        <v>2</v>
      </c>
      <c r="C1556" s="158">
        <v>4</v>
      </c>
      <c r="D1556" s="158">
        <v>8</v>
      </c>
      <c r="E1556" s="158">
        <v>1</v>
      </c>
      <c r="F1556" s="169">
        <v>1</v>
      </c>
      <c r="G1556" s="158">
        <v>0</v>
      </c>
      <c r="H1556" s="158">
        <v>0</v>
      </c>
      <c r="I1556" s="158">
        <v>0</v>
      </c>
      <c r="J1556" s="158">
        <v>0</v>
      </c>
      <c r="K1556" s="158">
        <v>0</v>
      </c>
      <c r="L1556" s="159">
        <v>0</v>
      </c>
      <c r="M1556" s="154">
        <f t="shared" si="496"/>
        <v>5</v>
      </c>
      <c r="N1556" s="155">
        <f t="shared" si="497"/>
        <v>9</v>
      </c>
      <c r="O1556" s="168">
        <f t="shared" si="487"/>
        <v>0.16129032258064516</v>
      </c>
      <c r="P1556" s="157">
        <f t="shared" si="487"/>
        <v>0.29032258064516131</v>
      </c>
    </row>
    <row r="1557" spans="1:16" ht="13.5" customHeight="1">
      <c r="A1557" s="474"/>
      <c r="B1557" s="127">
        <v>3</v>
      </c>
      <c r="C1557" s="158">
        <v>1</v>
      </c>
      <c r="D1557" s="158">
        <v>1</v>
      </c>
      <c r="E1557" s="158">
        <v>0</v>
      </c>
      <c r="F1557" s="169">
        <v>0</v>
      </c>
      <c r="G1557" s="158">
        <v>0</v>
      </c>
      <c r="H1557" s="158">
        <v>0</v>
      </c>
      <c r="I1557" s="158">
        <v>0</v>
      </c>
      <c r="J1557" s="158">
        <v>0</v>
      </c>
      <c r="K1557" s="158">
        <v>0</v>
      </c>
      <c r="L1557" s="159">
        <v>0</v>
      </c>
      <c r="M1557" s="154">
        <f t="shared" si="496"/>
        <v>1</v>
      </c>
      <c r="N1557" s="155">
        <f t="shared" si="497"/>
        <v>1</v>
      </c>
      <c r="O1557" s="168">
        <f t="shared" si="487"/>
        <v>3.2258064516129031E-2</v>
      </c>
      <c r="P1557" s="157">
        <f t="shared" si="487"/>
        <v>3.2258064516129031E-2</v>
      </c>
    </row>
    <row r="1558" spans="1:16" ht="13.5" customHeight="1">
      <c r="A1558" s="474"/>
      <c r="B1558" s="127">
        <v>4</v>
      </c>
      <c r="C1558" s="158">
        <v>0</v>
      </c>
      <c r="D1558" s="158">
        <v>0</v>
      </c>
      <c r="E1558" s="158">
        <v>0</v>
      </c>
      <c r="F1558" s="169">
        <v>0</v>
      </c>
      <c r="G1558" s="158">
        <v>1</v>
      </c>
      <c r="H1558" s="158">
        <v>2</v>
      </c>
      <c r="I1558" s="158">
        <v>0</v>
      </c>
      <c r="J1558" s="158">
        <v>0</v>
      </c>
      <c r="K1558" s="158">
        <v>0</v>
      </c>
      <c r="L1558" s="159">
        <v>0</v>
      </c>
      <c r="M1558" s="154">
        <f t="shared" si="496"/>
        <v>1</v>
      </c>
      <c r="N1558" s="155">
        <f t="shared" si="497"/>
        <v>2</v>
      </c>
      <c r="O1558" s="168">
        <f t="shared" si="487"/>
        <v>3.2258064516129031E-2</v>
      </c>
      <c r="P1558" s="157">
        <f t="shared" si="487"/>
        <v>6.4516129032258063E-2</v>
      </c>
    </row>
    <row r="1559" spans="1:16" ht="13.5" customHeight="1">
      <c r="A1559" s="474"/>
      <c r="B1559" s="127">
        <v>5</v>
      </c>
      <c r="C1559" s="158">
        <v>0</v>
      </c>
      <c r="D1559" s="158">
        <v>0</v>
      </c>
      <c r="E1559" s="158">
        <v>0</v>
      </c>
      <c r="F1559" s="169">
        <v>0</v>
      </c>
      <c r="G1559" s="158">
        <v>0</v>
      </c>
      <c r="H1559" s="158">
        <v>0</v>
      </c>
      <c r="I1559" s="158">
        <v>0</v>
      </c>
      <c r="J1559" s="158">
        <v>0</v>
      </c>
      <c r="K1559" s="158">
        <v>0</v>
      </c>
      <c r="L1559" s="159">
        <v>0</v>
      </c>
      <c r="M1559" s="154">
        <f t="shared" si="496"/>
        <v>0</v>
      </c>
      <c r="N1559" s="155">
        <f t="shared" si="497"/>
        <v>0</v>
      </c>
      <c r="O1559" s="168">
        <f t="shared" si="487"/>
        <v>0</v>
      </c>
      <c r="P1559" s="157">
        <f t="shared" si="487"/>
        <v>0</v>
      </c>
    </row>
    <row r="1560" spans="1:16" ht="13.5" customHeight="1">
      <c r="A1560" s="474"/>
      <c r="B1560" s="127">
        <v>6</v>
      </c>
      <c r="C1560" s="158">
        <f>集計用!C78</f>
        <v>0</v>
      </c>
      <c r="D1560" s="158">
        <f>集計用!S78</f>
        <v>0</v>
      </c>
      <c r="E1560" s="158">
        <f>集計用!E78</f>
        <v>0</v>
      </c>
      <c r="F1560" s="169">
        <f>集計用!U78</f>
        <v>0</v>
      </c>
      <c r="G1560" s="158">
        <f>集計用!G78</f>
        <v>0</v>
      </c>
      <c r="H1560" s="158">
        <f>集計用!W78</f>
        <v>0</v>
      </c>
      <c r="I1560" s="158">
        <f>集計用!I78</f>
        <v>0</v>
      </c>
      <c r="J1560" s="158">
        <f>集計用!Y78</f>
        <v>0</v>
      </c>
      <c r="K1560" s="158">
        <f>集計用!K78</f>
        <v>0</v>
      </c>
      <c r="L1560" s="159">
        <f>集計用!AA78</f>
        <v>0</v>
      </c>
      <c r="M1560" s="154">
        <f t="shared" si="496"/>
        <v>0</v>
      </c>
      <c r="N1560" s="155">
        <f t="shared" si="497"/>
        <v>0</v>
      </c>
      <c r="O1560" s="168">
        <f>M1560/30</f>
        <v>0</v>
      </c>
      <c r="P1560" s="157">
        <f>N1560/30</f>
        <v>0</v>
      </c>
    </row>
    <row r="1561" spans="1:16" ht="13.5" customHeight="1">
      <c r="A1561" s="474"/>
      <c r="B1561" s="127">
        <v>7</v>
      </c>
      <c r="C1561" s="158"/>
      <c r="D1561" s="158"/>
      <c r="E1561" s="158"/>
      <c r="F1561" s="169"/>
      <c r="G1561" s="158"/>
      <c r="H1561" s="158"/>
      <c r="I1561" s="158"/>
      <c r="J1561" s="158"/>
      <c r="K1561" s="158"/>
      <c r="L1561" s="159"/>
      <c r="M1561" s="154">
        <f t="shared" si="496"/>
        <v>0</v>
      </c>
      <c r="N1561" s="155">
        <f t="shared" si="497"/>
        <v>0</v>
      </c>
      <c r="O1561" s="168">
        <f t="shared" ref="O1561:O1566" si="498">M1561/31</f>
        <v>0</v>
      </c>
      <c r="P1561" s="157">
        <f t="shared" ref="P1561:P1566" si="499">N1561/31</f>
        <v>0</v>
      </c>
    </row>
    <row r="1562" spans="1:16" ht="13.5" customHeight="1">
      <c r="A1562" s="474"/>
      <c r="B1562" s="127">
        <v>8</v>
      </c>
      <c r="C1562" s="158"/>
      <c r="D1562" s="158"/>
      <c r="E1562" s="158"/>
      <c r="F1562" s="158"/>
      <c r="G1562" s="158"/>
      <c r="H1562" s="158"/>
      <c r="I1562" s="158"/>
      <c r="J1562" s="158"/>
      <c r="K1562" s="158"/>
      <c r="L1562" s="159"/>
      <c r="M1562" s="177">
        <f t="shared" si="496"/>
        <v>0</v>
      </c>
      <c r="N1562" s="158">
        <f t="shared" si="497"/>
        <v>0</v>
      </c>
      <c r="O1562" s="168">
        <f t="shared" si="498"/>
        <v>0</v>
      </c>
      <c r="P1562" s="157">
        <f t="shared" si="499"/>
        <v>0</v>
      </c>
    </row>
    <row r="1563" spans="1:16" ht="13.5" customHeight="1">
      <c r="A1563" s="474"/>
      <c r="B1563" s="127">
        <v>9</v>
      </c>
      <c r="C1563" s="147"/>
      <c r="D1563" s="147"/>
      <c r="E1563" s="147"/>
      <c r="F1563" s="147"/>
      <c r="G1563" s="147"/>
      <c r="H1563" s="147"/>
      <c r="I1563" s="147"/>
      <c r="J1563" s="147"/>
      <c r="K1563" s="147"/>
      <c r="L1563" s="148"/>
      <c r="M1563" s="177">
        <f t="shared" ref="M1563" si="500">+C1563+E1563+G1563+I1563+K1563</f>
        <v>0</v>
      </c>
      <c r="N1563" s="158">
        <f t="shared" ref="N1563" si="501">+D1563+F1563+H1563+J1563+L1563</f>
        <v>0</v>
      </c>
      <c r="O1563" s="168">
        <f>M1563/30</f>
        <v>0</v>
      </c>
      <c r="P1563" s="157">
        <f>N1563/30</f>
        <v>0</v>
      </c>
    </row>
    <row r="1564" spans="1:16" ht="13.5" customHeight="1">
      <c r="A1564" s="474"/>
      <c r="B1564" s="127">
        <v>10</v>
      </c>
      <c r="C1564" s="147"/>
      <c r="D1564" s="147"/>
      <c r="E1564" s="147"/>
      <c r="F1564" s="181"/>
      <c r="G1564" s="147"/>
      <c r="H1564" s="147"/>
      <c r="I1564" s="147"/>
      <c r="J1564" s="147"/>
      <c r="K1564" s="147"/>
      <c r="L1564" s="148"/>
      <c r="M1564" s="154">
        <f t="shared" ref="M1564" si="502">+C1564+E1564+G1564+I1564+K1564</f>
        <v>0</v>
      </c>
      <c r="N1564" s="155">
        <f t="shared" ref="N1564" si="503">+D1564+F1564+H1564+J1564+L1564</f>
        <v>0</v>
      </c>
      <c r="O1564" s="168">
        <f t="shared" ref="O1564" si="504">M1564/31</f>
        <v>0</v>
      </c>
      <c r="P1564" s="157">
        <f t="shared" ref="P1564" si="505">N1564/31</f>
        <v>0</v>
      </c>
    </row>
    <row r="1565" spans="1:16" ht="13.5" customHeight="1">
      <c r="A1565" s="474"/>
      <c r="B1565" s="127">
        <v>11</v>
      </c>
      <c r="C1565" s="367"/>
      <c r="D1565" s="367"/>
      <c r="E1565" s="367"/>
      <c r="F1565" s="367"/>
      <c r="G1565" s="367"/>
      <c r="H1565" s="367"/>
      <c r="I1565" s="367"/>
      <c r="J1565" s="367"/>
      <c r="K1565" s="367"/>
      <c r="L1565" s="368"/>
      <c r="M1565" s="154">
        <f t="shared" si="496"/>
        <v>0</v>
      </c>
      <c r="N1565" s="155">
        <f t="shared" si="497"/>
        <v>0</v>
      </c>
      <c r="O1565" s="168">
        <f t="shared" si="498"/>
        <v>0</v>
      </c>
      <c r="P1565" s="157">
        <f t="shared" si="499"/>
        <v>0</v>
      </c>
    </row>
    <row r="1566" spans="1:16" ht="13.5" customHeight="1" thickBot="1">
      <c r="A1566" s="475"/>
      <c r="B1566" s="127">
        <v>12</v>
      </c>
      <c r="C1566" s="187"/>
      <c r="D1566" s="187"/>
      <c r="E1566" s="187"/>
      <c r="F1566" s="188"/>
      <c r="G1566" s="187"/>
      <c r="H1566" s="187"/>
      <c r="I1566" s="187"/>
      <c r="J1566" s="187"/>
      <c r="K1566" s="187"/>
      <c r="L1566" s="189"/>
      <c r="M1566" s="154">
        <f t="shared" si="496"/>
        <v>0</v>
      </c>
      <c r="N1566" s="155">
        <f t="shared" si="497"/>
        <v>0</v>
      </c>
      <c r="O1566" s="168">
        <f t="shared" si="498"/>
        <v>0</v>
      </c>
      <c r="P1566" s="157">
        <f t="shared" si="499"/>
        <v>0</v>
      </c>
    </row>
    <row r="1567" spans="1:16" ht="18.75" customHeight="1" thickBot="1">
      <c r="A1567" s="180"/>
      <c r="B1567" s="160" t="s">
        <v>5</v>
      </c>
      <c r="C1567" s="161">
        <f>SUM(C1519:C1566)</f>
        <v>127</v>
      </c>
      <c r="D1567" s="161">
        <f t="shared" ref="D1567:K1567" si="506">SUM(D1519:D1566)</f>
        <v>234</v>
      </c>
      <c r="E1567" s="161">
        <f t="shared" si="506"/>
        <v>11</v>
      </c>
      <c r="F1567" s="161">
        <f t="shared" si="506"/>
        <v>20</v>
      </c>
      <c r="G1567" s="161">
        <f t="shared" si="506"/>
        <v>25</v>
      </c>
      <c r="H1567" s="161">
        <f t="shared" si="506"/>
        <v>35</v>
      </c>
      <c r="I1567" s="161">
        <f t="shared" si="506"/>
        <v>39</v>
      </c>
      <c r="J1567" s="161">
        <f t="shared" si="506"/>
        <v>84</v>
      </c>
      <c r="K1567" s="161">
        <f t="shared" si="506"/>
        <v>18</v>
      </c>
      <c r="L1567" s="161">
        <f>SUM(L1519:L1566)</f>
        <v>43</v>
      </c>
      <c r="M1567" s="162">
        <f>SUM(M1519:M1566)</f>
        <v>220</v>
      </c>
      <c r="N1567" s="161">
        <f>SUM(N1519:N1566)</f>
        <v>416</v>
      </c>
      <c r="O1567" s="161">
        <f>SUM(O1519:O1566)</f>
        <v>7.1043010752688156</v>
      </c>
      <c r="P1567" s="161">
        <f>SUM(P1519:P1566)</f>
        <v>13.437634408602152</v>
      </c>
    </row>
    <row r="1579" spans="2:16" s="2" customFormat="1" ht="15" customHeight="1">
      <c r="B1579" s="172" t="s">
        <v>25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73">
        <f>P1</f>
        <v>44022</v>
      </c>
    </row>
    <row r="1580" spans="2:16" s="2" customFormat="1" ht="7.5" customHeight="1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124"/>
    </row>
    <row r="1581" spans="2:16" ht="10.5" customHeight="1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25" t="s">
        <v>26</v>
      </c>
    </row>
    <row r="1582" spans="2:16" ht="9.75" customHeight="1">
      <c r="B1582" s="11" t="s">
        <v>55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26" t="s">
        <v>27</v>
      </c>
    </row>
    <row r="1584" spans="2:16" ht="11.25" customHeight="1">
      <c r="B1584" s="467" t="s">
        <v>185</v>
      </c>
      <c r="C1584" s="469" t="s">
        <v>29</v>
      </c>
      <c r="D1584" s="470"/>
      <c r="E1584" s="469" t="s">
        <v>30</v>
      </c>
      <c r="F1584" s="470"/>
      <c r="G1584" s="469" t="s">
        <v>31</v>
      </c>
      <c r="H1584" s="470"/>
      <c r="I1584" s="469" t="s">
        <v>58</v>
      </c>
      <c r="J1584" s="470"/>
      <c r="K1584" s="469" t="s">
        <v>57</v>
      </c>
      <c r="L1584" s="471"/>
      <c r="M1584" s="470" t="s">
        <v>5</v>
      </c>
      <c r="N1584" s="472"/>
      <c r="O1584" s="472" t="s">
        <v>33</v>
      </c>
      <c r="P1584" s="472"/>
    </row>
    <row r="1585" spans="1:16" ht="11.25" customHeight="1" thickBot="1">
      <c r="B1585" s="468"/>
      <c r="C1585" s="13" t="s">
        <v>34</v>
      </c>
      <c r="D1585" s="13" t="s">
        <v>35</v>
      </c>
      <c r="E1585" s="13" t="s">
        <v>34</v>
      </c>
      <c r="F1585" s="13" t="s">
        <v>35</v>
      </c>
      <c r="G1585" s="13" t="s">
        <v>34</v>
      </c>
      <c r="H1585" s="13" t="s">
        <v>35</v>
      </c>
      <c r="I1585" s="13" t="s">
        <v>59</v>
      </c>
      <c r="J1585" s="13" t="s">
        <v>60</v>
      </c>
      <c r="K1585" s="13" t="s">
        <v>34</v>
      </c>
      <c r="L1585" s="14" t="s">
        <v>35</v>
      </c>
      <c r="M1585" s="15" t="s">
        <v>34</v>
      </c>
      <c r="N1585" s="13" t="s">
        <v>35</v>
      </c>
      <c r="O1585" s="163" t="s">
        <v>34</v>
      </c>
      <c r="P1585" s="163" t="s">
        <v>35</v>
      </c>
    </row>
    <row r="1586" spans="1:16" ht="13.5" customHeight="1">
      <c r="A1586" s="473">
        <v>2017</v>
      </c>
      <c r="B1586" s="410">
        <v>1</v>
      </c>
      <c r="C1586" s="422"/>
      <c r="D1586" s="422"/>
      <c r="E1586" s="422"/>
      <c r="F1586" s="422"/>
      <c r="G1586" s="422"/>
      <c r="H1586" s="422"/>
      <c r="I1586" s="422"/>
      <c r="J1586" s="422"/>
      <c r="K1586" s="422"/>
      <c r="L1586" s="432"/>
      <c r="M1586" s="424">
        <f t="shared" ref="M1586:M1617" si="507">+C1586+E1586+G1586+I1586+K1586</f>
        <v>0</v>
      </c>
      <c r="N1586" s="425">
        <f t="shared" ref="N1586:N1617" si="508">+D1586+F1586+H1586+J1586+L1586</f>
        <v>0</v>
      </c>
      <c r="O1586" s="430">
        <f t="shared" ref="O1586:P1590" si="509">M1586/31</f>
        <v>0</v>
      </c>
      <c r="P1586" s="427">
        <f t="shared" si="509"/>
        <v>0</v>
      </c>
    </row>
    <row r="1587" spans="1:16" ht="13.5" customHeight="1">
      <c r="A1587" s="474"/>
      <c r="B1587" s="127">
        <v>2</v>
      </c>
      <c r="C1587" s="147"/>
      <c r="D1587" s="147"/>
      <c r="E1587" s="147"/>
      <c r="F1587" s="147"/>
      <c r="G1587" s="147"/>
      <c r="H1587" s="147"/>
      <c r="I1587" s="147"/>
      <c r="J1587" s="147"/>
      <c r="K1587" s="147"/>
      <c r="L1587" s="174"/>
      <c r="M1587" s="149">
        <f t="shared" si="507"/>
        <v>0</v>
      </c>
      <c r="N1587" s="150">
        <f t="shared" si="508"/>
        <v>0</v>
      </c>
      <c r="O1587" s="167">
        <f t="shared" si="509"/>
        <v>0</v>
      </c>
      <c r="P1587" s="152">
        <f t="shared" si="509"/>
        <v>0</v>
      </c>
    </row>
    <row r="1588" spans="1:16" ht="13.5" customHeight="1">
      <c r="A1588" s="474"/>
      <c r="B1588" s="127">
        <v>3</v>
      </c>
      <c r="C1588" s="147"/>
      <c r="D1588" s="147"/>
      <c r="E1588" s="147"/>
      <c r="F1588" s="147"/>
      <c r="G1588" s="147"/>
      <c r="H1588" s="147"/>
      <c r="I1588" s="147"/>
      <c r="J1588" s="147"/>
      <c r="K1588" s="147"/>
      <c r="L1588" s="174"/>
      <c r="M1588" s="149">
        <f t="shared" si="507"/>
        <v>0</v>
      </c>
      <c r="N1588" s="150">
        <f t="shared" si="508"/>
        <v>0</v>
      </c>
      <c r="O1588" s="167">
        <f t="shared" si="509"/>
        <v>0</v>
      </c>
      <c r="P1588" s="152">
        <f t="shared" si="509"/>
        <v>0</v>
      </c>
    </row>
    <row r="1589" spans="1:16" ht="13.5" customHeight="1">
      <c r="A1589" s="474"/>
      <c r="B1589" s="127">
        <v>4</v>
      </c>
      <c r="C1589" s="158"/>
      <c r="D1589" s="158"/>
      <c r="E1589" s="158"/>
      <c r="F1589" s="158"/>
      <c r="G1589" s="158"/>
      <c r="H1589" s="158"/>
      <c r="I1589" s="158"/>
      <c r="J1589" s="158"/>
      <c r="K1589" s="158"/>
      <c r="L1589" s="159"/>
      <c r="M1589" s="154">
        <f t="shared" si="507"/>
        <v>0</v>
      </c>
      <c r="N1589" s="155">
        <f t="shared" si="508"/>
        <v>0</v>
      </c>
      <c r="O1589" s="168">
        <f t="shared" si="509"/>
        <v>0</v>
      </c>
      <c r="P1589" s="157">
        <f t="shared" si="509"/>
        <v>0</v>
      </c>
    </row>
    <row r="1590" spans="1:16" ht="13.5" customHeight="1">
      <c r="A1590" s="474"/>
      <c r="B1590" s="127">
        <v>5</v>
      </c>
      <c r="C1590" s="158"/>
      <c r="D1590" s="158"/>
      <c r="E1590" s="158"/>
      <c r="F1590" s="158"/>
      <c r="G1590" s="158"/>
      <c r="H1590" s="158"/>
      <c r="I1590" s="158"/>
      <c r="J1590" s="158"/>
      <c r="K1590" s="158"/>
      <c r="L1590" s="159"/>
      <c r="M1590" s="154">
        <f t="shared" si="507"/>
        <v>0</v>
      </c>
      <c r="N1590" s="155">
        <f t="shared" si="508"/>
        <v>0</v>
      </c>
      <c r="O1590" s="168">
        <f t="shared" si="509"/>
        <v>0</v>
      </c>
      <c r="P1590" s="157">
        <f t="shared" si="509"/>
        <v>0</v>
      </c>
    </row>
    <row r="1591" spans="1:16" ht="13.5" customHeight="1">
      <c r="A1591" s="474"/>
      <c r="B1591" s="127">
        <v>6</v>
      </c>
      <c r="C1591" s="158"/>
      <c r="D1591" s="158"/>
      <c r="E1591" s="158"/>
      <c r="F1591" s="158"/>
      <c r="G1591" s="158"/>
      <c r="H1591" s="158"/>
      <c r="I1591" s="158"/>
      <c r="J1591" s="158"/>
      <c r="K1591" s="158"/>
      <c r="L1591" s="158"/>
      <c r="M1591" s="154">
        <f t="shared" si="507"/>
        <v>0</v>
      </c>
      <c r="N1591" s="155">
        <f t="shared" si="508"/>
        <v>0</v>
      </c>
      <c r="O1591" s="168">
        <f>M1591/30</f>
        <v>0</v>
      </c>
      <c r="P1591" s="157">
        <f>N1591/30</f>
        <v>0</v>
      </c>
    </row>
    <row r="1592" spans="1:16" ht="13.5" customHeight="1">
      <c r="A1592" s="474"/>
      <c r="B1592" s="127">
        <v>7</v>
      </c>
      <c r="C1592" s="158"/>
      <c r="D1592" s="158"/>
      <c r="E1592" s="158"/>
      <c r="F1592" s="158"/>
      <c r="G1592" s="158"/>
      <c r="H1592" s="158"/>
      <c r="I1592" s="158"/>
      <c r="J1592" s="158"/>
      <c r="K1592" s="158"/>
      <c r="L1592" s="158"/>
      <c r="M1592" s="154">
        <f t="shared" si="507"/>
        <v>0</v>
      </c>
      <c r="N1592" s="155">
        <f t="shared" si="508"/>
        <v>0</v>
      </c>
      <c r="O1592" s="168">
        <f t="shared" ref="O1592:O1602" si="510">M1592/31</f>
        <v>0</v>
      </c>
      <c r="P1592" s="157">
        <f t="shared" ref="P1592:P1602" si="511">N1592/31</f>
        <v>0</v>
      </c>
    </row>
    <row r="1593" spans="1:16" ht="13.5" customHeight="1">
      <c r="A1593" s="474"/>
      <c r="B1593" s="127">
        <v>8</v>
      </c>
      <c r="C1593" s="158"/>
      <c r="D1593" s="158"/>
      <c r="E1593" s="158"/>
      <c r="F1593" s="158"/>
      <c r="G1593" s="158"/>
      <c r="H1593" s="158"/>
      <c r="I1593" s="158"/>
      <c r="J1593" s="158"/>
      <c r="K1593" s="158"/>
      <c r="L1593" s="159"/>
      <c r="M1593" s="177">
        <f t="shared" si="507"/>
        <v>0</v>
      </c>
      <c r="N1593" s="158">
        <f t="shared" si="508"/>
        <v>0</v>
      </c>
      <c r="O1593" s="168">
        <f t="shared" si="510"/>
        <v>0</v>
      </c>
      <c r="P1593" s="157">
        <f t="shared" si="511"/>
        <v>0</v>
      </c>
    </row>
    <row r="1594" spans="1:16" ht="13.5" customHeight="1">
      <c r="A1594" s="474"/>
      <c r="B1594" s="127">
        <v>9</v>
      </c>
      <c r="C1594" s="147">
        <v>1</v>
      </c>
      <c r="D1594" s="147">
        <v>1</v>
      </c>
      <c r="E1594" s="147">
        <v>0</v>
      </c>
      <c r="F1594" s="147">
        <v>0</v>
      </c>
      <c r="G1594" s="147">
        <v>0</v>
      </c>
      <c r="H1594" s="147">
        <v>0</v>
      </c>
      <c r="I1594" s="147">
        <v>0</v>
      </c>
      <c r="J1594" s="147">
        <v>0</v>
      </c>
      <c r="K1594" s="147">
        <v>0</v>
      </c>
      <c r="L1594" s="147">
        <v>0</v>
      </c>
      <c r="M1594" s="177">
        <f t="shared" si="507"/>
        <v>1</v>
      </c>
      <c r="N1594" s="158">
        <f t="shared" si="508"/>
        <v>1</v>
      </c>
      <c r="O1594" s="168">
        <f t="shared" si="510"/>
        <v>3.2258064516129031E-2</v>
      </c>
      <c r="P1594" s="157">
        <f t="shared" si="511"/>
        <v>3.2258064516129031E-2</v>
      </c>
    </row>
    <row r="1595" spans="1:16" ht="13.5" customHeight="1">
      <c r="A1595" s="474"/>
      <c r="B1595" s="127">
        <v>10</v>
      </c>
      <c r="C1595" s="147">
        <v>0</v>
      </c>
      <c r="D1595" s="147">
        <v>0</v>
      </c>
      <c r="E1595" s="147">
        <v>0</v>
      </c>
      <c r="F1595" s="181">
        <v>0</v>
      </c>
      <c r="G1595" s="147">
        <v>0</v>
      </c>
      <c r="H1595" s="147">
        <v>0</v>
      </c>
      <c r="I1595" s="147">
        <v>0</v>
      </c>
      <c r="J1595" s="147">
        <v>0</v>
      </c>
      <c r="K1595" s="147">
        <v>0</v>
      </c>
      <c r="L1595" s="148">
        <v>0</v>
      </c>
      <c r="M1595" s="154">
        <f t="shared" si="507"/>
        <v>0</v>
      </c>
      <c r="N1595" s="155">
        <f t="shared" si="508"/>
        <v>0</v>
      </c>
      <c r="O1595" s="168">
        <f t="shared" si="510"/>
        <v>0</v>
      </c>
      <c r="P1595" s="157">
        <f t="shared" si="511"/>
        <v>0</v>
      </c>
    </row>
    <row r="1596" spans="1:16" ht="13.5" customHeight="1">
      <c r="A1596" s="474"/>
      <c r="B1596" s="127">
        <v>11</v>
      </c>
      <c r="C1596" s="367">
        <v>0</v>
      </c>
      <c r="D1596" s="367">
        <v>0</v>
      </c>
      <c r="E1596" s="367">
        <v>0</v>
      </c>
      <c r="F1596" s="367">
        <v>0</v>
      </c>
      <c r="G1596" s="367">
        <v>0</v>
      </c>
      <c r="H1596" s="367">
        <v>0</v>
      </c>
      <c r="I1596" s="367">
        <v>0</v>
      </c>
      <c r="J1596" s="367">
        <v>0</v>
      </c>
      <c r="K1596" s="367">
        <v>0</v>
      </c>
      <c r="L1596" s="368">
        <v>0</v>
      </c>
      <c r="M1596" s="154">
        <f t="shared" si="507"/>
        <v>0</v>
      </c>
      <c r="N1596" s="155">
        <f t="shared" si="508"/>
        <v>0</v>
      </c>
      <c r="O1596" s="168">
        <f t="shared" si="510"/>
        <v>0</v>
      </c>
      <c r="P1596" s="157">
        <f t="shared" si="511"/>
        <v>0</v>
      </c>
    </row>
    <row r="1597" spans="1:16" ht="13.5" customHeight="1" thickBot="1">
      <c r="A1597" s="475"/>
      <c r="B1597" s="127">
        <v>12</v>
      </c>
      <c r="C1597" s="187">
        <v>0</v>
      </c>
      <c r="D1597" s="187">
        <v>0</v>
      </c>
      <c r="E1597" s="187">
        <v>0</v>
      </c>
      <c r="F1597" s="188">
        <v>0</v>
      </c>
      <c r="G1597" s="187">
        <v>0</v>
      </c>
      <c r="H1597" s="187">
        <v>0</v>
      </c>
      <c r="I1597" s="187">
        <v>0</v>
      </c>
      <c r="J1597" s="187">
        <v>0</v>
      </c>
      <c r="K1597" s="187">
        <v>0</v>
      </c>
      <c r="L1597" s="189">
        <v>0</v>
      </c>
      <c r="M1597" s="154">
        <f t="shared" si="507"/>
        <v>0</v>
      </c>
      <c r="N1597" s="155">
        <f t="shared" si="508"/>
        <v>0</v>
      </c>
      <c r="O1597" s="168">
        <f t="shared" si="510"/>
        <v>0</v>
      </c>
      <c r="P1597" s="157">
        <f t="shared" si="511"/>
        <v>0</v>
      </c>
    </row>
    <row r="1598" spans="1:16" ht="13.5" customHeight="1">
      <c r="A1598" s="473">
        <v>2018</v>
      </c>
      <c r="B1598" s="410">
        <v>1</v>
      </c>
      <c r="C1598" s="422">
        <v>0</v>
      </c>
      <c r="D1598" s="422">
        <v>0</v>
      </c>
      <c r="E1598" s="422">
        <v>0</v>
      </c>
      <c r="F1598" s="422">
        <v>0</v>
      </c>
      <c r="G1598" s="422">
        <v>0</v>
      </c>
      <c r="H1598" s="422">
        <v>0</v>
      </c>
      <c r="I1598" s="422">
        <v>0</v>
      </c>
      <c r="J1598" s="422">
        <v>0</v>
      </c>
      <c r="K1598" s="422">
        <v>0</v>
      </c>
      <c r="L1598" s="432">
        <v>0</v>
      </c>
      <c r="M1598" s="424">
        <f t="shared" si="507"/>
        <v>0</v>
      </c>
      <c r="N1598" s="425">
        <f t="shared" si="508"/>
        <v>0</v>
      </c>
      <c r="O1598" s="430">
        <f t="shared" si="510"/>
        <v>0</v>
      </c>
      <c r="P1598" s="427">
        <f t="shared" si="511"/>
        <v>0</v>
      </c>
    </row>
    <row r="1599" spans="1:16" ht="13.5" customHeight="1">
      <c r="A1599" s="474"/>
      <c r="B1599" s="127">
        <v>2</v>
      </c>
      <c r="C1599" s="147">
        <v>0</v>
      </c>
      <c r="D1599" s="147">
        <v>0</v>
      </c>
      <c r="E1599" s="147">
        <v>0</v>
      </c>
      <c r="F1599" s="147">
        <v>0</v>
      </c>
      <c r="G1599" s="147">
        <v>0</v>
      </c>
      <c r="H1599" s="147">
        <v>0</v>
      </c>
      <c r="I1599" s="147">
        <v>0</v>
      </c>
      <c r="J1599" s="147">
        <v>0</v>
      </c>
      <c r="K1599" s="147">
        <v>0</v>
      </c>
      <c r="L1599" s="174">
        <v>0</v>
      </c>
      <c r="M1599" s="149">
        <f t="shared" si="507"/>
        <v>0</v>
      </c>
      <c r="N1599" s="150">
        <f t="shared" si="508"/>
        <v>0</v>
      </c>
      <c r="O1599" s="167">
        <f t="shared" si="510"/>
        <v>0</v>
      </c>
      <c r="P1599" s="152">
        <f t="shared" si="511"/>
        <v>0</v>
      </c>
    </row>
    <row r="1600" spans="1:16" ht="13.5" customHeight="1">
      <c r="A1600" s="474"/>
      <c r="B1600" s="127">
        <v>3</v>
      </c>
      <c r="C1600" s="147">
        <v>0</v>
      </c>
      <c r="D1600" s="147">
        <v>0</v>
      </c>
      <c r="E1600" s="147">
        <v>0</v>
      </c>
      <c r="F1600" s="147">
        <v>0</v>
      </c>
      <c r="G1600" s="147">
        <v>0</v>
      </c>
      <c r="H1600" s="147">
        <v>0</v>
      </c>
      <c r="I1600" s="147">
        <v>0</v>
      </c>
      <c r="J1600" s="147">
        <v>0</v>
      </c>
      <c r="K1600" s="147">
        <v>0</v>
      </c>
      <c r="L1600" s="174">
        <v>0</v>
      </c>
      <c r="M1600" s="149">
        <f t="shared" si="507"/>
        <v>0</v>
      </c>
      <c r="N1600" s="150">
        <f t="shared" si="508"/>
        <v>0</v>
      </c>
      <c r="O1600" s="167">
        <f t="shared" si="510"/>
        <v>0</v>
      </c>
      <c r="P1600" s="152">
        <f t="shared" si="511"/>
        <v>0</v>
      </c>
    </row>
    <row r="1601" spans="1:16" ht="13.5" customHeight="1">
      <c r="A1601" s="474"/>
      <c r="B1601" s="127">
        <v>4</v>
      </c>
      <c r="C1601" s="158">
        <v>4</v>
      </c>
      <c r="D1601" s="158">
        <v>0</v>
      </c>
      <c r="E1601" s="158">
        <v>0</v>
      </c>
      <c r="F1601" s="158">
        <v>0</v>
      </c>
      <c r="G1601" s="158">
        <v>1</v>
      </c>
      <c r="H1601" s="158">
        <v>0</v>
      </c>
      <c r="I1601" s="158">
        <v>0</v>
      </c>
      <c r="J1601" s="158">
        <v>0</v>
      </c>
      <c r="K1601" s="158">
        <v>0</v>
      </c>
      <c r="L1601" s="159">
        <v>0</v>
      </c>
      <c r="M1601" s="154">
        <f t="shared" si="507"/>
        <v>5</v>
      </c>
      <c r="N1601" s="155">
        <f t="shared" si="508"/>
        <v>0</v>
      </c>
      <c r="O1601" s="168">
        <f t="shared" si="510"/>
        <v>0.16129032258064516</v>
      </c>
      <c r="P1601" s="157">
        <f t="shared" si="511"/>
        <v>0</v>
      </c>
    </row>
    <row r="1602" spans="1:16" ht="13.5" customHeight="1">
      <c r="A1602" s="474"/>
      <c r="B1602" s="127">
        <v>5</v>
      </c>
      <c r="C1602" s="158">
        <v>10</v>
      </c>
      <c r="D1602" s="158">
        <v>22</v>
      </c>
      <c r="E1602" s="158">
        <v>0</v>
      </c>
      <c r="F1602" s="158">
        <v>0</v>
      </c>
      <c r="G1602" s="158">
        <v>0</v>
      </c>
      <c r="H1602" s="158">
        <v>2</v>
      </c>
      <c r="I1602" s="158">
        <v>0</v>
      </c>
      <c r="J1602" s="158">
        <v>0</v>
      </c>
      <c r="K1602" s="158">
        <v>1</v>
      </c>
      <c r="L1602" s="159">
        <v>2</v>
      </c>
      <c r="M1602" s="154">
        <f t="shared" si="507"/>
        <v>11</v>
      </c>
      <c r="N1602" s="155">
        <f t="shared" si="508"/>
        <v>26</v>
      </c>
      <c r="O1602" s="168">
        <f t="shared" si="510"/>
        <v>0.35483870967741937</v>
      </c>
      <c r="P1602" s="157">
        <f t="shared" si="511"/>
        <v>0.83870967741935487</v>
      </c>
    </row>
    <row r="1603" spans="1:16" ht="13.5" customHeight="1">
      <c r="A1603" s="474"/>
      <c r="B1603" s="127">
        <v>6</v>
      </c>
      <c r="C1603" s="158">
        <v>4</v>
      </c>
      <c r="D1603" s="158">
        <v>4</v>
      </c>
      <c r="E1603" s="158">
        <v>0</v>
      </c>
      <c r="F1603" s="158">
        <v>0</v>
      </c>
      <c r="G1603" s="158">
        <v>0</v>
      </c>
      <c r="H1603" s="158">
        <v>0</v>
      </c>
      <c r="I1603" s="158">
        <v>0</v>
      </c>
      <c r="J1603" s="158">
        <v>0</v>
      </c>
      <c r="K1603" s="158">
        <v>0</v>
      </c>
      <c r="L1603" s="158">
        <v>0</v>
      </c>
      <c r="M1603" s="154">
        <f t="shared" si="507"/>
        <v>4</v>
      </c>
      <c r="N1603" s="155">
        <f t="shared" si="508"/>
        <v>4</v>
      </c>
      <c r="O1603" s="168">
        <f>M1603/30</f>
        <v>0.13333333333333333</v>
      </c>
      <c r="P1603" s="157">
        <f>N1603/30</f>
        <v>0.13333333333333333</v>
      </c>
    </row>
    <row r="1604" spans="1:16" ht="13.5" customHeight="1">
      <c r="A1604" s="474"/>
      <c r="B1604" s="127">
        <v>7</v>
      </c>
      <c r="C1604" s="158">
        <v>8</v>
      </c>
      <c r="D1604" s="158">
        <v>8</v>
      </c>
      <c r="E1604" s="158">
        <v>0</v>
      </c>
      <c r="F1604" s="158">
        <v>0</v>
      </c>
      <c r="G1604" s="158">
        <v>2</v>
      </c>
      <c r="H1604" s="158">
        <v>0</v>
      </c>
      <c r="I1604" s="158">
        <v>0</v>
      </c>
      <c r="J1604" s="158">
        <v>0</v>
      </c>
      <c r="K1604" s="158">
        <v>0</v>
      </c>
      <c r="L1604" s="158">
        <v>0</v>
      </c>
      <c r="M1604" s="154">
        <f t="shared" si="507"/>
        <v>10</v>
      </c>
      <c r="N1604" s="155">
        <f t="shared" si="508"/>
        <v>8</v>
      </c>
      <c r="O1604" s="168">
        <f t="shared" ref="O1604:P1626" si="512">M1604/31</f>
        <v>0.32258064516129031</v>
      </c>
      <c r="P1604" s="157">
        <f t="shared" si="512"/>
        <v>0.25806451612903225</v>
      </c>
    </row>
    <row r="1605" spans="1:16" ht="13.5" customHeight="1">
      <c r="A1605" s="474"/>
      <c r="B1605" s="127">
        <v>8</v>
      </c>
      <c r="C1605" s="158">
        <v>14</v>
      </c>
      <c r="D1605" s="158">
        <v>5</v>
      </c>
      <c r="E1605" s="158">
        <v>0</v>
      </c>
      <c r="F1605" s="158">
        <v>0</v>
      </c>
      <c r="G1605" s="158">
        <v>2</v>
      </c>
      <c r="H1605" s="158">
        <v>0</v>
      </c>
      <c r="I1605" s="158">
        <v>0</v>
      </c>
      <c r="J1605" s="158">
        <v>0</v>
      </c>
      <c r="K1605" s="158">
        <v>2</v>
      </c>
      <c r="L1605" s="159">
        <v>0</v>
      </c>
      <c r="M1605" s="177">
        <f t="shared" si="507"/>
        <v>18</v>
      </c>
      <c r="N1605" s="158">
        <f t="shared" si="508"/>
        <v>5</v>
      </c>
      <c r="O1605" s="168">
        <f t="shared" si="512"/>
        <v>0.58064516129032262</v>
      </c>
      <c r="P1605" s="157">
        <f t="shared" si="512"/>
        <v>0.16129032258064516</v>
      </c>
    </row>
    <row r="1606" spans="1:16" ht="13.5" customHeight="1">
      <c r="A1606" s="474"/>
      <c r="B1606" s="127">
        <v>9</v>
      </c>
      <c r="C1606" s="147">
        <v>10</v>
      </c>
      <c r="D1606" s="147">
        <v>16</v>
      </c>
      <c r="E1606" s="147">
        <v>0</v>
      </c>
      <c r="F1606" s="147">
        <v>0</v>
      </c>
      <c r="G1606" s="147">
        <v>0</v>
      </c>
      <c r="H1606" s="147">
        <v>1</v>
      </c>
      <c r="I1606" s="147">
        <v>0</v>
      </c>
      <c r="J1606" s="147">
        <v>0</v>
      </c>
      <c r="K1606" s="147">
        <v>0</v>
      </c>
      <c r="L1606" s="147">
        <v>0</v>
      </c>
      <c r="M1606" s="177">
        <f t="shared" si="507"/>
        <v>10</v>
      </c>
      <c r="N1606" s="158">
        <f t="shared" si="508"/>
        <v>17</v>
      </c>
      <c r="O1606" s="168">
        <f t="shared" si="512"/>
        <v>0.32258064516129031</v>
      </c>
      <c r="P1606" s="157">
        <f t="shared" si="512"/>
        <v>0.54838709677419351</v>
      </c>
    </row>
    <row r="1607" spans="1:16" ht="13.5" customHeight="1">
      <c r="A1607" s="474"/>
      <c r="B1607" s="127">
        <v>10</v>
      </c>
      <c r="C1607" s="147">
        <v>9</v>
      </c>
      <c r="D1607" s="147">
        <v>41</v>
      </c>
      <c r="E1607" s="147">
        <v>0</v>
      </c>
      <c r="F1607" s="181">
        <v>0</v>
      </c>
      <c r="G1607" s="147">
        <v>0</v>
      </c>
      <c r="H1607" s="147">
        <v>2</v>
      </c>
      <c r="I1607" s="147">
        <v>1</v>
      </c>
      <c r="J1607" s="147">
        <v>2</v>
      </c>
      <c r="K1607" s="147">
        <v>0</v>
      </c>
      <c r="L1607" s="148">
        <v>5</v>
      </c>
      <c r="M1607" s="154">
        <f t="shared" si="507"/>
        <v>10</v>
      </c>
      <c r="N1607" s="155">
        <f t="shared" si="508"/>
        <v>50</v>
      </c>
      <c r="O1607" s="168">
        <f t="shared" si="512"/>
        <v>0.32258064516129031</v>
      </c>
      <c r="P1607" s="157">
        <f t="shared" si="512"/>
        <v>1.6129032258064515</v>
      </c>
    </row>
    <row r="1608" spans="1:16" ht="13.5" customHeight="1">
      <c r="A1608" s="474"/>
      <c r="B1608" s="127">
        <v>11</v>
      </c>
      <c r="C1608" s="367">
        <v>0</v>
      </c>
      <c r="D1608" s="367">
        <v>2</v>
      </c>
      <c r="E1608" s="367">
        <v>0</v>
      </c>
      <c r="F1608" s="367">
        <v>0</v>
      </c>
      <c r="G1608" s="367">
        <v>0</v>
      </c>
      <c r="H1608" s="367">
        <v>0</v>
      </c>
      <c r="I1608" s="367">
        <v>0</v>
      </c>
      <c r="J1608" s="367">
        <v>0</v>
      </c>
      <c r="K1608" s="367">
        <v>0</v>
      </c>
      <c r="L1608" s="368">
        <v>5</v>
      </c>
      <c r="M1608" s="154">
        <f t="shared" si="507"/>
        <v>0</v>
      </c>
      <c r="N1608" s="155">
        <f t="shared" si="508"/>
        <v>7</v>
      </c>
      <c r="O1608" s="168">
        <f t="shared" si="512"/>
        <v>0</v>
      </c>
      <c r="P1608" s="157">
        <f t="shared" si="512"/>
        <v>0.22580645161290322</v>
      </c>
    </row>
    <row r="1609" spans="1:16" ht="13.5" customHeight="1" thickBot="1">
      <c r="A1609" s="475"/>
      <c r="B1609" s="127">
        <v>12</v>
      </c>
      <c r="C1609" s="187">
        <v>0</v>
      </c>
      <c r="D1609" s="187">
        <v>0</v>
      </c>
      <c r="E1609" s="187">
        <v>0</v>
      </c>
      <c r="F1609" s="188">
        <v>0</v>
      </c>
      <c r="G1609" s="187">
        <v>0</v>
      </c>
      <c r="H1609" s="187">
        <v>0</v>
      </c>
      <c r="I1609" s="187">
        <v>0</v>
      </c>
      <c r="J1609" s="187">
        <v>0</v>
      </c>
      <c r="K1609" s="187">
        <v>0</v>
      </c>
      <c r="L1609" s="189">
        <v>0</v>
      </c>
      <c r="M1609" s="154">
        <f t="shared" si="507"/>
        <v>0</v>
      </c>
      <c r="N1609" s="155">
        <f t="shared" si="508"/>
        <v>0</v>
      </c>
      <c r="O1609" s="168">
        <f t="shared" si="512"/>
        <v>0</v>
      </c>
      <c r="P1609" s="157">
        <f t="shared" si="512"/>
        <v>0</v>
      </c>
    </row>
    <row r="1610" spans="1:16" ht="13.5" customHeight="1">
      <c r="A1610" s="473">
        <v>2019</v>
      </c>
      <c r="B1610" s="410">
        <v>1</v>
      </c>
      <c r="C1610" s="422">
        <v>0</v>
      </c>
      <c r="D1610" s="422">
        <v>0</v>
      </c>
      <c r="E1610" s="422">
        <v>0</v>
      </c>
      <c r="F1610" s="422">
        <v>0</v>
      </c>
      <c r="G1610" s="422">
        <v>0</v>
      </c>
      <c r="H1610" s="422">
        <v>0</v>
      </c>
      <c r="I1610" s="422">
        <v>0</v>
      </c>
      <c r="J1610" s="422">
        <v>0</v>
      </c>
      <c r="K1610" s="422">
        <v>0</v>
      </c>
      <c r="L1610" s="432">
        <v>0</v>
      </c>
      <c r="M1610" s="424">
        <f t="shared" si="507"/>
        <v>0</v>
      </c>
      <c r="N1610" s="425">
        <f t="shared" si="508"/>
        <v>0</v>
      </c>
      <c r="O1610" s="430">
        <f t="shared" ref="O1610:O1614" si="513">M1610/31</f>
        <v>0</v>
      </c>
      <c r="P1610" s="427">
        <f t="shared" ref="P1610:P1614" si="514">N1610/31</f>
        <v>0</v>
      </c>
    </row>
    <row r="1611" spans="1:16" ht="13.5" customHeight="1">
      <c r="A1611" s="474"/>
      <c r="B1611" s="127">
        <v>2</v>
      </c>
      <c r="C1611" s="147">
        <v>0</v>
      </c>
      <c r="D1611" s="147">
        <v>0</v>
      </c>
      <c r="E1611" s="147">
        <v>0</v>
      </c>
      <c r="F1611" s="147">
        <v>0</v>
      </c>
      <c r="G1611" s="147">
        <v>0</v>
      </c>
      <c r="H1611" s="147">
        <v>0</v>
      </c>
      <c r="I1611" s="147">
        <v>0</v>
      </c>
      <c r="J1611" s="147">
        <v>0</v>
      </c>
      <c r="K1611" s="147">
        <v>0</v>
      </c>
      <c r="L1611" s="174">
        <v>0</v>
      </c>
      <c r="M1611" s="149">
        <f t="shared" si="507"/>
        <v>0</v>
      </c>
      <c r="N1611" s="150">
        <f t="shared" si="508"/>
        <v>0</v>
      </c>
      <c r="O1611" s="167">
        <f t="shared" si="513"/>
        <v>0</v>
      </c>
      <c r="P1611" s="152">
        <f t="shared" si="514"/>
        <v>0</v>
      </c>
    </row>
    <row r="1612" spans="1:16" ht="13.5" customHeight="1">
      <c r="A1612" s="474"/>
      <c r="B1612" s="127">
        <v>3</v>
      </c>
      <c r="C1612" s="147">
        <v>2</v>
      </c>
      <c r="D1612" s="147">
        <v>0</v>
      </c>
      <c r="E1612" s="147">
        <v>0</v>
      </c>
      <c r="F1612" s="147">
        <v>0</v>
      </c>
      <c r="G1612" s="147">
        <v>0</v>
      </c>
      <c r="H1612" s="147">
        <v>0</v>
      </c>
      <c r="I1612" s="147">
        <v>0</v>
      </c>
      <c r="J1612" s="147">
        <v>0</v>
      </c>
      <c r="K1612" s="147">
        <v>0</v>
      </c>
      <c r="L1612" s="174">
        <v>0</v>
      </c>
      <c r="M1612" s="149">
        <f t="shared" si="507"/>
        <v>2</v>
      </c>
      <c r="N1612" s="150">
        <f t="shared" si="508"/>
        <v>0</v>
      </c>
      <c r="O1612" s="167">
        <f t="shared" si="513"/>
        <v>6.4516129032258063E-2</v>
      </c>
      <c r="P1612" s="152">
        <f t="shared" si="514"/>
        <v>0</v>
      </c>
    </row>
    <row r="1613" spans="1:16" ht="13.5" customHeight="1">
      <c r="A1613" s="474"/>
      <c r="B1613" s="127">
        <v>4</v>
      </c>
      <c r="C1613" s="158">
        <v>8</v>
      </c>
      <c r="D1613" s="158">
        <v>1</v>
      </c>
      <c r="E1613" s="158">
        <v>0</v>
      </c>
      <c r="F1613" s="158">
        <v>0</v>
      </c>
      <c r="G1613" s="158">
        <v>0</v>
      </c>
      <c r="H1613" s="158">
        <v>0</v>
      </c>
      <c r="I1613" s="158">
        <v>0</v>
      </c>
      <c r="J1613" s="158">
        <v>0</v>
      </c>
      <c r="K1613" s="158">
        <v>2</v>
      </c>
      <c r="L1613" s="159">
        <v>0</v>
      </c>
      <c r="M1613" s="154">
        <f t="shared" si="507"/>
        <v>10</v>
      </c>
      <c r="N1613" s="155">
        <f t="shared" si="508"/>
        <v>1</v>
      </c>
      <c r="O1613" s="168">
        <f t="shared" si="513"/>
        <v>0.32258064516129031</v>
      </c>
      <c r="P1613" s="157">
        <f t="shared" si="514"/>
        <v>3.2258064516129031E-2</v>
      </c>
    </row>
    <row r="1614" spans="1:16" ht="13.5" customHeight="1">
      <c r="A1614" s="474"/>
      <c r="B1614" s="127">
        <v>5</v>
      </c>
      <c r="C1614" s="158">
        <v>18</v>
      </c>
      <c r="D1614" s="158">
        <v>34</v>
      </c>
      <c r="E1614" s="158">
        <v>0</v>
      </c>
      <c r="F1614" s="158">
        <v>0</v>
      </c>
      <c r="G1614" s="158">
        <v>0</v>
      </c>
      <c r="H1614" s="158">
        <v>0</v>
      </c>
      <c r="I1614" s="158">
        <v>0</v>
      </c>
      <c r="J1614" s="158">
        <v>0</v>
      </c>
      <c r="K1614" s="158">
        <v>3</v>
      </c>
      <c r="L1614" s="159">
        <v>4</v>
      </c>
      <c r="M1614" s="154">
        <f t="shared" si="507"/>
        <v>21</v>
      </c>
      <c r="N1614" s="155">
        <f t="shared" si="508"/>
        <v>38</v>
      </c>
      <c r="O1614" s="168">
        <f t="shared" si="513"/>
        <v>0.67741935483870963</v>
      </c>
      <c r="P1614" s="157">
        <f t="shared" si="514"/>
        <v>1.2258064516129032</v>
      </c>
    </row>
    <row r="1615" spans="1:16" ht="13.5" customHeight="1">
      <c r="A1615" s="474"/>
      <c r="B1615" s="127">
        <v>6</v>
      </c>
      <c r="C1615" s="158">
        <v>9</v>
      </c>
      <c r="D1615" s="158">
        <v>10</v>
      </c>
      <c r="E1615" s="158">
        <v>0</v>
      </c>
      <c r="F1615" s="158">
        <v>0</v>
      </c>
      <c r="G1615" s="158">
        <v>4</v>
      </c>
      <c r="H1615" s="158">
        <v>4</v>
      </c>
      <c r="I1615" s="158">
        <v>0</v>
      </c>
      <c r="J1615" s="158">
        <v>0</v>
      </c>
      <c r="K1615" s="158">
        <v>2</v>
      </c>
      <c r="L1615" s="158">
        <v>2</v>
      </c>
      <c r="M1615" s="154">
        <f t="shared" si="507"/>
        <v>15</v>
      </c>
      <c r="N1615" s="155">
        <f t="shared" si="508"/>
        <v>16</v>
      </c>
      <c r="O1615" s="168">
        <f>M1615/30</f>
        <v>0.5</v>
      </c>
      <c r="P1615" s="157">
        <f>N1615/30</f>
        <v>0.53333333333333333</v>
      </c>
    </row>
    <row r="1616" spans="1:16" ht="13.5" customHeight="1">
      <c r="A1616" s="474"/>
      <c r="B1616" s="127">
        <v>7</v>
      </c>
      <c r="C1616" s="158">
        <v>0</v>
      </c>
      <c r="D1616" s="158">
        <v>17</v>
      </c>
      <c r="E1616" s="158">
        <v>0</v>
      </c>
      <c r="F1616" s="158">
        <v>0</v>
      </c>
      <c r="G1616" s="158">
        <v>2</v>
      </c>
      <c r="H1616" s="158">
        <v>2</v>
      </c>
      <c r="I1616" s="158">
        <v>0</v>
      </c>
      <c r="J1616" s="158">
        <v>0</v>
      </c>
      <c r="K1616" s="158">
        <v>0</v>
      </c>
      <c r="L1616" s="158">
        <v>4</v>
      </c>
      <c r="M1616" s="154">
        <f t="shared" si="507"/>
        <v>2</v>
      </c>
      <c r="N1616" s="155">
        <f t="shared" si="508"/>
        <v>23</v>
      </c>
      <c r="O1616" s="168">
        <f t="shared" ref="O1616:O1617" si="515">M1616/31</f>
        <v>6.4516129032258063E-2</v>
      </c>
      <c r="P1616" s="157">
        <f t="shared" ref="P1616:P1617" si="516">N1616/31</f>
        <v>0.74193548387096775</v>
      </c>
    </row>
    <row r="1617" spans="1:16" ht="13.5" customHeight="1">
      <c r="A1617" s="474"/>
      <c r="B1617" s="127">
        <v>8</v>
      </c>
      <c r="C1617" s="158">
        <v>8</v>
      </c>
      <c r="D1617" s="158">
        <v>9</v>
      </c>
      <c r="E1617" s="158">
        <v>0</v>
      </c>
      <c r="F1617" s="158">
        <v>0</v>
      </c>
      <c r="G1617" s="158">
        <v>0</v>
      </c>
      <c r="H1617" s="158">
        <v>0</v>
      </c>
      <c r="I1617" s="158">
        <v>0</v>
      </c>
      <c r="J1617" s="158">
        <v>0</v>
      </c>
      <c r="K1617" s="158">
        <v>0</v>
      </c>
      <c r="L1617" s="159">
        <v>0</v>
      </c>
      <c r="M1617" s="177">
        <f t="shared" si="507"/>
        <v>8</v>
      </c>
      <c r="N1617" s="158">
        <f t="shared" si="508"/>
        <v>9</v>
      </c>
      <c r="O1617" s="168">
        <f t="shared" si="515"/>
        <v>0.25806451612903225</v>
      </c>
      <c r="P1617" s="157">
        <f t="shared" si="516"/>
        <v>0.29032258064516131</v>
      </c>
    </row>
    <row r="1618" spans="1:16" ht="13.5" customHeight="1">
      <c r="A1618" s="474"/>
      <c r="B1618" s="127">
        <v>9</v>
      </c>
      <c r="C1618" s="147">
        <v>11</v>
      </c>
      <c r="D1618" s="147">
        <v>10</v>
      </c>
      <c r="E1618" s="147">
        <v>0</v>
      </c>
      <c r="F1618" s="147">
        <v>0</v>
      </c>
      <c r="G1618" s="147">
        <v>0</v>
      </c>
      <c r="H1618" s="147">
        <v>0</v>
      </c>
      <c r="I1618" s="147">
        <v>0</v>
      </c>
      <c r="J1618" s="147">
        <v>0</v>
      </c>
      <c r="K1618" s="147">
        <v>1</v>
      </c>
      <c r="L1618" s="147">
        <v>0</v>
      </c>
      <c r="M1618" s="177">
        <v>12</v>
      </c>
      <c r="N1618" s="158">
        <v>10</v>
      </c>
      <c r="O1618" s="168">
        <v>0.38709677419354838</v>
      </c>
      <c r="P1618" s="157">
        <v>0.32258064516129031</v>
      </c>
    </row>
    <row r="1619" spans="1:16" ht="13.5" customHeight="1">
      <c r="A1619" s="474"/>
      <c r="B1619" s="127">
        <v>10</v>
      </c>
      <c r="C1619" s="147">
        <v>12</v>
      </c>
      <c r="D1619" s="147">
        <v>23</v>
      </c>
      <c r="E1619" s="147">
        <v>0</v>
      </c>
      <c r="F1619" s="181">
        <v>0</v>
      </c>
      <c r="G1619" s="147">
        <v>2</v>
      </c>
      <c r="H1619" s="147">
        <v>5</v>
      </c>
      <c r="I1619" s="147">
        <v>0</v>
      </c>
      <c r="J1619" s="147">
        <v>0</v>
      </c>
      <c r="K1619" s="147">
        <v>0</v>
      </c>
      <c r="L1619" s="148">
        <v>0</v>
      </c>
      <c r="M1619" s="154">
        <f t="shared" ref="M1619:M1621" si="517">+C1619+E1619+G1619+I1619+K1619</f>
        <v>14</v>
      </c>
      <c r="N1619" s="155">
        <f t="shared" ref="N1619:N1621" si="518">+D1619+F1619+H1619+J1619+L1619</f>
        <v>28</v>
      </c>
      <c r="O1619" s="168">
        <f t="shared" ref="O1619:O1621" si="519">M1619/31</f>
        <v>0.45161290322580644</v>
      </c>
      <c r="P1619" s="157">
        <f t="shared" ref="P1619:P1621" si="520">N1619/31</f>
        <v>0.90322580645161288</v>
      </c>
    </row>
    <row r="1620" spans="1:16" ht="13.5" customHeight="1">
      <c r="A1620" s="474"/>
      <c r="B1620" s="127">
        <v>11</v>
      </c>
      <c r="C1620" s="367">
        <v>1</v>
      </c>
      <c r="D1620" s="367">
        <v>6</v>
      </c>
      <c r="E1620" s="367">
        <v>0</v>
      </c>
      <c r="F1620" s="367">
        <v>0</v>
      </c>
      <c r="G1620" s="367">
        <v>2</v>
      </c>
      <c r="H1620" s="367">
        <v>2</v>
      </c>
      <c r="I1620" s="367">
        <v>0</v>
      </c>
      <c r="J1620" s="367">
        <v>0</v>
      </c>
      <c r="K1620" s="367">
        <v>0</v>
      </c>
      <c r="L1620" s="368">
        <v>4</v>
      </c>
      <c r="M1620" s="154">
        <f t="shared" si="517"/>
        <v>3</v>
      </c>
      <c r="N1620" s="155">
        <f t="shared" si="518"/>
        <v>12</v>
      </c>
      <c r="O1620" s="168">
        <f t="shared" si="519"/>
        <v>9.6774193548387094E-2</v>
      </c>
      <c r="P1620" s="157">
        <f t="shared" si="520"/>
        <v>0.38709677419354838</v>
      </c>
    </row>
    <row r="1621" spans="1:16" ht="13.5" customHeight="1" thickBot="1">
      <c r="A1621" s="475"/>
      <c r="B1621" s="127">
        <v>12</v>
      </c>
      <c r="C1621" s="187">
        <v>0</v>
      </c>
      <c r="D1621" s="187">
        <v>0</v>
      </c>
      <c r="E1621" s="187">
        <v>0</v>
      </c>
      <c r="F1621" s="188">
        <v>0</v>
      </c>
      <c r="G1621" s="187">
        <v>0</v>
      </c>
      <c r="H1621" s="187">
        <v>0</v>
      </c>
      <c r="I1621" s="187">
        <v>0</v>
      </c>
      <c r="J1621" s="187">
        <v>0</v>
      </c>
      <c r="K1621" s="187">
        <v>0</v>
      </c>
      <c r="L1621" s="189">
        <v>0</v>
      </c>
      <c r="M1621" s="154">
        <f t="shared" si="517"/>
        <v>0</v>
      </c>
      <c r="N1621" s="155">
        <f t="shared" si="518"/>
        <v>0</v>
      </c>
      <c r="O1621" s="168">
        <f t="shared" si="519"/>
        <v>0</v>
      </c>
      <c r="P1621" s="157">
        <f t="shared" si="520"/>
        <v>0</v>
      </c>
    </row>
    <row r="1622" spans="1:16" ht="13.5" customHeight="1">
      <c r="A1622" s="473">
        <v>2020</v>
      </c>
      <c r="B1622" s="410">
        <v>1</v>
      </c>
      <c r="C1622" s="434">
        <v>0</v>
      </c>
      <c r="D1622" s="434">
        <v>0</v>
      </c>
      <c r="E1622" s="434">
        <v>0</v>
      </c>
      <c r="F1622" s="434">
        <v>0</v>
      </c>
      <c r="G1622" s="434">
        <v>0</v>
      </c>
      <c r="H1622" s="434">
        <v>0</v>
      </c>
      <c r="I1622" s="434">
        <v>0</v>
      </c>
      <c r="J1622" s="434">
        <v>0</v>
      </c>
      <c r="K1622" s="434">
        <v>0</v>
      </c>
      <c r="L1622" s="436">
        <v>0</v>
      </c>
      <c r="M1622" s="424">
        <f t="shared" ref="M1622:M1633" si="521">+C1622+E1622+G1622+I1622+K1622</f>
        <v>0</v>
      </c>
      <c r="N1622" s="425">
        <f t="shared" ref="N1622:N1633" si="522">+D1622+F1622+H1622+J1622+L1622</f>
        <v>0</v>
      </c>
      <c r="O1622" s="430">
        <f t="shared" si="512"/>
        <v>0</v>
      </c>
      <c r="P1622" s="427">
        <f t="shared" si="512"/>
        <v>0</v>
      </c>
    </row>
    <row r="1623" spans="1:16" ht="13.5" customHeight="1">
      <c r="A1623" s="474"/>
      <c r="B1623" s="127">
        <v>2</v>
      </c>
      <c r="C1623" s="147">
        <v>0</v>
      </c>
      <c r="D1623" s="147">
        <v>0</v>
      </c>
      <c r="E1623" s="147">
        <v>0</v>
      </c>
      <c r="F1623" s="147">
        <v>0</v>
      </c>
      <c r="G1623" s="147">
        <v>0</v>
      </c>
      <c r="H1623" s="147">
        <v>0</v>
      </c>
      <c r="I1623" s="147">
        <v>0</v>
      </c>
      <c r="J1623" s="147">
        <v>0</v>
      </c>
      <c r="K1623" s="147">
        <v>0</v>
      </c>
      <c r="L1623" s="148">
        <v>0</v>
      </c>
      <c r="M1623" s="149">
        <f t="shared" si="521"/>
        <v>0</v>
      </c>
      <c r="N1623" s="150">
        <f t="shared" si="522"/>
        <v>0</v>
      </c>
      <c r="O1623" s="167">
        <f t="shared" si="512"/>
        <v>0</v>
      </c>
      <c r="P1623" s="152">
        <f t="shared" si="512"/>
        <v>0</v>
      </c>
    </row>
    <row r="1624" spans="1:16" ht="13.5" customHeight="1">
      <c r="A1624" s="474"/>
      <c r="B1624" s="127">
        <v>3</v>
      </c>
      <c r="C1624" s="147">
        <v>0</v>
      </c>
      <c r="D1624" s="147">
        <v>0</v>
      </c>
      <c r="E1624" s="147">
        <v>0</v>
      </c>
      <c r="F1624" s="147">
        <v>0</v>
      </c>
      <c r="G1624" s="147">
        <v>0</v>
      </c>
      <c r="H1624" s="147">
        <v>0</v>
      </c>
      <c r="I1624" s="147">
        <v>0</v>
      </c>
      <c r="J1624" s="147">
        <v>0</v>
      </c>
      <c r="K1624" s="147">
        <v>0</v>
      </c>
      <c r="L1624" s="148">
        <v>0</v>
      </c>
      <c r="M1624" s="149">
        <f t="shared" si="521"/>
        <v>0</v>
      </c>
      <c r="N1624" s="150">
        <f t="shared" si="522"/>
        <v>0</v>
      </c>
      <c r="O1624" s="167">
        <f t="shared" si="512"/>
        <v>0</v>
      </c>
      <c r="P1624" s="152">
        <f t="shared" si="512"/>
        <v>0</v>
      </c>
    </row>
    <row r="1625" spans="1:16" ht="13.5" customHeight="1">
      <c r="A1625" s="474"/>
      <c r="B1625" s="127">
        <v>4</v>
      </c>
      <c r="C1625" s="147">
        <v>0</v>
      </c>
      <c r="D1625" s="147">
        <v>0</v>
      </c>
      <c r="E1625" s="147">
        <v>0</v>
      </c>
      <c r="F1625" s="147">
        <v>0</v>
      </c>
      <c r="G1625" s="147">
        <v>0</v>
      </c>
      <c r="H1625" s="147">
        <v>0</v>
      </c>
      <c r="I1625" s="147">
        <v>0</v>
      </c>
      <c r="J1625" s="147">
        <v>0</v>
      </c>
      <c r="K1625" s="147">
        <v>0</v>
      </c>
      <c r="L1625" s="148">
        <v>0</v>
      </c>
      <c r="M1625" s="154">
        <f t="shared" si="521"/>
        <v>0</v>
      </c>
      <c r="N1625" s="155">
        <f t="shared" si="522"/>
        <v>0</v>
      </c>
      <c r="O1625" s="168">
        <f t="shared" si="512"/>
        <v>0</v>
      </c>
      <c r="P1625" s="157">
        <f t="shared" si="512"/>
        <v>0</v>
      </c>
    </row>
    <row r="1626" spans="1:16" ht="13.5" customHeight="1">
      <c r="A1626" s="474"/>
      <c r="B1626" s="127">
        <v>5</v>
      </c>
      <c r="C1626" s="147">
        <v>0</v>
      </c>
      <c r="D1626" s="147">
        <v>0</v>
      </c>
      <c r="E1626" s="147">
        <v>0</v>
      </c>
      <c r="F1626" s="147">
        <v>0</v>
      </c>
      <c r="G1626" s="147">
        <v>0</v>
      </c>
      <c r="H1626" s="147">
        <v>0</v>
      </c>
      <c r="I1626" s="147">
        <v>0</v>
      </c>
      <c r="J1626" s="147">
        <v>0</v>
      </c>
      <c r="K1626" s="147">
        <v>0</v>
      </c>
      <c r="L1626" s="148">
        <v>0</v>
      </c>
      <c r="M1626" s="154">
        <f t="shared" si="521"/>
        <v>0</v>
      </c>
      <c r="N1626" s="155">
        <f t="shared" si="522"/>
        <v>0</v>
      </c>
      <c r="O1626" s="168">
        <f t="shared" si="512"/>
        <v>0</v>
      </c>
      <c r="P1626" s="157">
        <f t="shared" si="512"/>
        <v>0</v>
      </c>
    </row>
    <row r="1627" spans="1:16" ht="13.5" customHeight="1">
      <c r="A1627" s="474"/>
      <c r="B1627" s="127">
        <v>6</v>
      </c>
      <c r="C1627" s="147">
        <f>集計用!C58</f>
        <v>0</v>
      </c>
      <c r="D1627" s="147">
        <f>集計用!S58</f>
        <v>0</v>
      </c>
      <c r="E1627" s="147">
        <f>集計用!E58</f>
        <v>0</v>
      </c>
      <c r="F1627" s="147">
        <f>集計用!U58</f>
        <v>0</v>
      </c>
      <c r="G1627" s="147">
        <f>集計用!G58</f>
        <v>0</v>
      </c>
      <c r="H1627" s="147">
        <f>集計用!W58</f>
        <v>0</v>
      </c>
      <c r="I1627" s="147">
        <f>集計用!I58</f>
        <v>0</v>
      </c>
      <c r="J1627" s="147">
        <f>集計用!Y58</f>
        <v>0</v>
      </c>
      <c r="K1627" s="147">
        <f>集計用!K58</f>
        <v>0</v>
      </c>
      <c r="L1627" s="148">
        <f>集計用!AA58</f>
        <v>0</v>
      </c>
      <c r="M1627" s="154">
        <f t="shared" si="521"/>
        <v>0</v>
      </c>
      <c r="N1627" s="155">
        <f t="shared" si="522"/>
        <v>0</v>
      </c>
      <c r="O1627" s="168">
        <f>M1627/30</f>
        <v>0</v>
      </c>
      <c r="P1627" s="157">
        <f>N1627/30</f>
        <v>0</v>
      </c>
    </row>
    <row r="1628" spans="1:16" ht="13.5" customHeight="1">
      <c r="A1628" s="474"/>
      <c r="B1628" s="127">
        <v>7</v>
      </c>
      <c r="C1628" s="158"/>
      <c r="D1628" s="158"/>
      <c r="E1628" s="158"/>
      <c r="F1628" s="158"/>
      <c r="G1628" s="158"/>
      <c r="H1628" s="158"/>
      <c r="I1628" s="158"/>
      <c r="J1628" s="158"/>
      <c r="K1628" s="158"/>
      <c r="L1628" s="158"/>
      <c r="M1628" s="154">
        <f t="shared" si="521"/>
        <v>0</v>
      </c>
      <c r="N1628" s="155">
        <f t="shared" si="522"/>
        <v>0</v>
      </c>
      <c r="O1628" s="168">
        <f t="shared" ref="O1628:O1633" si="523">M1628/31</f>
        <v>0</v>
      </c>
      <c r="P1628" s="157">
        <f t="shared" ref="P1628:P1633" si="524">N1628/31</f>
        <v>0</v>
      </c>
    </row>
    <row r="1629" spans="1:16" ht="13.5" customHeight="1">
      <c r="A1629" s="474"/>
      <c r="B1629" s="127">
        <v>8</v>
      </c>
      <c r="C1629" s="158"/>
      <c r="D1629" s="158"/>
      <c r="E1629" s="158"/>
      <c r="F1629" s="158"/>
      <c r="G1629" s="158"/>
      <c r="H1629" s="158"/>
      <c r="I1629" s="158"/>
      <c r="J1629" s="158"/>
      <c r="K1629" s="158"/>
      <c r="L1629" s="159"/>
      <c r="M1629" s="177">
        <f t="shared" si="521"/>
        <v>0</v>
      </c>
      <c r="N1629" s="158">
        <f t="shared" si="522"/>
        <v>0</v>
      </c>
      <c r="O1629" s="168">
        <f t="shared" si="523"/>
        <v>0</v>
      </c>
      <c r="P1629" s="157">
        <f t="shared" si="524"/>
        <v>0</v>
      </c>
    </row>
    <row r="1630" spans="1:16" ht="13.5" customHeight="1">
      <c r="A1630" s="474"/>
      <c r="B1630" s="127">
        <v>9</v>
      </c>
      <c r="C1630" s="147"/>
      <c r="D1630" s="147"/>
      <c r="E1630" s="147"/>
      <c r="F1630" s="147"/>
      <c r="G1630" s="147"/>
      <c r="H1630" s="147"/>
      <c r="I1630" s="147"/>
      <c r="J1630" s="147"/>
      <c r="K1630" s="147"/>
      <c r="L1630" s="147"/>
      <c r="M1630" s="177">
        <f t="shared" ref="M1630" si="525">+C1630+E1630+G1630+I1630+K1630</f>
        <v>0</v>
      </c>
      <c r="N1630" s="158">
        <f t="shared" ref="N1630" si="526">+D1630+F1630+H1630+J1630+L1630</f>
        <v>0</v>
      </c>
      <c r="O1630" s="168">
        <f>M1630/30</f>
        <v>0</v>
      </c>
      <c r="P1630" s="157">
        <f>N1630/30</f>
        <v>0</v>
      </c>
    </row>
    <row r="1631" spans="1:16" ht="13.5" customHeight="1">
      <c r="A1631" s="474"/>
      <c r="B1631" s="127">
        <v>10</v>
      </c>
      <c r="C1631" s="147"/>
      <c r="D1631" s="147"/>
      <c r="E1631" s="147"/>
      <c r="F1631" s="181"/>
      <c r="G1631" s="147"/>
      <c r="H1631" s="147"/>
      <c r="I1631" s="147"/>
      <c r="J1631" s="147"/>
      <c r="K1631" s="147"/>
      <c r="L1631" s="148"/>
      <c r="M1631" s="154">
        <f t="shared" ref="M1631" si="527">+C1631+E1631+G1631+I1631+K1631</f>
        <v>0</v>
      </c>
      <c r="N1631" s="155">
        <f t="shared" ref="N1631" si="528">+D1631+F1631+H1631+J1631+L1631</f>
        <v>0</v>
      </c>
      <c r="O1631" s="168">
        <f t="shared" ref="O1631" si="529">M1631/31</f>
        <v>0</v>
      </c>
      <c r="P1631" s="157">
        <f t="shared" ref="P1631" si="530">N1631/31</f>
        <v>0</v>
      </c>
    </row>
    <row r="1632" spans="1:16" ht="13.5" customHeight="1">
      <c r="A1632" s="474"/>
      <c r="B1632" s="127">
        <v>11</v>
      </c>
      <c r="C1632" s="367"/>
      <c r="D1632" s="367"/>
      <c r="E1632" s="367"/>
      <c r="F1632" s="367"/>
      <c r="G1632" s="367"/>
      <c r="H1632" s="367"/>
      <c r="I1632" s="367"/>
      <c r="J1632" s="367"/>
      <c r="K1632" s="367"/>
      <c r="L1632" s="368"/>
      <c r="M1632" s="154">
        <f t="shared" si="521"/>
        <v>0</v>
      </c>
      <c r="N1632" s="155">
        <f t="shared" si="522"/>
        <v>0</v>
      </c>
      <c r="O1632" s="168">
        <f t="shared" si="523"/>
        <v>0</v>
      </c>
      <c r="P1632" s="157">
        <f t="shared" si="524"/>
        <v>0</v>
      </c>
    </row>
    <row r="1633" spans="1:16" ht="13.5" customHeight="1" thickBot="1">
      <c r="A1633" s="475"/>
      <c r="B1633" s="127">
        <v>12</v>
      </c>
      <c r="C1633" s="187"/>
      <c r="D1633" s="187"/>
      <c r="E1633" s="187"/>
      <c r="F1633" s="188"/>
      <c r="G1633" s="187"/>
      <c r="H1633" s="187"/>
      <c r="I1633" s="187"/>
      <c r="J1633" s="187"/>
      <c r="K1633" s="187"/>
      <c r="L1633" s="189"/>
      <c r="M1633" s="154">
        <f t="shared" si="521"/>
        <v>0</v>
      </c>
      <c r="N1633" s="155">
        <f t="shared" si="522"/>
        <v>0</v>
      </c>
      <c r="O1633" s="168">
        <f t="shared" si="523"/>
        <v>0</v>
      </c>
      <c r="P1633" s="157">
        <f t="shared" si="524"/>
        <v>0</v>
      </c>
    </row>
    <row r="1634" spans="1:16" ht="18.75" customHeight="1" thickBot="1">
      <c r="A1634" s="180"/>
      <c r="B1634" s="160" t="s">
        <v>5</v>
      </c>
      <c r="C1634" s="161">
        <f>SUM(C1586:C1633)</f>
        <v>129</v>
      </c>
      <c r="D1634" s="161">
        <f t="shared" ref="D1634:K1634" si="531">SUM(D1586:D1633)</f>
        <v>209</v>
      </c>
      <c r="E1634" s="161">
        <f t="shared" si="531"/>
        <v>0</v>
      </c>
      <c r="F1634" s="161">
        <f t="shared" si="531"/>
        <v>0</v>
      </c>
      <c r="G1634" s="161">
        <f t="shared" si="531"/>
        <v>15</v>
      </c>
      <c r="H1634" s="161">
        <f t="shared" si="531"/>
        <v>18</v>
      </c>
      <c r="I1634" s="161">
        <f t="shared" si="531"/>
        <v>1</v>
      </c>
      <c r="J1634" s="161">
        <f t="shared" si="531"/>
        <v>2</v>
      </c>
      <c r="K1634" s="161">
        <f t="shared" si="531"/>
        <v>11</v>
      </c>
      <c r="L1634" s="161">
        <f>SUM(L1586:L1633)</f>
        <v>26</v>
      </c>
      <c r="M1634" s="162">
        <f>SUM(M1586:M1633)</f>
        <v>156</v>
      </c>
      <c r="N1634" s="161">
        <f>SUM(N1586:N1633)</f>
        <v>255</v>
      </c>
      <c r="O1634" s="161">
        <f>SUM(O1586:O1633)</f>
        <v>5.0526881720430099</v>
      </c>
      <c r="P1634" s="161">
        <f>SUM(P1586:P1633)</f>
        <v>8.2473118279569881</v>
      </c>
    </row>
    <row r="1636" spans="1:16" ht="11.25" customHeight="1">
      <c r="B1636" s="467" t="s">
        <v>270</v>
      </c>
      <c r="C1636" s="469" t="s">
        <v>29</v>
      </c>
      <c r="D1636" s="470"/>
      <c r="E1636" s="469" t="s">
        <v>30</v>
      </c>
      <c r="F1636" s="470"/>
      <c r="G1636" s="469" t="s">
        <v>31</v>
      </c>
      <c r="H1636" s="470"/>
      <c r="I1636" s="469" t="s">
        <v>58</v>
      </c>
      <c r="J1636" s="470"/>
      <c r="K1636" s="469" t="s">
        <v>57</v>
      </c>
      <c r="L1636" s="471"/>
      <c r="M1636" s="470" t="s">
        <v>5</v>
      </c>
      <c r="N1636" s="472"/>
      <c r="O1636" s="472" t="s">
        <v>33</v>
      </c>
      <c r="P1636" s="472"/>
    </row>
    <row r="1637" spans="1:16" ht="11.25" customHeight="1" thickBot="1">
      <c r="B1637" s="468"/>
      <c r="C1637" s="13" t="s">
        <v>34</v>
      </c>
      <c r="D1637" s="13" t="s">
        <v>35</v>
      </c>
      <c r="E1637" s="13" t="s">
        <v>34</v>
      </c>
      <c r="F1637" s="13" t="s">
        <v>35</v>
      </c>
      <c r="G1637" s="13" t="s">
        <v>34</v>
      </c>
      <c r="H1637" s="13" t="s">
        <v>35</v>
      </c>
      <c r="I1637" s="13" t="s">
        <v>59</v>
      </c>
      <c r="J1637" s="13" t="s">
        <v>60</v>
      </c>
      <c r="K1637" s="13" t="s">
        <v>34</v>
      </c>
      <c r="L1637" s="14" t="s">
        <v>35</v>
      </c>
      <c r="M1637" s="15" t="s">
        <v>34</v>
      </c>
      <c r="N1637" s="13" t="s">
        <v>35</v>
      </c>
      <c r="O1637" s="163" t="s">
        <v>34</v>
      </c>
      <c r="P1637" s="163" t="s">
        <v>35</v>
      </c>
    </row>
    <row r="1638" spans="1:16" ht="13.5" customHeight="1">
      <c r="A1638" s="473">
        <v>2017</v>
      </c>
      <c r="B1638" s="410">
        <v>1</v>
      </c>
      <c r="C1638" s="422"/>
      <c r="D1638" s="422"/>
      <c r="E1638" s="422"/>
      <c r="F1638" s="422"/>
      <c r="G1638" s="422"/>
      <c r="H1638" s="422"/>
      <c r="I1638" s="422"/>
      <c r="J1638" s="422"/>
      <c r="K1638" s="422"/>
      <c r="L1638" s="432"/>
      <c r="M1638" s="424">
        <f t="shared" ref="M1638:M1669" si="532">+C1638+E1638+G1638+I1638+K1638</f>
        <v>0</v>
      </c>
      <c r="N1638" s="425">
        <f t="shared" ref="N1638:N1669" si="533">+D1638+F1638+H1638+J1638+L1638</f>
        <v>0</v>
      </c>
      <c r="O1638" s="430">
        <f t="shared" ref="O1638:P1642" si="534">M1638/31</f>
        <v>0</v>
      </c>
      <c r="P1638" s="427">
        <f t="shared" si="534"/>
        <v>0</v>
      </c>
    </row>
    <row r="1639" spans="1:16" ht="13.5" customHeight="1">
      <c r="A1639" s="474"/>
      <c r="B1639" s="127">
        <v>2</v>
      </c>
      <c r="C1639" s="147"/>
      <c r="D1639" s="147"/>
      <c r="E1639" s="147"/>
      <c r="F1639" s="147"/>
      <c r="G1639" s="147"/>
      <c r="H1639" s="147"/>
      <c r="I1639" s="147"/>
      <c r="J1639" s="147"/>
      <c r="K1639" s="147"/>
      <c r="L1639" s="174"/>
      <c r="M1639" s="149">
        <f t="shared" si="532"/>
        <v>0</v>
      </c>
      <c r="N1639" s="150">
        <f t="shared" si="533"/>
        <v>0</v>
      </c>
      <c r="O1639" s="167">
        <f t="shared" si="534"/>
        <v>0</v>
      </c>
      <c r="P1639" s="152">
        <f t="shared" si="534"/>
        <v>0</v>
      </c>
    </row>
    <row r="1640" spans="1:16" ht="13.5" customHeight="1">
      <c r="A1640" s="474"/>
      <c r="B1640" s="127">
        <v>3</v>
      </c>
      <c r="C1640" s="147"/>
      <c r="D1640" s="147"/>
      <c r="E1640" s="147"/>
      <c r="F1640" s="147"/>
      <c r="G1640" s="147"/>
      <c r="H1640" s="147"/>
      <c r="I1640" s="147"/>
      <c r="J1640" s="147"/>
      <c r="K1640" s="147"/>
      <c r="L1640" s="174"/>
      <c r="M1640" s="149">
        <f t="shared" si="532"/>
        <v>0</v>
      </c>
      <c r="N1640" s="150">
        <f t="shared" si="533"/>
        <v>0</v>
      </c>
      <c r="O1640" s="167">
        <f t="shared" si="534"/>
        <v>0</v>
      </c>
      <c r="P1640" s="152">
        <f t="shared" si="534"/>
        <v>0</v>
      </c>
    </row>
    <row r="1641" spans="1:16" ht="13.5" customHeight="1">
      <c r="A1641" s="474"/>
      <c r="B1641" s="127">
        <v>4</v>
      </c>
      <c r="C1641" s="158"/>
      <c r="D1641" s="158"/>
      <c r="E1641" s="158"/>
      <c r="F1641" s="158"/>
      <c r="G1641" s="158"/>
      <c r="H1641" s="158"/>
      <c r="I1641" s="158"/>
      <c r="J1641" s="158"/>
      <c r="K1641" s="158"/>
      <c r="L1641" s="159"/>
      <c r="M1641" s="154">
        <f t="shared" si="532"/>
        <v>0</v>
      </c>
      <c r="N1641" s="155">
        <f t="shared" si="533"/>
        <v>0</v>
      </c>
      <c r="O1641" s="168">
        <f t="shared" si="534"/>
        <v>0</v>
      </c>
      <c r="P1641" s="157">
        <f t="shared" si="534"/>
        <v>0</v>
      </c>
    </row>
    <row r="1642" spans="1:16" ht="13.5" customHeight="1">
      <c r="A1642" s="474"/>
      <c r="B1642" s="127">
        <v>5</v>
      </c>
      <c r="C1642" s="158"/>
      <c r="D1642" s="158"/>
      <c r="E1642" s="158"/>
      <c r="F1642" s="158"/>
      <c r="G1642" s="158"/>
      <c r="H1642" s="158"/>
      <c r="I1642" s="158"/>
      <c r="J1642" s="158"/>
      <c r="K1642" s="158"/>
      <c r="L1642" s="159"/>
      <c r="M1642" s="154">
        <f t="shared" si="532"/>
        <v>0</v>
      </c>
      <c r="N1642" s="155">
        <f t="shared" si="533"/>
        <v>0</v>
      </c>
      <c r="O1642" s="168">
        <f t="shared" si="534"/>
        <v>0</v>
      </c>
      <c r="P1642" s="157">
        <f t="shared" si="534"/>
        <v>0</v>
      </c>
    </row>
    <row r="1643" spans="1:16" ht="13.5" customHeight="1">
      <c r="A1643" s="474"/>
      <c r="B1643" s="127">
        <v>6</v>
      </c>
      <c r="C1643" s="158"/>
      <c r="D1643" s="158"/>
      <c r="E1643" s="158"/>
      <c r="F1643" s="158"/>
      <c r="G1643" s="158"/>
      <c r="H1643" s="158"/>
      <c r="I1643" s="158"/>
      <c r="J1643" s="158"/>
      <c r="K1643" s="158"/>
      <c r="L1643" s="158"/>
      <c r="M1643" s="154">
        <f t="shared" si="532"/>
        <v>0</v>
      </c>
      <c r="N1643" s="155">
        <f t="shared" si="533"/>
        <v>0</v>
      </c>
      <c r="O1643" s="168">
        <f>M1643/30</f>
        <v>0</v>
      </c>
      <c r="P1643" s="157">
        <f>N1643/30</f>
        <v>0</v>
      </c>
    </row>
    <row r="1644" spans="1:16" ht="13.5" customHeight="1">
      <c r="A1644" s="474"/>
      <c r="B1644" s="127">
        <v>7</v>
      </c>
      <c r="C1644" s="158"/>
      <c r="D1644" s="158"/>
      <c r="E1644" s="158"/>
      <c r="F1644" s="158"/>
      <c r="G1644" s="158"/>
      <c r="H1644" s="158"/>
      <c r="I1644" s="158"/>
      <c r="J1644" s="158"/>
      <c r="K1644" s="158"/>
      <c r="L1644" s="158"/>
      <c r="M1644" s="154">
        <f t="shared" si="532"/>
        <v>0</v>
      </c>
      <c r="N1644" s="155">
        <f t="shared" si="533"/>
        <v>0</v>
      </c>
      <c r="O1644" s="168">
        <f t="shared" ref="O1644:O1654" si="535">M1644/31</f>
        <v>0</v>
      </c>
      <c r="P1644" s="157">
        <f t="shared" ref="P1644:P1654" si="536">N1644/31</f>
        <v>0</v>
      </c>
    </row>
    <row r="1645" spans="1:16" ht="13.5" customHeight="1">
      <c r="A1645" s="474"/>
      <c r="B1645" s="127">
        <v>8</v>
      </c>
      <c r="C1645" s="158"/>
      <c r="D1645" s="158"/>
      <c r="E1645" s="158"/>
      <c r="F1645" s="158"/>
      <c r="G1645" s="158"/>
      <c r="H1645" s="158"/>
      <c r="I1645" s="158"/>
      <c r="J1645" s="158"/>
      <c r="K1645" s="158"/>
      <c r="L1645" s="159"/>
      <c r="M1645" s="177">
        <f t="shared" si="532"/>
        <v>0</v>
      </c>
      <c r="N1645" s="158">
        <f t="shared" si="533"/>
        <v>0</v>
      </c>
      <c r="O1645" s="168">
        <f t="shared" si="535"/>
        <v>0</v>
      </c>
      <c r="P1645" s="157">
        <f t="shared" si="536"/>
        <v>0</v>
      </c>
    </row>
    <row r="1646" spans="1:16" ht="13.5" customHeight="1">
      <c r="A1646" s="474"/>
      <c r="B1646" s="127">
        <v>9</v>
      </c>
      <c r="C1646" s="147"/>
      <c r="D1646" s="147"/>
      <c r="E1646" s="147"/>
      <c r="F1646" s="147"/>
      <c r="G1646" s="147"/>
      <c r="H1646" s="147"/>
      <c r="I1646" s="147"/>
      <c r="J1646" s="147"/>
      <c r="K1646" s="147"/>
      <c r="L1646" s="147"/>
      <c r="M1646" s="177">
        <f t="shared" si="532"/>
        <v>0</v>
      </c>
      <c r="N1646" s="158">
        <f t="shared" si="533"/>
        <v>0</v>
      </c>
      <c r="O1646" s="168">
        <f t="shared" si="535"/>
        <v>0</v>
      </c>
      <c r="P1646" s="157">
        <f t="shared" si="536"/>
        <v>0</v>
      </c>
    </row>
    <row r="1647" spans="1:16" ht="13.5" customHeight="1">
      <c r="A1647" s="474"/>
      <c r="B1647" s="127">
        <v>10</v>
      </c>
      <c r="C1647" s="147">
        <v>1</v>
      </c>
      <c r="D1647" s="147">
        <v>0</v>
      </c>
      <c r="E1647" s="147">
        <v>0</v>
      </c>
      <c r="F1647" s="181">
        <v>0</v>
      </c>
      <c r="G1647" s="147">
        <v>0</v>
      </c>
      <c r="H1647" s="147">
        <v>0</v>
      </c>
      <c r="I1647" s="147">
        <v>0</v>
      </c>
      <c r="J1647" s="147">
        <v>0</v>
      </c>
      <c r="K1647" s="147">
        <v>0</v>
      </c>
      <c r="L1647" s="148">
        <v>0</v>
      </c>
      <c r="M1647" s="154">
        <f t="shared" si="532"/>
        <v>1</v>
      </c>
      <c r="N1647" s="155">
        <f t="shared" si="533"/>
        <v>0</v>
      </c>
      <c r="O1647" s="168">
        <f t="shared" si="535"/>
        <v>3.2258064516129031E-2</v>
      </c>
      <c r="P1647" s="157">
        <f t="shared" si="536"/>
        <v>0</v>
      </c>
    </row>
    <row r="1648" spans="1:16" ht="13.5" customHeight="1">
      <c r="A1648" s="474"/>
      <c r="B1648" s="127">
        <v>11</v>
      </c>
      <c r="C1648" s="367">
        <v>1</v>
      </c>
      <c r="D1648" s="367">
        <v>3</v>
      </c>
      <c r="E1648" s="367">
        <v>0</v>
      </c>
      <c r="F1648" s="367">
        <v>0</v>
      </c>
      <c r="G1648" s="367">
        <v>0</v>
      </c>
      <c r="H1648" s="367">
        <v>0</v>
      </c>
      <c r="I1648" s="367">
        <v>0</v>
      </c>
      <c r="J1648" s="367">
        <v>0</v>
      </c>
      <c r="K1648" s="367">
        <v>0</v>
      </c>
      <c r="L1648" s="368">
        <v>0</v>
      </c>
      <c r="M1648" s="154">
        <f t="shared" si="532"/>
        <v>1</v>
      </c>
      <c r="N1648" s="155">
        <f t="shared" si="533"/>
        <v>3</v>
      </c>
      <c r="O1648" s="168">
        <f t="shared" si="535"/>
        <v>3.2258064516129031E-2</v>
      </c>
      <c r="P1648" s="157">
        <f t="shared" si="536"/>
        <v>9.6774193548387094E-2</v>
      </c>
    </row>
    <row r="1649" spans="1:16" ht="13.5" customHeight="1" thickBot="1">
      <c r="A1649" s="475"/>
      <c r="B1649" s="127">
        <v>12</v>
      </c>
      <c r="C1649" s="187">
        <v>1</v>
      </c>
      <c r="D1649" s="187">
        <v>2</v>
      </c>
      <c r="E1649" s="187">
        <v>0</v>
      </c>
      <c r="F1649" s="188">
        <v>0</v>
      </c>
      <c r="G1649" s="187">
        <v>0</v>
      </c>
      <c r="H1649" s="187">
        <v>0</v>
      </c>
      <c r="I1649" s="187">
        <v>0</v>
      </c>
      <c r="J1649" s="187">
        <v>0</v>
      </c>
      <c r="K1649" s="187">
        <v>0</v>
      </c>
      <c r="L1649" s="189">
        <v>0</v>
      </c>
      <c r="M1649" s="154">
        <f t="shared" si="532"/>
        <v>1</v>
      </c>
      <c r="N1649" s="155">
        <f t="shared" si="533"/>
        <v>2</v>
      </c>
      <c r="O1649" s="168">
        <f t="shared" si="535"/>
        <v>3.2258064516129031E-2</v>
      </c>
      <c r="P1649" s="157">
        <f t="shared" si="536"/>
        <v>6.4516129032258063E-2</v>
      </c>
    </row>
    <row r="1650" spans="1:16" ht="13.5" customHeight="1">
      <c r="A1650" s="473">
        <v>2018</v>
      </c>
      <c r="B1650" s="410">
        <v>1</v>
      </c>
      <c r="C1650" s="422">
        <v>1</v>
      </c>
      <c r="D1650" s="422">
        <v>1</v>
      </c>
      <c r="E1650" s="422">
        <v>0</v>
      </c>
      <c r="F1650" s="422">
        <v>0</v>
      </c>
      <c r="G1650" s="422">
        <v>0</v>
      </c>
      <c r="H1650" s="422">
        <v>0</v>
      </c>
      <c r="I1650" s="422">
        <v>0</v>
      </c>
      <c r="J1650" s="422">
        <v>0</v>
      </c>
      <c r="K1650" s="422">
        <v>0</v>
      </c>
      <c r="L1650" s="432">
        <v>0</v>
      </c>
      <c r="M1650" s="424">
        <f t="shared" si="532"/>
        <v>1</v>
      </c>
      <c r="N1650" s="425">
        <f t="shared" si="533"/>
        <v>1</v>
      </c>
      <c r="O1650" s="430">
        <f t="shared" si="535"/>
        <v>3.2258064516129031E-2</v>
      </c>
      <c r="P1650" s="427">
        <f t="shared" si="536"/>
        <v>3.2258064516129031E-2</v>
      </c>
    </row>
    <row r="1651" spans="1:16" ht="13.5" customHeight="1">
      <c r="A1651" s="474"/>
      <c r="B1651" s="127">
        <v>2</v>
      </c>
      <c r="C1651" s="147">
        <v>1</v>
      </c>
      <c r="D1651" s="147">
        <v>1</v>
      </c>
      <c r="E1651" s="147">
        <v>0</v>
      </c>
      <c r="F1651" s="147">
        <v>0</v>
      </c>
      <c r="G1651" s="147">
        <v>0</v>
      </c>
      <c r="H1651" s="147">
        <v>0</v>
      </c>
      <c r="I1651" s="147">
        <v>0</v>
      </c>
      <c r="J1651" s="147">
        <v>0</v>
      </c>
      <c r="K1651" s="147">
        <v>0</v>
      </c>
      <c r="L1651" s="174">
        <v>0</v>
      </c>
      <c r="M1651" s="149">
        <f t="shared" si="532"/>
        <v>1</v>
      </c>
      <c r="N1651" s="150">
        <f t="shared" si="533"/>
        <v>1</v>
      </c>
      <c r="O1651" s="167">
        <f t="shared" si="535"/>
        <v>3.2258064516129031E-2</v>
      </c>
      <c r="P1651" s="152">
        <f t="shared" si="536"/>
        <v>3.2258064516129031E-2</v>
      </c>
    </row>
    <row r="1652" spans="1:16" ht="13.5" customHeight="1">
      <c r="A1652" s="474"/>
      <c r="B1652" s="127">
        <v>3</v>
      </c>
      <c r="C1652" s="147">
        <v>0</v>
      </c>
      <c r="D1652" s="147">
        <v>0</v>
      </c>
      <c r="E1652" s="147">
        <v>0</v>
      </c>
      <c r="F1652" s="147">
        <v>0</v>
      </c>
      <c r="G1652" s="147">
        <v>0</v>
      </c>
      <c r="H1652" s="147">
        <v>0</v>
      </c>
      <c r="I1652" s="147">
        <v>0</v>
      </c>
      <c r="J1652" s="147">
        <v>0</v>
      </c>
      <c r="K1652" s="147">
        <v>0</v>
      </c>
      <c r="L1652" s="174">
        <v>0</v>
      </c>
      <c r="M1652" s="149">
        <f t="shared" si="532"/>
        <v>0</v>
      </c>
      <c r="N1652" s="150">
        <f t="shared" si="533"/>
        <v>0</v>
      </c>
      <c r="O1652" s="167">
        <f t="shared" si="535"/>
        <v>0</v>
      </c>
      <c r="P1652" s="152">
        <f t="shared" si="536"/>
        <v>0</v>
      </c>
    </row>
    <row r="1653" spans="1:16" ht="13.5" customHeight="1">
      <c r="A1653" s="474"/>
      <c r="B1653" s="127">
        <v>4</v>
      </c>
      <c r="C1653" s="158">
        <v>0</v>
      </c>
      <c r="D1653" s="158">
        <v>0</v>
      </c>
      <c r="E1653" s="158">
        <v>0</v>
      </c>
      <c r="F1653" s="158">
        <v>0</v>
      </c>
      <c r="G1653" s="158">
        <v>0</v>
      </c>
      <c r="H1653" s="158">
        <v>0</v>
      </c>
      <c r="I1653" s="158">
        <v>0</v>
      </c>
      <c r="J1653" s="158">
        <v>0</v>
      </c>
      <c r="K1653" s="158">
        <v>0</v>
      </c>
      <c r="L1653" s="159">
        <v>0</v>
      </c>
      <c r="M1653" s="154">
        <f t="shared" si="532"/>
        <v>0</v>
      </c>
      <c r="N1653" s="155">
        <f t="shared" si="533"/>
        <v>0</v>
      </c>
      <c r="O1653" s="168">
        <f t="shared" si="535"/>
        <v>0</v>
      </c>
      <c r="P1653" s="157">
        <f t="shared" si="536"/>
        <v>0</v>
      </c>
    </row>
    <row r="1654" spans="1:16" ht="13.5" customHeight="1">
      <c r="A1654" s="474"/>
      <c r="B1654" s="127">
        <v>5</v>
      </c>
      <c r="C1654" s="158">
        <v>0</v>
      </c>
      <c r="D1654" s="158">
        <v>0</v>
      </c>
      <c r="E1654" s="158">
        <v>1</v>
      </c>
      <c r="F1654" s="158">
        <v>1</v>
      </c>
      <c r="G1654" s="158">
        <v>0</v>
      </c>
      <c r="H1654" s="158">
        <v>0</v>
      </c>
      <c r="I1654" s="158">
        <v>0</v>
      </c>
      <c r="J1654" s="158">
        <v>0</v>
      </c>
      <c r="K1654" s="158">
        <v>0</v>
      </c>
      <c r="L1654" s="159">
        <v>0</v>
      </c>
      <c r="M1654" s="154">
        <f t="shared" si="532"/>
        <v>1</v>
      </c>
      <c r="N1654" s="155">
        <f t="shared" si="533"/>
        <v>1</v>
      </c>
      <c r="O1654" s="168">
        <f t="shared" si="535"/>
        <v>3.2258064516129031E-2</v>
      </c>
      <c r="P1654" s="157">
        <f t="shared" si="536"/>
        <v>3.2258064516129031E-2</v>
      </c>
    </row>
    <row r="1655" spans="1:16" ht="13.5" customHeight="1">
      <c r="A1655" s="474"/>
      <c r="B1655" s="127">
        <v>6</v>
      </c>
      <c r="C1655" s="158">
        <v>0</v>
      </c>
      <c r="D1655" s="158">
        <v>0</v>
      </c>
      <c r="E1655" s="158">
        <v>0</v>
      </c>
      <c r="F1655" s="158">
        <v>0</v>
      </c>
      <c r="G1655" s="158">
        <v>0</v>
      </c>
      <c r="H1655" s="158">
        <v>0</v>
      </c>
      <c r="I1655" s="158">
        <v>0</v>
      </c>
      <c r="J1655" s="158">
        <v>0</v>
      </c>
      <c r="K1655" s="158">
        <v>0</v>
      </c>
      <c r="L1655" s="158">
        <v>0</v>
      </c>
      <c r="M1655" s="154">
        <f t="shared" si="532"/>
        <v>0</v>
      </c>
      <c r="N1655" s="155">
        <f t="shared" si="533"/>
        <v>0</v>
      </c>
      <c r="O1655" s="168">
        <f>M1655/30</f>
        <v>0</v>
      </c>
      <c r="P1655" s="157">
        <f>N1655/30</f>
        <v>0</v>
      </c>
    </row>
    <row r="1656" spans="1:16" ht="13.5" customHeight="1">
      <c r="A1656" s="474"/>
      <c r="B1656" s="127">
        <v>7</v>
      </c>
      <c r="C1656" s="158">
        <v>2</v>
      </c>
      <c r="D1656" s="158">
        <v>2</v>
      </c>
      <c r="E1656" s="158">
        <v>0</v>
      </c>
      <c r="F1656" s="158">
        <v>0</v>
      </c>
      <c r="G1656" s="158">
        <v>0</v>
      </c>
      <c r="H1656" s="158">
        <v>0</v>
      </c>
      <c r="I1656" s="158">
        <v>0</v>
      </c>
      <c r="J1656" s="158">
        <v>0</v>
      </c>
      <c r="K1656" s="158">
        <v>0</v>
      </c>
      <c r="L1656" s="158">
        <v>0</v>
      </c>
      <c r="M1656" s="154">
        <f t="shared" si="532"/>
        <v>2</v>
      </c>
      <c r="N1656" s="155">
        <f t="shared" si="533"/>
        <v>2</v>
      </c>
      <c r="O1656" s="168">
        <f t="shared" ref="O1656:P1678" si="537">M1656/31</f>
        <v>6.4516129032258063E-2</v>
      </c>
      <c r="P1656" s="157">
        <f t="shared" si="537"/>
        <v>6.4516129032258063E-2</v>
      </c>
    </row>
    <row r="1657" spans="1:16" ht="13.5" customHeight="1">
      <c r="A1657" s="474"/>
      <c r="B1657" s="127">
        <v>8</v>
      </c>
      <c r="C1657" s="158">
        <v>2</v>
      </c>
      <c r="D1657" s="158">
        <v>3</v>
      </c>
      <c r="E1657" s="158">
        <v>1</v>
      </c>
      <c r="F1657" s="158">
        <v>1</v>
      </c>
      <c r="G1657" s="158">
        <v>0</v>
      </c>
      <c r="H1657" s="158">
        <v>0</v>
      </c>
      <c r="I1657" s="158">
        <v>0</v>
      </c>
      <c r="J1657" s="158">
        <v>0</v>
      </c>
      <c r="K1657" s="158">
        <v>0</v>
      </c>
      <c r="L1657" s="159">
        <v>0</v>
      </c>
      <c r="M1657" s="177">
        <f t="shared" si="532"/>
        <v>3</v>
      </c>
      <c r="N1657" s="158">
        <f t="shared" si="533"/>
        <v>4</v>
      </c>
      <c r="O1657" s="168">
        <f t="shared" si="537"/>
        <v>9.6774193548387094E-2</v>
      </c>
      <c r="P1657" s="157">
        <f t="shared" si="537"/>
        <v>0.12903225806451613</v>
      </c>
    </row>
    <row r="1658" spans="1:16" ht="13.5" customHeight="1">
      <c r="A1658" s="474"/>
      <c r="B1658" s="127">
        <v>9</v>
      </c>
      <c r="C1658" s="147">
        <v>1</v>
      </c>
      <c r="D1658" s="147">
        <v>0</v>
      </c>
      <c r="E1658" s="147">
        <v>0</v>
      </c>
      <c r="F1658" s="147">
        <v>0</v>
      </c>
      <c r="G1658" s="147">
        <v>0</v>
      </c>
      <c r="H1658" s="147">
        <v>0</v>
      </c>
      <c r="I1658" s="147">
        <v>0</v>
      </c>
      <c r="J1658" s="147">
        <v>0</v>
      </c>
      <c r="K1658" s="147">
        <v>0</v>
      </c>
      <c r="L1658" s="147">
        <v>0</v>
      </c>
      <c r="M1658" s="177">
        <f t="shared" si="532"/>
        <v>1</v>
      </c>
      <c r="N1658" s="158">
        <f t="shared" si="533"/>
        <v>0</v>
      </c>
      <c r="O1658" s="168">
        <f t="shared" si="537"/>
        <v>3.2258064516129031E-2</v>
      </c>
      <c r="P1658" s="157">
        <f t="shared" si="537"/>
        <v>0</v>
      </c>
    </row>
    <row r="1659" spans="1:16" ht="13.5" customHeight="1">
      <c r="A1659" s="474"/>
      <c r="B1659" s="127">
        <v>10</v>
      </c>
      <c r="C1659" s="147">
        <v>2</v>
      </c>
      <c r="D1659" s="147">
        <v>3</v>
      </c>
      <c r="E1659" s="147">
        <v>0</v>
      </c>
      <c r="F1659" s="181">
        <v>0</v>
      </c>
      <c r="G1659" s="147">
        <v>0</v>
      </c>
      <c r="H1659" s="147">
        <v>0</v>
      </c>
      <c r="I1659" s="147">
        <v>0</v>
      </c>
      <c r="J1659" s="147">
        <v>0</v>
      </c>
      <c r="K1659" s="147">
        <v>0</v>
      </c>
      <c r="L1659" s="148">
        <v>0</v>
      </c>
      <c r="M1659" s="154">
        <f t="shared" si="532"/>
        <v>2</v>
      </c>
      <c r="N1659" s="155">
        <f t="shared" si="533"/>
        <v>3</v>
      </c>
      <c r="O1659" s="168">
        <f t="shared" si="537"/>
        <v>6.4516129032258063E-2</v>
      </c>
      <c r="P1659" s="157">
        <f t="shared" si="537"/>
        <v>9.6774193548387094E-2</v>
      </c>
    </row>
    <row r="1660" spans="1:16" ht="13.5" customHeight="1">
      <c r="A1660" s="474"/>
      <c r="B1660" s="127">
        <v>11</v>
      </c>
      <c r="C1660" s="367">
        <v>2</v>
      </c>
      <c r="D1660" s="367">
        <v>6</v>
      </c>
      <c r="E1660" s="367">
        <v>0</v>
      </c>
      <c r="F1660" s="367">
        <v>0</v>
      </c>
      <c r="G1660" s="367">
        <v>0</v>
      </c>
      <c r="H1660" s="367">
        <v>0</v>
      </c>
      <c r="I1660" s="367">
        <v>0</v>
      </c>
      <c r="J1660" s="367">
        <v>0</v>
      </c>
      <c r="K1660" s="367">
        <v>0</v>
      </c>
      <c r="L1660" s="368">
        <v>0</v>
      </c>
      <c r="M1660" s="154">
        <f t="shared" si="532"/>
        <v>2</v>
      </c>
      <c r="N1660" s="155">
        <f t="shared" si="533"/>
        <v>6</v>
      </c>
      <c r="O1660" s="168">
        <f t="shared" si="537"/>
        <v>6.4516129032258063E-2</v>
      </c>
      <c r="P1660" s="157">
        <f t="shared" si="537"/>
        <v>0.19354838709677419</v>
      </c>
    </row>
    <row r="1661" spans="1:16" ht="13.5" customHeight="1" thickBot="1">
      <c r="A1661" s="475"/>
      <c r="B1661" s="127">
        <v>12</v>
      </c>
      <c r="C1661" s="187">
        <v>0</v>
      </c>
      <c r="D1661" s="187">
        <v>0</v>
      </c>
      <c r="E1661" s="187">
        <v>0</v>
      </c>
      <c r="F1661" s="188">
        <v>0</v>
      </c>
      <c r="G1661" s="187">
        <v>0</v>
      </c>
      <c r="H1661" s="187">
        <v>0</v>
      </c>
      <c r="I1661" s="187">
        <v>0</v>
      </c>
      <c r="J1661" s="187">
        <v>0</v>
      </c>
      <c r="K1661" s="187">
        <v>0</v>
      </c>
      <c r="L1661" s="189">
        <v>0</v>
      </c>
      <c r="M1661" s="154">
        <f t="shared" si="532"/>
        <v>0</v>
      </c>
      <c r="N1661" s="155">
        <f t="shared" si="533"/>
        <v>0</v>
      </c>
      <c r="O1661" s="168">
        <f t="shared" si="537"/>
        <v>0</v>
      </c>
      <c r="P1661" s="157">
        <f t="shared" si="537"/>
        <v>0</v>
      </c>
    </row>
    <row r="1662" spans="1:16" ht="13.5" customHeight="1">
      <c r="A1662" s="473">
        <v>2019</v>
      </c>
      <c r="B1662" s="410">
        <v>1</v>
      </c>
      <c r="C1662" s="422">
        <v>0</v>
      </c>
      <c r="D1662" s="422">
        <v>0</v>
      </c>
      <c r="E1662" s="422">
        <v>0</v>
      </c>
      <c r="F1662" s="422">
        <v>0</v>
      </c>
      <c r="G1662" s="422">
        <v>0</v>
      </c>
      <c r="H1662" s="422">
        <v>0</v>
      </c>
      <c r="I1662" s="422">
        <v>2</v>
      </c>
      <c r="J1662" s="422">
        <v>2</v>
      </c>
      <c r="K1662" s="422">
        <v>0</v>
      </c>
      <c r="L1662" s="432">
        <v>0</v>
      </c>
      <c r="M1662" s="424">
        <f t="shared" si="532"/>
        <v>2</v>
      </c>
      <c r="N1662" s="425">
        <f t="shared" si="533"/>
        <v>2</v>
      </c>
      <c r="O1662" s="430">
        <f t="shared" ref="O1662:O1666" si="538">M1662/31</f>
        <v>6.4516129032258063E-2</v>
      </c>
      <c r="P1662" s="427">
        <f t="shared" ref="P1662:P1666" si="539">N1662/31</f>
        <v>6.4516129032258063E-2</v>
      </c>
    </row>
    <row r="1663" spans="1:16" ht="13.5" customHeight="1">
      <c r="A1663" s="474"/>
      <c r="B1663" s="127">
        <v>2</v>
      </c>
      <c r="C1663" s="147">
        <v>1</v>
      </c>
      <c r="D1663" s="147">
        <v>2</v>
      </c>
      <c r="E1663" s="147">
        <v>0</v>
      </c>
      <c r="F1663" s="147">
        <v>0</v>
      </c>
      <c r="G1663" s="147">
        <v>1</v>
      </c>
      <c r="H1663" s="147">
        <v>0</v>
      </c>
      <c r="I1663" s="147">
        <v>0</v>
      </c>
      <c r="J1663" s="147">
        <v>0</v>
      </c>
      <c r="K1663" s="147">
        <v>0</v>
      </c>
      <c r="L1663" s="174">
        <v>0</v>
      </c>
      <c r="M1663" s="149">
        <f t="shared" si="532"/>
        <v>2</v>
      </c>
      <c r="N1663" s="150">
        <f t="shared" si="533"/>
        <v>2</v>
      </c>
      <c r="O1663" s="167">
        <f t="shared" si="538"/>
        <v>6.4516129032258063E-2</v>
      </c>
      <c r="P1663" s="152">
        <f t="shared" si="539"/>
        <v>6.4516129032258063E-2</v>
      </c>
    </row>
    <row r="1664" spans="1:16" ht="13.5" customHeight="1">
      <c r="A1664" s="474"/>
      <c r="B1664" s="127">
        <v>3</v>
      </c>
      <c r="C1664" s="147">
        <v>2</v>
      </c>
      <c r="D1664" s="147">
        <v>1</v>
      </c>
      <c r="E1664" s="147">
        <v>0</v>
      </c>
      <c r="F1664" s="147">
        <v>0</v>
      </c>
      <c r="G1664" s="147">
        <v>0</v>
      </c>
      <c r="H1664" s="147">
        <v>6</v>
      </c>
      <c r="I1664" s="147">
        <v>0</v>
      </c>
      <c r="J1664" s="147">
        <v>0</v>
      </c>
      <c r="K1664" s="147">
        <v>0</v>
      </c>
      <c r="L1664" s="174">
        <v>0</v>
      </c>
      <c r="M1664" s="149">
        <f t="shared" si="532"/>
        <v>2</v>
      </c>
      <c r="N1664" s="150">
        <f t="shared" si="533"/>
        <v>7</v>
      </c>
      <c r="O1664" s="167">
        <f t="shared" si="538"/>
        <v>6.4516129032258063E-2</v>
      </c>
      <c r="P1664" s="152">
        <f t="shared" si="539"/>
        <v>0.22580645161290322</v>
      </c>
    </row>
    <row r="1665" spans="1:16" ht="13.5" customHeight="1">
      <c r="A1665" s="474"/>
      <c r="B1665" s="127">
        <v>4</v>
      </c>
      <c r="C1665" s="158">
        <v>2</v>
      </c>
      <c r="D1665" s="158">
        <v>7</v>
      </c>
      <c r="E1665" s="158">
        <v>0</v>
      </c>
      <c r="F1665" s="158">
        <v>0</v>
      </c>
      <c r="G1665" s="158">
        <v>0</v>
      </c>
      <c r="H1665" s="158">
        <v>0</v>
      </c>
      <c r="I1665" s="158">
        <v>1</v>
      </c>
      <c r="J1665" s="158">
        <v>0</v>
      </c>
      <c r="K1665" s="158">
        <v>0</v>
      </c>
      <c r="L1665" s="159">
        <v>0</v>
      </c>
      <c r="M1665" s="154">
        <f t="shared" si="532"/>
        <v>3</v>
      </c>
      <c r="N1665" s="155">
        <f t="shared" si="533"/>
        <v>7</v>
      </c>
      <c r="O1665" s="168">
        <f t="shared" si="538"/>
        <v>9.6774193548387094E-2</v>
      </c>
      <c r="P1665" s="157">
        <f t="shared" si="539"/>
        <v>0.22580645161290322</v>
      </c>
    </row>
    <row r="1666" spans="1:16" ht="13.5" customHeight="1">
      <c r="A1666" s="474"/>
      <c r="B1666" s="127">
        <v>5</v>
      </c>
      <c r="C1666" s="158">
        <v>0</v>
      </c>
      <c r="D1666" s="158">
        <v>0</v>
      </c>
      <c r="E1666" s="158">
        <v>0</v>
      </c>
      <c r="F1666" s="158">
        <v>0</v>
      </c>
      <c r="G1666" s="158">
        <v>0</v>
      </c>
      <c r="H1666" s="158">
        <v>0</v>
      </c>
      <c r="I1666" s="158">
        <v>0</v>
      </c>
      <c r="J1666" s="158">
        <v>2</v>
      </c>
      <c r="K1666" s="158">
        <v>0</v>
      </c>
      <c r="L1666" s="159">
        <v>0</v>
      </c>
      <c r="M1666" s="154">
        <f t="shared" si="532"/>
        <v>0</v>
      </c>
      <c r="N1666" s="155">
        <f t="shared" si="533"/>
        <v>2</v>
      </c>
      <c r="O1666" s="168">
        <f t="shared" si="538"/>
        <v>0</v>
      </c>
      <c r="P1666" s="157">
        <f t="shared" si="539"/>
        <v>6.4516129032258063E-2</v>
      </c>
    </row>
    <row r="1667" spans="1:16" ht="13.5" customHeight="1">
      <c r="A1667" s="474"/>
      <c r="B1667" s="127">
        <v>6</v>
      </c>
      <c r="C1667" s="158">
        <v>1</v>
      </c>
      <c r="D1667" s="158">
        <v>1</v>
      </c>
      <c r="E1667" s="158">
        <v>0</v>
      </c>
      <c r="F1667" s="158">
        <v>0</v>
      </c>
      <c r="G1667" s="158">
        <v>0</v>
      </c>
      <c r="H1667" s="158">
        <v>0</v>
      </c>
      <c r="I1667" s="158">
        <v>0</v>
      </c>
      <c r="J1667" s="158">
        <v>0</v>
      </c>
      <c r="K1667" s="158">
        <v>0</v>
      </c>
      <c r="L1667" s="158">
        <v>0</v>
      </c>
      <c r="M1667" s="154">
        <f t="shared" si="532"/>
        <v>1</v>
      </c>
      <c r="N1667" s="155">
        <f t="shared" si="533"/>
        <v>1</v>
      </c>
      <c r="O1667" s="168">
        <f>M1667/30</f>
        <v>3.3333333333333333E-2</v>
      </c>
      <c r="P1667" s="157">
        <f>N1667/30</f>
        <v>3.3333333333333333E-2</v>
      </c>
    </row>
    <row r="1668" spans="1:16" ht="13.5" customHeight="1">
      <c r="A1668" s="474"/>
      <c r="B1668" s="127">
        <v>7</v>
      </c>
      <c r="C1668" s="158">
        <v>2</v>
      </c>
      <c r="D1668" s="158">
        <v>0</v>
      </c>
      <c r="E1668" s="158">
        <v>0</v>
      </c>
      <c r="F1668" s="158">
        <v>0</v>
      </c>
      <c r="G1668" s="158">
        <v>0</v>
      </c>
      <c r="H1668" s="158">
        <v>0</v>
      </c>
      <c r="I1668" s="158">
        <v>0</v>
      </c>
      <c r="J1668" s="158">
        <v>0</v>
      </c>
      <c r="K1668" s="158">
        <v>0</v>
      </c>
      <c r="L1668" s="158">
        <v>0</v>
      </c>
      <c r="M1668" s="154">
        <f t="shared" si="532"/>
        <v>2</v>
      </c>
      <c r="N1668" s="155">
        <f t="shared" si="533"/>
        <v>0</v>
      </c>
      <c r="O1668" s="168">
        <f t="shared" ref="O1668:O1669" si="540">M1668/31</f>
        <v>6.4516129032258063E-2</v>
      </c>
      <c r="P1668" s="157">
        <f t="shared" ref="P1668:P1669" si="541">N1668/31</f>
        <v>0</v>
      </c>
    </row>
    <row r="1669" spans="1:16" ht="13.5" customHeight="1">
      <c r="A1669" s="474"/>
      <c r="B1669" s="127">
        <v>8</v>
      </c>
      <c r="C1669" s="158">
        <v>1</v>
      </c>
      <c r="D1669" s="158">
        <v>5</v>
      </c>
      <c r="E1669" s="158">
        <v>0</v>
      </c>
      <c r="F1669" s="158">
        <v>0</v>
      </c>
      <c r="G1669" s="158">
        <v>0</v>
      </c>
      <c r="H1669" s="158">
        <v>0</v>
      </c>
      <c r="I1669" s="158">
        <v>0</v>
      </c>
      <c r="J1669" s="158">
        <v>0</v>
      </c>
      <c r="K1669" s="158">
        <v>0</v>
      </c>
      <c r="L1669" s="159">
        <v>0</v>
      </c>
      <c r="M1669" s="177">
        <f t="shared" si="532"/>
        <v>1</v>
      </c>
      <c r="N1669" s="158">
        <f t="shared" si="533"/>
        <v>5</v>
      </c>
      <c r="O1669" s="168">
        <f t="shared" si="540"/>
        <v>3.2258064516129031E-2</v>
      </c>
      <c r="P1669" s="157">
        <f t="shared" si="541"/>
        <v>0.16129032258064516</v>
      </c>
    </row>
    <row r="1670" spans="1:16" ht="13.5" customHeight="1">
      <c r="A1670" s="474"/>
      <c r="B1670" s="127">
        <v>9</v>
      </c>
      <c r="C1670" s="147">
        <v>1</v>
      </c>
      <c r="D1670" s="147">
        <v>1</v>
      </c>
      <c r="E1670" s="147">
        <v>0</v>
      </c>
      <c r="F1670" s="147">
        <v>0</v>
      </c>
      <c r="G1670" s="147">
        <v>0</v>
      </c>
      <c r="H1670" s="147">
        <v>0</v>
      </c>
      <c r="I1670" s="147">
        <v>0</v>
      </c>
      <c r="J1670" s="147">
        <v>0</v>
      </c>
      <c r="K1670" s="147">
        <v>0</v>
      </c>
      <c r="L1670" s="147">
        <v>0</v>
      </c>
      <c r="M1670" s="177">
        <v>1</v>
      </c>
      <c r="N1670" s="158">
        <v>1</v>
      </c>
      <c r="O1670" s="168">
        <v>3.2258064516129031E-2</v>
      </c>
      <c r="P1670" s="157">
        <v>3.2258064516129031E-2</v>
      </c>
    </row>
    <row r="1671" spans="1:16" ht="13.5" customHeight="1">
      <c r="A1671" s="474"/>
      <c r="B1671" s="127">
        <v>10</v>
      </c>
      <c r="C1671" s="147">
        <v>0</v>
      </c>
      <c r="D1671" s="147">
        <v>0</v>
      </c>
      <c r="E1671" s="147">
        <v>0</v>
      </c>
      <c r="F1671" s="181">
        <v>0</v>
      </c>
      <c r="G1671" s="147">
        <v>0</v>
      </c>
      <c r="H1671" s="147">
        <v>0</v>
      </c>
      <c r="I1671" s="147">
        <v>0</v>
      </c>
      <c r="J1671" s="147">
        <v>0</v>
      </c>
      <c r="K1671" s="147">
        <v>0</v>
      </c>
      <c r="L1671" s="148">
        <v>0</v>
      </c>
      <c r="M1671" s="154">
        <f>+C1671+E1671+G1671+I1671+K1671</f>
        <v>0</v>
      </c>
      <c r="N1671" s="155">
        <f t="shared" ref="N1671:N1673" si="542">+D1671+F1671+H1671+J1671+L1671</f>
        <v>0</v>
      </c>
      <c r="O1671" s="168">
        <f t="shared" ref="O1671:O1673" si="543">M1671/31</f>
        <v>0</v>
      </c>
      <c r="P1671" s="157">
        <f t="shared" ref="P1671:P1673" si="544">N1671/31</f>
        <v>0</v>
      </c>
    </row>
    <row r="1672" spans="1:16" ht="13.5" customHeight="1">
      <c r="A1672" s="474"/>
      <c r="B1672" s="127">
        <v>11</v>
      </c>
      <c r="C1672" s="367">
        <v>0</v>
      </c>
      <c r="D1672" s="367">
        <v>0</v>
      </c>
      <c r="E1672" s="367">
        <v>0</v>
      </c>
      <c r="F1672" s="367">
        <v>0</v>
      </c>
      <c r="G1672" s="367">
        <v>0</v>
      </c>
      <c r="H1672" s="367">
        <v>0</v>
      </c>
      <c r="I1672" s="367">
        <v>0</v>
      </c>
      <c r="J1672" s="367">
        <v>0</v>
      </c>
      <c r="K1672" s="367">
        <v>0</v>
      </c>
      <c r="L1672" s="368">
        <v>0</v>
      </c>
      <c r="M1672" s="154">
        <f t="shared" ref="M1672:M1673" si="545">+C1672+E1672+G1672+I1672+K1672</f>
        <v>0</v>
      </c>
      <c r="N1672" s="155">
        <f t="shared" si="542"/>
        <v>0</v>
      </c>
      <c r="O1672" s="168">
        <f t="shared" si="543"/>
        <v>0</v>
      </c>
      <c r="P1672" s="157">
        <f t="shared" si="544"/>
        <v>0</v>
      </c>
    </row>
    <row r="1673" spans="1:16" ht="13.5" customHeight="1" thickBot="1">
      <c r="A1673" s="475"/>
      <c r="B1673" s="127">
        <v>12</v>
      </c>
      <c r="C1673" s="187">
        <v>1</v>
      </c>
      <c r="D1673" s="187">
        <v>1</v>
      </c>
      <c r="E1673" s="187">
        <v>0</v>
      </c>
      <c r="F1673" s="188">
        <v>0</v>
      </c>
      <c r="G1673" s="187">
        <v>0</v>
      </c>
      <c r="H1673" s="187">
        <v>0</v>
      </c>
      <c r="I1673" s="187">
        <v>0</v>
      </c>
      <c r="J1673" s="187">
        <v>0</v>
      </c>
      <c r="K1673" s="187">
        <v>0</v>
      </c>
      <c r="L1673" s="189">
        <v>0</v>
      </c>
      <c r="M1673" s="154">
        <f t="shared" si="545"/>
        <v>1</v>
      </c>
      <c r="N1673" s="155">
        <f t="shared" si="542"/>
        <v>1</v>
      </c>
      <c r="O1673" s="168">
        <f t="shared" si="543"/>
        <v>3.2258064516129031E-2</v>
      </c>
      <c r="P1673" s="157">
        <f t="shared" si="544"/>
        <v>3.2258064516129031E-2</v>
      </c>
    </row>
    <row r="1674" spans="1:16" ht="13.5" customHeight="1">
      <c r="A1674" s="473">
        <v>2020</v>
      </c>
      <c r="B1674" s="410">
        <v>1</v>
      </c>
      <c r="C1674" s="434">
        <v>0</v>
      </c>
      <c r="D1674" s="434">
        <v>0</v>
      </c>
      <c r="E1674" s="434">
        <v>0</v>
      </c>
      <c r="F1674" s="434">
        <v>0</v>
      </c>
      <c r="G1674" s="434">
        <v>0</v>
      </c>
      <c r="H1674" s="434">
        <v>0</v>
      </c>
      <c r="I1674" s="434">
        <v>0</v>
      </c>
      <c r="J1674" s="434">
        <v>0</v>
      </c>
      <c r="K1674" s="434">
        <v>0</v>
      </c>
      <c r="L1674" s="436">
        <v>0</v>
      </c>
      <c r="M1674" s="424">
        <f t="shared" ref="M1674:M1685" si="546">+C1674+E1674+G1674+I1674+K1674</f>
        <v>0</v>
      </c>
      <c r="N1674" s="425">
        <f t="shared" ref="N1674:N1685" si="547">+D1674+F1674+H1674+J1674+L1674</f>
        <v>0</v>
      </c>
      <c r="O1674" s="430">
        <f t="shared" si="537"/>
        <v>0</v>
      </c>
      <c r="P1674" s="427">
        <f t="shared" si="537"/>
        <v>0</v>
      </c>
    </row>
    <row r="1675" spans="1:16" ht="13.5" customHeight="1">
      <c r="A1675" s="474"/>
      <c r="B1675" s="127">
        <v>2</v>
      </c>
      <c r="C1675" s="147">
        <v>0</v>
      </c>
      <c r="D1675" s="147">
        <v>0</v>
      </c>
      <c r="E1675" s="147">
        <v>0</v>
      </c>
      <c r="F1675" s="147">
        <v>0</v>
      </c>
      <c r="G1675" s="147">
        <v>0</v>
      </c>
      <c r="H1675" s="147">
        <v>0</v>
      </c>
      <c r="I1675" s="147">
        <v>1</v>
      </c>
      <c r="J1675" s="147">
        <v>2</v>
      </c>
      <c r="K1675" s="147">
        <v>0</v>
      </c>
      <c r="L1675" s="148">
        <v>0</v>
      </c>
      <c r="M1675" s="149">
        <f t="shared" si="546"/>
        <v>1</v>
      </c>
      <c r="N1675" s="150">
        <f t="shared" si="547"/>
        <v>2</v>
      </c>
      <c r="O1675" s="167">
        <f t="shared" si="537"/>
        <v>3.2258064516129031E-2</v>
      </c>
      <c r="P1675" s="152">
        <f t="shared" si="537"/>
        <v>6.4516129032258063E-2</v>
      </c>
    </row>
    <row r="1676" spans="1:16" ht="13.5" customHeight="1">
      <c r="A1676" s="474"/>
      <c r="B1676" s="127">
        <v>3</v>
      </c>
      <c r="C1676" s="147">
        <v>1</v>
      </c>
      <c r="D1676" s="147">
        <v>1</v>
      </c>
      <c r="E1676" s="147">
        <v>0</v>
      </c>
      <c r="F1676" s="147">
        <v>0</v>
      </c>
      <c r="G1676" s="147">
        <v>0</v>
      </c>
      <c r="H1676" s="147">
        <v>0</v>
      </c>
      <c r="I1676" s="147">
        <v>0</v>
      </c>
      <c r="J1676" s="147">
        <v>0</v>
      </c>
      <c r="K1676" s="147">
        <v>0</v>
      </c>
      <c r="L1676" s="148">
        <v>0</v>
      </c>
      <c r="M1676" s="149">
        <f t="shared" si="546"/>
        <v>1</v>
      </c>
      <c r="N1676" s="150">
        <f t="shared" si="547"/>
        <v>1</v>
      </c>
      <c r="O1676" s="167">
        <f t="shared" si="537"/>
        <v>3.2258064516129031E-2</v>
      </c>
      <c r="P1676" s="152">
        <f t="shared" si="537"/>
        <v>3.2258064516129031E-2</v>
      </c>
    </row>
    <row r="1677" spans="1:16" ht="13.5" customHeight="1">
      <c r="A1677" s="474"/>
      <c r="B1677" s="127">
        <v>4</v>
      </c>
      <c r="C1677" s="147">
        <v>0</v>
      </c>
      <c r="D1677" s="147">
        <v>0</v>
      </c>
      <c r="E1677" s="147">
        <v>0</v>
      </c>
      <c r="F1677" s="147">
        <v>0</v>
      </c>
      <c r="G1677" s="147">
        <v>0</v>
      </c>
      <c r="H1677" s="147">
        <v>0</v>
      </c>
      <c r="I1677" s="147">
        <v>0</v>
      </c>
      <c r="J1677" s="147">
        <v>0</v>
      </c>
      <c r="K1677" s="147">
        <v>0</v>
      </c>
      <c r="L1677" s="148">
        <v>0</v>
      </c>
      <c r="M1677" s="154">
        <f t="shared" si="546"/>
        <v>0</v>
      </c>
      <c r="N1677" s="155">
        <f t="shared" si="547"/>
        <v>0</v>
      </c>
      <c r="O1677" s="168">
        <f t="shared" si="537"/>
        <v>0</v>
      </c>
      <c r="P1677" s="157">
        <f t="shared" si="537"/>
        <v>0</v>
      </c>
    </row>
    <row r="1678" spans="1:16" ht="13.5" customHeight="1">
      <c r="A1678" s="474"/>
      <c r="B1678" s="127">
        <v>5</v>
      </c>
      <c r="C1678" s="147">
        <v>0</v>
      </c>
      <c r="D1678" s="147">
        <v>0</v>
      </c>
      <c r="E1678" s="147">
        <v>0</v>
      </c>
      <c r="F1678" s="147">
        <v>0</v>
      </c>
      <c r="G1678" s="147">
        <v>0</v>
      </c>
      <c r="H1678" s="147">
        <v>0</v>
      </c>
      <c r="I1678" s="147">
        <v>0</v>
      </c>
      <c r="J1678" s="147">
        <v>0</v>
      </c>
      <c r="K1678" s="147">
        <v>0</v>
      </c>
      <c r="L1678" s="148">
        <v>0</v>
      </c>
      <c r="M1678" s="154">
        <f t="shared" si="546"/>
        <v>0</v>
      </c>
      <c r="N1678" s="155">
        <f t="shared" si="547"/>
        <v>0</v>
      </c>
      <c r="O1678" s="168">
        <f t="shared" si="537"/>
        <v>0</v>
      </c>
      <c r="P1678" s="157">
        <f t="shared" si="537"/>
        <v>0</v>
      </c>
    </row>
    <row r="1679" spans="1:16" ht="13.5" customHeight="1">
      <c r="A1679" s="474"/>
      <c r="B1679" s="127">
        <v>6</v>
      </c>
      <c r="C1679" s="147">
        <f>集計用!C80</f>
        <v>0</v>
      </c>
      <c r="D1679" s="147">
        <f>集計用!S80</f>
        <v>0</v>
      </c>
      <c r="E1679" s="147">
        <f>集計用!E80</f>
        <v>0</v>
      </c>
      <c r="F1679" s="147">
        <f>集計用!U80</f>
        <v>0</v>
      </c>
      <c r="G1679" s="147">
        <f>集計用!G80</f>
        <v>0</v>
      </c>
      <c r="H1679" s="147">
        <f>集計用!W80</f>
        <v>0</v>
      </c>
      <c r="I1679" s="147">
        <f>集計用!I80</f>
        <v>0</v>
      </c>
      <c r="J1679" s="147">
        <f>集計用!Y80</f>
        <v>0</v>
      </c>
      <c r="K1679" s="147">
        <f>集計用!K80</f>
        <v>0</v>
      </c>
      <c r="L1679" s="148">
        <f>集計用!AA80</f>
        <v>0</v>
      </c>
      <c r="M1679" s="154">
        <f t="shared" si="546"/>
        <v>0</v>
      </c>
      <c r="N1679" s="155">
        <f t="shared" si="547"/>
        <v>0</v>
      </c>
      <c r="O1679" s="168">
        <f>M1679/30</f>
        <v>0</v>
      </c>
      <c r="P1679" s="157">
        <f>N1679/30</f>
        <v>0</v>
      </c>
    </row>
    <row r="1680" spans="1:16" ht="13.5" customHeight="1">
      <c r="A1680" s="474"/>
      <c r="B1680" s="127">
        <v>7</v>
      </c>
      <c r="C1680" s="158"/>
      <c r="D1680" s="158"/>
      <c r="E1680" s="158"/>
      <c r="F1680" s="158"/>
      <c r="G1680" s="158"/>
      <c r="H1680" s="158"/>
      <c r="I1680" s="158"/>
      <c r="J1680" s="158"/>
      <c r="K1680" s="158"/>
      <c r="L1680" s="158"/>
      <c r="M1680" s="154">
        <f t="shared" si="546"/>
        <v>0</v>
      </c>
      <c r="N1680" s="155">
        <f t="shared" si="547"/>
        <v>0</v>
      </c>
      <c r="O1680" s="168">
        <f t="shared" ref="O1680:O1685" si="548">M1680/31</f>
        <v>0</v>
      </c>
      <c r="P1680" s="157">
        <f t="shared" ref="P1680:P1685" si="549">N1680/31</f>
        <v>0</v>
      </c>
    </row>
    <row r="1681" spans="1:16" ht="13.5" customHeight="1">
      <c r="A1681" s="474"/>
      <c r="B1681" s="127">
        <v>8</v>
      </c>
      <c r="C1681" s="158"/>
      <c r="D1681" s="158"/>
      <c r="E1681" s="158"/>
      <c r="F1681" s="158"/>
      <c r="G1681" s="158"/>
      <c r="H1681" s="158"/>
      <c r="I1681" s="158"/>
      <c r="J1681" s="158"/>
      <c r="K1681" s="158"/>
      <c r="L1681" s="159"/>
      <c r="M1681" s="177">
        <f t="shared" si="546"/>
        <v>0</v>
      </c>
      <c r="N1681" s="158">
        <f t="shared" si="547"/>
        <v>0</v>
      </c>
      <c r="O1681" s="168">
        <f t="shared" si="548"/>
        <v>0</v>
      </c>
      <c r="P1681" s="157">
        <f t="shared" si="549"/>
        <v>0</v>
      </c>
    </row>
    <row r="1682" spans="1:16" ht="13.5" customHeight="1">
      <c r="A1682" s="474"/>
      <c r="B1682" s="127">
        <v>9</v>
      </c>
      <c r="C1682" s="147"/>
      <c r="D1682" s="147"/>
      <c r="E1682" s="147"/>
      <c r="F1682" s="147"/>
      <c r="G1682" s="147"/>
      <c r="H1682" s="147"/>
      <c r="I1682" s="147"/>
      <c r="J1682" s="147"/>
      <c r="K1682" s="147"/>
      <c r="L1682" s="147"/>
      <c r="M1682" s="177">
        <f t="shared" ref="M1682" si="550">+C1682+E1682+G1682+I1682+K1682</f>
        <v>0</v>
      </c>
      <c r="N1682" s="158">
        <f t="shared" ref="N1682" si="551">+D1682+F1682+H1682+J1682+L1682</f>
        <v>0</v>
      </c>
      <c r="O1682" s="168">
        <f>M1682/30</f>
        <v>0</v>
      </c>
      <c r="P1682" s="157">
        <f>N1682/30</f>
        <v>0</v>
      </c>
    </row>
    <row r="1683" spans="1:16" ht="13.5" customHeight="1">
      <c r="A1683" s="474"/>
      <c r="B1683" s="127">
        <v>10</v>
      </c>
      <c r="C1683" s="147"/>
      <c r="D1683" s="147"/>
      <c r="E1683" s="147"/>
      <c r="F1683" s="181"/>
      <c r="G1683" s="147"/>
      <c r="H1683" s="147"/>
      <c r="I1683" s="147"/>
      <c r="J1683" s="147"/>
      <c r="K1683" s="147"/>
      <c r="L1683" s="148"/>
      <c r="M1683" s="154">
        <f>+C1683+E1683+G1683+I1683+K1683</f>
        <v>0</v>
      </c>
      <c r="N1683" s="155">
        <f t="shared" ref="N1683" si="552">+D1683+F1683+H1683+J1683+L1683</f>
        <v>0</v>
      </c>
      <c r="O1683" s="168">
        <f t="shared" ref="O1683" si="553">M1683/31</f>
        <v>0</v>
      </c>
      <c r="P1683" s="157">
        <f t="shared" ref="P1683" si="554">N1683/31</f>
        <v>0</v>
      </c>
    </row>
    <row r="1684" spans="1:16" ht="13.5" customHeight="1">
      <c r="A1684" s="474"/>
      <c r="B1684" s="127">
        <v>11</v>
      </c>
      <c r="C1684" s="367"/>
      <c r="D1684" s="367"/>
      <c r="E1684" s="367"/>
      <c r="F1684" s="367"/>
      <c r="G1684" s="367"/>
      <c r="H1684" s="367"/>
      <c r="I1684" s="367"/>
      <c r="J1684" s="367"/>
      <c r="K1684" s="367"/>
      <c r="L1684" s="368"/>
      <c r="M1684" s="154">
        <f t="shared" si="546"/>
        <v>0</v>
      </c>
      <c r="N1684" s="155">
        <f t="shared" si="547"/>
        <v>0</v>
      </c>
      <c r="O1684" s="168">
        <f t="shared" si="548"/>
        <v>0</v>
      </c>
      <c r="P1684" s="157">
        <f t="shared" si="549"/>
        <v>0</v>
      </c>
    </row>
    <row r="1685" spans="1:16" ht="13.5" customHeight="1" thickBot="1">
      <c r="A1685" s="475"/>
      <c r="B1685" s="127">
        <v>12</v>
      </c>
      <c r="C1685" s="187"/>
      <c r="D1685" s="187"/>
      <c r="E1685" s="187"/>
      <c r="F1685" s="188"/>
      <c r="G1685" s="187"/>
      <c r="H1685" s="187"/>
      <c r="I1685" s="187"/>
      <c r="J1685" s="187"/>
      <c r="K1685" s="187"/>
      <c r="L1685" s="189"/>
      <c r="M1685" s="154">
        <f t="shared" si="546"/>
        <v>0</v>
      </c>
      <c r="N1685" s="155">
        <f t="shared" si="547"/>
        <v>0</v>
      </c>
      <c r="O1685" s="168">
        <f t="shared" si="548"/>
        <v>0</v>
      </c>
      <c r="P1685" s="157">
        <f t="shared" si="549"/>
        <v>0</v>
      </c>
    </row>
    <row r="1686" spans="1:16" ht="18.75" customHeight="1" thickBot="1">
      <c r="A1686" s="180"/>
      <c r="B1686" s="160" t="s">
        <v>5</v>
      </c>
      <c r="C1686" s="161">
        <f>SUM(C1638:C1685)</f>
        <v>26</v>
      </c>
      <c r="D1686" s="161">
        <f t="shared" ref="D1686:K1686" si="555">SUM(D1638:D1685)</f>
        <v>40</v>
      </c>
      <c r="E1686" s="161">
        <f t="shared" si="555"/>
        <v>2</v>
      </c>
      <c r="F1686" s="161">
        <f t="shared" si="555"/>
        <v>2</v>
      </c>
      <c r="G1686" s="161">
        <f t="shared" si="555"/>
        <v>1</v>
      </c>
      <c r="H1686" s="161">
        <f t="shared" si="555"/>
        <v>6</v>
      </c>
      <c r="I1686" s="161">
        <f t="shared" si="555"/>
        <v>4</v>
      </c>
      <c r="J1686" s="161">
        <f t="shared" si="555"/>
        <v>6</v>
      </c>
      <c r="K1686" s="161">
        <f t="shared" si="555"/>
        <v>0</v>
      </c>
      <c r="L1686" s="161">
        <f>SUM(L1638:L1685)</f>
        <v>0</v>
      </c>
      <c r="M1686" s="162">
        <f>SUM(M1638:M1685)</f>
        <v>33</v>
      </c>
      <c r="N1686" s="161">
        <f>SUM(N1638:N1685)</f>
        <v>54</v>
      </c>
      <c r="O1686" s="161">
        <f>SUM(O1638:O1685)</f>
        <v>1.065591397849462</v>
      </c>
      <c r="P1686" s="161">
        <f>SUM(P1638:P1685)</f>
        <v>1.743010752688172</v>
      </c>
    </row>
    <row r="1688" spans="1:16" ht="11.25" customHeight="1">
      <c r="B1688" s="467" t="s">
        <v>100</v>
      </c>
      <c r="C1688" s="469" t="s">
        <v>29</v>
      </c>
      <c r="D1688" s="470"/>
      <c r="E1688" s="469" t="s">
        <v>30</v>
      </c>
      <c r="F1688" s="470"/>
      <c r="G1688" s="469" t="s">
        <v>31</v>
      </c>
      <c r="H1688" s="470"/>
      <c r="I1688" s="469" t="s">
        <v>58</v>
      </c>
      <c r="J1688" s="470"/>
      <c r="K1688" s="469" t="s">
        <v>57</v>
      </c>
      <c r="L1688" s="471"/>
      <c r="M1688" s="470" t="s">
        <v>5</v>
      </c>
      <c r="N1688" s="472"/>
      <c r="O1688" s="472" t="s">
        <v>33</v>
      </c>
      <c r="P1688" s="472"/>
    </row>
    <row r="1689" spans="1:16" ht="11.25" customHeight="1" thickBot="1">
      <c r="B1689" s="468"/>
      <c r="C1689" s="13" t="s">
        <v>34</v>
      </c>
      <c r="D1689" s="13" t="s">
        <v>35</v>
      </c>
      <c r="E1689" s="13" t="s">
        <v>34</v>
      </c>
      <c r="F1689" s="13" t="s">
        <v>35</v>
      </c>
      <c r="G1689" s="13" t="s">
        <v>34</v>
      </c>
      <c r="H1689" s="13" t="s">
        <v>35</v>
      </c>
      <c r="I1689" s="13" t="s">
        <v>59</v>
      </c>
      <c r="J1689" s="13" t="s">
        <v>60</v>
      </c>
      <c r="K1689" s="13" t="s">
        <v>34</v>
      </c>
      <c r="L1689" s="14" t="s">
        <v>35</v>
      </c>
      <c r="M1689" s="15" t="s">
        <v>34</v>
      </c>
      <c r="N1689" s="13" t="s">
        <v>35</v>
      </c>
      <c r="O1689" s="163" t="s">
        <v>34</v>
      </c>
      <c r="P1689" s="163" t="s">
        <v>35</v>
      </c>
    </row>
    <row r="1690" spans="1:16" ht="13.5" customHeight="1">
      <c r="A1690" s="473">
        <v>2017</v>
      </c>
      <c r="B1690" s="410">
        <v>1</v>
      </c>
      <c r="C1690" s="422"/>
      <c r="D1690" s="422"/>
      <c r="E1690" s="422"/>
      <c r="F1690" s="422"/>
      <c r="G1690" s="422"/>
      <c r="H1690" s="422"/>
      <c r="I1690" s="422"/>
      <c r="J1690" s="422"/>
      <c r="K1690" s="422"/>
      <c r="L1690" s="432"/>
      <c r="M1690" s="424">
        <f t="shared" ref="M1690:M1721" si="556">+C1690+E1690+G1690+I1690+K1690</f>
        <v>0</v>
      </c>
      <c r="N1690" s="425">
        <f t="shared" ref="N1690:N1721" si="557">+D1690+F1690+H1690+J1690+L1690</f>
        <v>0</v>
      </c>
      <c r="O1690" s="430">
        <f t="shared" ref="O1690:P1694" si="558">M1690/31</f>
        <v>0</v>
      </c>
      <c r="P1690" s="427">
        <f t="shared" si="558"/>
        <v>0</v>
      </c>
    </row>
    <row r="1691" spans="1:16" ht="13.5" customHeight="1">
      <c r="A1691" s="474"/>
      <c r="B1691" s="127">
        <v>2</v>
      </c>
      <c r="C1691" s="147"/>
      <c r="D1691" s="147"/>
      <c r="E1691" s="147"/>
      <c r="F1691" s="147"/>
      <c r="G1691" s="147"/>
      <c r="H1691" s="147"/>
      <c r="I1691" s="147"/>
      <c r="J1691" s="147"/>
      <c r="K1691" s="147"/>
      <c r="L1691" s="174"/>
      <c r="M1691" s="149">
        <f t="shared" si="556"/>
        <v>0</v>
      </c>
      <c r="N1691" s="150">
        <f t="shared" si="557"/>
        <v>0</v>
      </c>
      <c r="O1691" s="167">
        <f t="shared" si="558"/>
        <v>0</v>
      </c>
      <c r="P1691" s="152">
        <f t="shared" si="558"/>
        <v>0</v>
      </c>
    </row>
    <row r="1692" spans="1:16" ht="13.5" customHeight="1">
      <c r="A1692" s="474"/>
      <c r="B1692" s="127">
        <v>3</v>
      </c>
      <c r="C1692" s="147"/>
      <c r="D1692" s="147"/>
      <c r="E1692" s="147"/>
      <c r="F1692" s="147"/>
      <c r="G1692" s="147"/>
      <c r="H1692" s="147"/>
      <c r="I1692" s="147"/>
      <c r="J1692" s="147"/>
      <c r="K1692" s="147"/>
      <c r="L1692" s="174"/>
      <c r="M1692" s="149">
        <f t="shared" si="556"/>
        <v>0</v>
      </c>
      <c r="N1692" s="150">
        <f t="shared" si="557"/>
        <v>0</v>
      </c>
      <c r="O1692" s="167">
        <f t="shared" si="558"/>
        <v>0</v>
      </c>
      <c r="P1692" s="152">
        <f t="shared" si="558"/>
        <v>0</v>
      </c>
    </row>
    <row r="1693" spans="1:16" ht="13.5" customHeight="1">
      <c r="A1693" s="474"/>
      <c r="B1693" s="127">
        <v>4</v>
      </c>
      <c r="C1693" s="158"/>
      <c r="D1693" s="158"/>
      <c r="E1693" s="158"/>
      <c r="F1693" s="158"/>
      <c r="G1693" s="158"/>
      <c r="H1693" s="158"/>
      <c r="I1693" s="158"/>
      <c r="J1693" s="158"/>
      <c r="K1693" s="158"/>
      <c r="L1693" s="159"/>
      <c r="M1693" s="154">
        <f t="shared" si="556"/>
        <v>0</v>
      </c>
      <c r="N1693" s="155">
        <f t="shared" si="557"/>
        <v>0</v>
      </c>
      <c r="O1693" s="168">
        <f t="shared" si="558"/>
        <v>0</v>
      </c>
      <c r="P1693" s="157">
        <f t="shared" si="558"/>
        <v>0</v>
      </c>
    </row>
    <row r="1694" spans="1:16" ht="13.5" customHeight="1">
      <c r="A1694" s="474"/>
      <c r="B1694" s="127">
        <v>5</v>
      </c>
      <c r="C1694" s="158"/>
      <c r="D1694" s="158"/>
      <c r="E1694" s="158"/>
      <c r="F1694" s="158"/>
      <c r="G1694" s="158"/>
      <c r="H1694" s="158"/>
      <c r="I1694" s="158"/>
      <c r="J1694" s="158"/>
      <c r="K1694" s="158"/>
      <c r="L1694" s="159"/>
      <c r="M1694" s="154">
        <f t="shared" si="556"/>
        <v>0</v>
      </c>
      <c r="N1694" s="155">
        <f t="shared" si="557"/>
        <v>0</v>
      </c>
      <c r="O1694" s="168">
        <f t="shared" si="558"/>
        <v>0</v>
      </c>
      <c r="P1694" s="157">
        <f t="shared" si="558"/>
        <v>0</v>
      </c>
    </row>
    <row r="1695" spans="1:16" ht="13.5" customHeight="1">
      <c r="A1695" s="474"/>
      <c r="B1695" s="127">
        <v>6</v>
      </c>
      <c r="C1695" s="158"/>
      <c r="D1695" s="158"/>
      <c r="E1695" s="158"/>
      <c r="F1695" s="158"/>
      <c r="G1695" s="158"/>
      <c r="H1695" s="158"/>
      <c r="I1695" s="158"/>
      <c r="J1695" s="158"/>
      <c r="K1695" s="158"/>
      <c r="L1695" s="158"/>
      <c r="M1695" s="154">
        <f t="shared" si="556"/>
        <v>0</v>
      </c>
      <c r="N1695" s="155">
        <f t="shared" si="557"/>
        <v>0</v>
      </c>
      <c r="O1695" s="168">
        <f>M1695/30</f>
        <v>0</v>
      </c>
      <c r="P1695" s="157">
        <f>N1695/30</f>
        <v>0</v>
      </c>
    </row>
    <row r="1696" spans="1:16" ht="13.5" customHeight="1">
      <c r="A1696" s="474"/>
      <c r="B1696" s="127">
        <v>7</v>
      </c>
      <c r="C1696" s="158"/>
      <c r="D1696" s="158"/>
      <c r="E1696" s="158"/>
      <c r="F1696" s="158"/>
      <c r="G1696" s="158"/>
      <c r="H1696" s="158"/>
      <c r="I1696" s="158"/>
      <c r="J1696" s="158"/>
      <c r="K1696" s="158"/>
      <c r="L1696" s="158"/>
      <c r="M1696" s="154">
        <f t="shared" si="556"/>
        <v>0</v>
      </c>
      <c r="N1696" s="155">
        <f t="shared" si="557"/>
        <v>0</v>
      </c>
      <c r="O1696" s="168">
        <f t="shared" ref="O1696:O1706" si="559">M1696/31</f>
        <v>0</v>
      </c>
      <c r="P1696" s="157">
        <f t="shared" ref="P1696:P1706" si="560">N1696/31</f>
        <v>0</v>
      </c>
    </row>
    <row r="1697" spans="1:16" ht="13.5" customHeight="1">
      <c r="A1697" s="474"/>
      <c r="B1697" s="127">
        <v>8</v>
      </c>
      <c r="C1697" s="158"/>
      <c r="D1697" s="158"/>
      <c r="E1697" s="158"/>
      <c r="F1697" s="158"/>
      <c r="G1697" s="158"/>
      <c r="H1697" s="158"/>
      <c r="I1697" s="158"/>
      <c r="J1697" s="158"/>
      <c r="K1697" s="158"/>
      <c r="L1697" s="159"/>
      <c r="M1697" s="177">
        <f t="shared" si="556"/>
        <v>0</v>
      </c>
      <c r="N1697" s="158">
        <f t="shared" si="557"/>
        <v>0</v>
      </c>
      <c r="O1697" s="168">
        <f t="shared" si="559"/>
        <v>0</v>
      </c>
      <c r="P1697" s="157">
        <f t="shared" si="560"/>
        <v>0</v>
      </c>
    </row>
    <row r="1698" spans="1:16" ht="13.5" customHeight="1">
      <c r="A1698" s="474"/>
      <c r="B1698" s="127">
        <v>9</v>
      </c>
      <c r="C1698" s="147"/>
      <c r="D1698" s="147"/>
      <c r="E1698" s="147"/>
      <c r="F1698" s="147"/>
      <c r="G1698" s="147"/>
      <c r="H1698" s="147"/>
      <c r="I1698" s="147"/>
      <c r="J1698" s="147"/>
      <c r="K1698" s="147"/>
      <c r="L1698" s="147"/>
      <c r="M1698" s="177">
        <f t="shared" si="556"/>
        <v>0</v>
      </c>
      <c r="N1698" s="158">
        <f t="shared" si="557"/>
        <v>0</v>
      </c>
      <c r="O1698" s="168">
        <f t="shared" si="559"/>
        <v>0</v>
      </c>
      <c r="P1698" s="157">
        <f t="shared" si="560"/>
        <v>0</v>
      </c>
    </row>
    <row r="1699" spans="1:16" ht="13.5" customHeight="1">
      <c r="A1699" s="474"/>
      <c r="B1699" s="127">
        <v>10</v>
      </c>
      <c r="C1699" s="147"/>
      <c r="D1699" s="147"/>
      <c r="E1699" s="147"/>
      <c r="F1699" s="181"/>
      <c r="G1699" s="147"/>
      <c r="H1699" s="147"/>
      <c r="I1699" s="147"/>
      <c r="J1699" s="147"/>
      <c r="K1699" s="147"/>
      <c r="L1699" s="148"/>
      <c r="M1699" s="154">
        <f t="shared" si="556"/>
        <v>0</v>
      </c>
      <c r="N1699" s="155">
        <f t="shared" si="557"/>
        <v>0</v>
      </c>
      <c r="O1699" s="168">
        <f t="shared" si="559"/>
        <v>0</v>
      </c>
      <c r="P1699" s="157">
        <f t="shared" si="560"/>
        <v>0</v>
      </c>
    </row>
    <row r="1700" spans="1:16" ht="13.5" customHeight="1">
      <c r="A1700" s="474"/>
      <c r="B1700" s="127">
        <v>11</v>
      </c>
      <c r="C1700" s="367">
        <v>1</v>
      </c>
      <c r="D1700" s="367">
        <v>0</v>
      </c>
      <c r="E1700" s="367">
        <v>0</v>
      </c>
      <c r="F1700" s="367">
        <v>0</v>
      </c>
      <c r="G1700" s="367">
        <v>0</v>
      </c>
      <c r="H1700" s="367">
        <v>0</v>
      </c>
      <c r="I1700" s="367">
        <v>0</v>
      </c>
      <c r="J1700" s="367">
        <v>0</v>
      </c>
      <c r="K1700" s="367">
        <v>0</v>
      </c>
      <c r="L1700" s="368">
        <v>0</v>
      </c>
      <c r="M1700" s="154">
        <f t="shared" si="556"/>
        <v>1</v>
      </c>
      <c r="N1700" s="155">
        <f t="shared" si="557"/>
        <v>0</v>
      </c>
      <c r="O1700" s="168">
        <f t="shared" si="559"/>
        <v>3.2258064516129031E-2</v>
      </c>
      <c r="P1700" s="157">
        <f t="shared" si="560"/>
        <v>0</v>
      </c>
    </row>
    <row r="1701" spans="1:16" ht="13.5" customHeight="1" thickBot="1">
      <c r="A1701" s="475"/>
      <c r="B1701" s="127">
        <v>12</v>
      </c>
      <c r="C1701" s="187">
        <v>11</v>
      </c>
      <c r="D1701" s="187">
        <v>0</v>
      </c>
      <c r="E1701" s="187">
        <v>0</v>
      </c>
      <c r="F1701" s="188">
        <v>0</v>
      </c>
      <c r="G1701" s="187">
        <v>0</v>
      </c>
      <c r="H1701" s="187">
        <v>0</v>
      </c>
      <c r="I1701" s="187">
        <v>0</v>
      </c>
      <c r="J1701" s="187">
        <v>0</v>
      </c>
      <c r="K1701" s="187">
        <v>0</v>
      </c>
      <c r="L1701" s="189">
        <v>0</v>
      </c>
      <c r="M1701" s="154">
        <f t="shared" si="556"/>
        <v>11</v>
      </c>
      <c r="N1701" s="155">
        <f t="shared" si="557"/>
        <v>0</v>
      </c>
      <c r="O1701" s="168">
        <f t="shared" si="559"/>
        <v>0.35483870967741937</v>
      </c>
      <c r="P1701" s="157">
        <f t="shared" si="560"/>
        <v>0</v>
      </c>
    </row>
    <row r="1702" spans="1:16" ht="13.5" customHeight="1">
      <c r="A1702" s="473">
        <v>2018</v>
      </c>
      <c r="B1702" s="410">
        <v>1</v>
      </c>
      <c r="C1702" s="422">
        <v>16</v>
      </c>
      <c r="D1702" s="422">
        <v>33</v>
      </c>
      <c r="E1702" s="422">
        <v>0</v>
      </c>
      <c r="F1702" s="422">
        <v>0</v>
      </c>
      <c r="G1702" s="422">
        <v>0</v>
      </c>
      <c r="H1702" s="422">
        <v>0</v>
      </c>
      <c r="I1702" s="422">
        <v>0</v>
      </c>
      <c r="J1702" s="422">
        <v>0</v>
      </c>
      <c r="K1702" s="422">
        <v>0</v>
      </c>
      <c r="L1702" s="432">
        <v>0</v>
      </c>
      <c r="M1702" s="424">
        <f t="shared" si="556"/>
        <v>16</v>
      </c>
      <c r="N1702" s="425">
        <f t="shared" si="557"/>
        <v>33</v>
      </c>
      <c r="O1702" s="430">
        <f t="shared" si="559"/>
        <v>0.5161290322580645</v>
      </c>
      <c r="P1702" s="427">
        <f t="shared" si="560"/>
        <v>1.064516129032258</v>
      </c>
    </row>
    <row r="1703" spans="1:16" ht="13.5" customHeight="1">
      <c r="A1703" s="474"/>
      <c r="B1703" s="127">
        <v>2</v>
      </c>
      <c r="C1703" s="147">
        <v>17</v>
      </c>
      <c r="D1703" s="147">
        <v>48</v>
      </c>
      <c r="E1703" s="147">
        <v>0</v>
      </c>
      <c r="F1703" s="147">
        <v>0</v>
      </c>
      <c r="G1703" s="147">
        <v>0</v>
      </c>
      <c r="H1703" s="147">
        <v>0</v>
      </c>
      <c r="I1703" s="147">
        <v>0</v>
      </c>
      <c r="J1703" s="147">
        <v>0</v>
      </c>
      <c r="K1703" s="147">
        <v>0</v>
      </c>
      <c r="L1703" s="174">
        <v>0</v>
      </c>
      <c r="M1703" s="149">
        <f t="shared" si="556"/>
        <v>17</v>
      </c>
      <c r="N1703" s="150">
        <f t="shared" si="557"/>
        <v>48</v>
      </c>
      <c r="O1703" s="167">
        <f t="shared" si="559"/>
        <v>0.54838709677419351</v>
      </c>
      <c r="P1703" s="152">
        <f t="shared" si="560"/>
        <v>1.5483870967741935</v>
      </c>
    </row>
    <row r="1704" spans="1:16" ht="13.5" customHeight="1">
      <c r="A1704" s="474"/>
      <c r="B1704" s="127">
        <v>3</v>
      </c>
      <c r="C1704" s="147">
        <v>0</v>
      </c>
      <c r="D1704" s="147">
        <v>3</v>
      </c>
      <c r="E1704" s="147">
        <v>0</v>
      </c>
      <c r="F1704" s="147">
        <v>0</v>
      </c>
      <c r="G1704" s="147">
        <v>0</v>
      </c>
      <c r="H1704" s="147">
        <v>0</v>
      </c>
      <c r="I1704" s="147">
        <v>0</v>
      </c>
      <c r="J1704" s="147">
        <v>0</v>
      </c>
      <c r="K1704" s="147">
        <v>0</v>
      </c>
      <c r="L1704" s="174">
        <v>0</v>
      </c>
      <c r="M1704" s="149">
        <f t="shared" si="556"/>
        <v>0</v>
      </c>
      <c r="N1704" s="150">
        <f t="shared" si="557"/>
        <v>3</v>
      </c>
      <c r="O1704" s="167">
        <f t="shared" si="559"/>
        <v>0</v>
      </c>
      <c r="P1704" s="152">
        <f t="shared" si="560"/>
        <v>9.6774193548387094E-2</v>
      </c>
    </row>
    <row r="1705" spans="1:16" ht="13.5" customHeight="1">
      <c r="A1705" s="474"/>
      <c r="B1705" s="127">
        <v>4</v>
      </c>
      <c r="C1705" s="158">
        <v>0</v>
      </c>
      <c r="D1705" s="158">
        <v>0</v>
      </c>
      <c r="E1705" s="158">
        <v>0</v>
      </c>
      <c r="F1705" s="158">
        <v>0</v>
      </c>
      <c r="G1705" s="158">
        <v>0</v>
      </c>
      <c r="H1705" s="158">
        <v>0</v>
      </c>
      <c r="I1705" s="158">
        <v>0</v>
      </c>
      <c r="J1705" s="158">
        <v>0</v>
      </c>
      <c r="K1705" s="158">
        <v>0</v>
      </c>
      <c r="L1705" s="159">
        <v>0</v>
      </c>
      <c r="M1705" s="154">
        <f t="shared" si="556"/>
        <v>0</v>
      </c>
      <c r="N1705" s="155">
        <f t="shared" si="557"/>
        <v>0</v>
      </c>
      <c r="O1705" s="168">
        <f t="shared" si="559"/>
        <v>0</v>
      </c>
      <c r="P1705" s="157">
        <f t="shared" si="560"/>
        <v>0</v>
      </c>
    </row>
    <row r="1706" spans="1:16" ht="13.5" customHeight="1">
      <c r="A1706" s="474"/>
      <c r="B1706" s="127">
        <v>5</v>
      </c>
      <c r="C1706" s="158">
        <v>0</v>
      </c>
      <c r="D1706" s="158">
        <v>0</v>
      </c>
      <c r="E1706" s="158">
        <v>0</v>
      </c>
      <c r="F1706" s="158">
        <v>0</v>
      </c>
      <c r="G1706" s="158">
        <v>0</v>
      </c>
      <c r="H1706" s="158">
        <v>0</v>
      </c>
      <c r="I1706" s="158">
        <v>0</v>
      </c>
      <c r="J1706" s="158">
        <v>0</v>
      </c>
      <c r="K1706" s="158">
        <v>0</v>
      </c>
      <c r="L1706" s="159">
        <v>0</v>
      </c>
      <c r="M1706" s="154">
        <f t="shared" si="556"/>
        <v>0</v>
      </c>
      <c r="N1706" s="155">
        <f t="shared" si="557"/>
        <v>0</v>
      </c>
      <c r="O1706" s="168">
        <f t="shared" si="559"/>
        <v>0</v>
      </c>
      <c r="P1706" s="157">
        <f t="shared" si="560"/>
        <v>0</v>
      </c>
    </row>
    <row r="1707" spans="1:16" ht="13.5" customHeight="1">
      <c r="A1707" s="474"/>
      <c r="B1707" s="127">
        <v>6</v>
      </c>
      <c r="C1707" s="158">
        <v>0</v>
      </c>
      <c r="D1707" s="158">
        <v>0</v>
      </c>
      <c r="E1707" s="158">
        <v>0</v>
      </c>
      <c r="F1707" s="158">
        <v>0</v>
      </c>
      <c r="G1707" s="158">
        <v>0</v>
      </c>
      <c r="H1707" s="158">
        <v>0</v>
      </c>
      <c r="I1707" s="158">
        <v>0</v>
      </c>
      <c r="J1707" s="158">
        <v>0</v>
      </c>
      <c r="K1707" s="158">
        <v>0</v>
      </c>
      <c r="L1707" s="158">
        <v>0</v>
      </c>
      <c r="M1707" s="154">
        <f t="shared" si="556"/>
        <v>0</v>
      </c>
      <c r="N1707" s="155">
        <f t="shared" si="557"/>
        <v>0</v>
      </c>
      <c r="O1707" s="168">
        <f>M1707/30</f>
        <v>0</v>
      </c>
      <c r="P1707" s="157">
        <f>N1707/30</f>
        <v>0</v>
      </c>
    </row>
    <row r="1708" spans="1:16" ht="13.5" customHeight="1">
      <c r="A1708" s="474"/>
      <c r="B1708" s="127">
        <v>7</v>
      </c>
      <c r="C1708" s="158">
        <v>0</v>
      </c>
      <c r="D1708" s="158">
        <v>0</v>
      </c>
      <c r="E1708" s="158">
        <v>0</v>
      </c>
      <c r="F1708" s="158">
        <v>0</v>
      </c>
      <c r="G1708" s="158">
        <v>0</v>
      </c>
      <c r="H1708" s="158">
        <v>0</v>
      </c>
      <c r="I1708" s="158">
        <v>0</v>
      </c>
      <c r="J1708" s="158">
        <v>0</v>
      </c>
      <c r="K1708" s="158">
        <v>0</v>
      </c>
      <c r="L1708" s="158">
        <v>0</v>
      </c>
      <c r="M1708" s="154">
        <f t="shared" si="556"/>
        <v>0</v>
      </c>
      <c r="N1708" s="155">
        <f t="shared" si="557"/>
        <v>0</v>
      </c>
      <c r="O1708" s="168">
        <f t="shared" ref="O1708:P1730" si="561">M1708/31</f>
        <v>0</v>
      </c>
      <c r="P1708" s="157">
        <f t="shared" si="561"/>
        <v>0</v>
      </c>
    </row>
    <row r="1709" spans="1:16" ht="13.5" customHeight="1">
      <c r="A1709" s="474"/>
      <c r="B1709" s="127">
        <v>8</v>
      </c>
      <c r="C1709" s="158">
        <v>0</v>
      </c>
      <c r="D1709" s="158">
        <v>0</v>
      </c>
      <c r="E1709" s="158">
        <v>0</v>
      </c>
      <c r="F1709" s="158">
        <v>0</v>
      </c>
      <c r="G1709" s="158">
        <v>0</v>
      </c>
      <c r="H1709" s="158">
        <v>0</v>
      </c>
      <c r="I1709" s="158">
        <v>0</v>
      </c>
      <c r="J1709" s="158">
        <v>0</v>
      </c>
      <c r="K1709" s="158">
        <v>0</v>
      </c>
      <c r="L1709" s="159">
        <v>0</v>
      </c>
      <c r="M1709" s="177">
        <f t="shared" si="556"/>
        <v>0</v>
      </c>
      <c r="N1709" s="158">
        <f t="shared" si="557"/>
        <v>0</v>
      </c>
      <c r="O1709" s="168">
        <f t="shared" si="561"/>
        <v>0</v>
      </c>
      <c r="P1709" s="157">
        <f t="shared" si="561"/>
        <v>0</v>
      </c>
    </row>
    <row r="1710" spans="1:16" ht="13.5" customHeight="1">
      <c r="A1710" s="474"/>
      <c r="B1710" s="127">
        <v>9</v>
      </c>
      <c r="C1710" s="147">
        <v>0</v>
      </c>
      <c r="D1710" s="147">
        <v>0</v>
      </c>
      <c r="E1710" s="147">
        <v>0</v>
      </c>
      <c r="F1710" s="147">
        <v>0</v>
      </c>
      <c r="G1710" s="147">
        <v>0</v>
      </c>
      <c r="H1710" s="147">
        <v>0</v>
      </c>
      <c r="I1710" s="147">
        <v>0</v>
      </c>
      <c r="J1710" s="147">
        <v>0</v>
      </c>
      <c r="K1710" s="147">
        <v>0</v>
      </c>
      <c r="L1710" s="147">
        <v>0</v>
      </c>
      <c r="M1710" s="177">
        <f t="shared" si="556"/>
        <v>0</v>
      </c>
      <c r="N1710" s="158">
        <f t="shared" si="557"/>
        <v>0</v>
      </c>
      <c r="O1710" s="168">
        <f t="shared" si="561"/>
        <v>0</v>
      </c>
      <c r="P1710" s="157">
        <f t="shared" si="561"/>
        <v>0</v>
      </c>
    </row>
    <row r="1711" spans="1:16" ht="13.5" customHeight="1">
      <c r="A1711" s="474"/>
      <c r="B1711" s="127">
        <v>10</v>
      </c>
      <c r="C1711" s="147">
        <v>0</v>
      </c>
      <c r="D1711" s="147">
        <v>0</v>
      </c>
      <c r="E1711" s="147">
        <v>0</v>
      </c>
      <c r="F1711" s="181">
        <v>0</v>
      </c>
      <c r="G1711" s="147">
        <v>0</v>
      </c>
      <c r="H1711" s="147">
        <v>0</v>
      </c>
      <c r="I1711" s="147">
        <v>0</v>
      </c>
      <c r="J1711" s="147">
        <v>0</v>
      </c>
      <c r="K1711" s="147">
        <v>0</v>
      </c>
      <c r="L1711" s="148">
        <v>0</v>
      </c>
      <c r="M1711" s="154">
        <f t="shared" si="556"/>
        <v>0</v>
      </c>
      <c r="N1711" s="155">
        <f t="shared" si="557"/>
        <v>0</v>
      </c>
      <c r="O1711" s="168">
        <f t="shared" si="561"/>
        <v>0</v>
      </c>
      <c r="P1711" s="157">
        <f t="shared" si="561"/>
        <v>0</v>
      </c>
    </row>
    <row r="1712" spans="1:16" ht="13.5" customHeight="1">
      <c r="A1712" s="474"/>
      <c r="B1712" s="127">
        <v>11</v>
      </c>
      <c r="C1712" s="367">
        <v>0</v>
      </c>
      <c r="D1712" s="367">
        <v>0</v>
      </c>
      <c r="E1712" s="367">
        <v>0</v>
      </c>
      <c r="F1712" s="367">
        <v>0</v>
      </c>
      <c r="G1712" s="367">
        <v>0</v>
      </c>
      <c r="H1712" s="367">
        <v>0</v>
      </c>
      <c r="I1712" s="367">
        <v>0</v>
      </c>
      <c r="J1712" s="367">
        <v>0</v>
      </c>
      <c r="K1712" s="367">
        <v>0</v>
      </c>
      <c r="L1712" s="368">
        <v>0</v>
      </c>
      <c r="M1712" s="154">
        <f t="shared" si="556"/>
        <v>0</v>
      </c>
      <c r="N1712" s="155">
        <f t="shared" si="557"/>
        <v>0</v>
      </c>
      <c r="O1712" s="168">
        <f t="shared" si="561"/>
        <v>0</v>
      </c>
      <c r="P1712" s="157">
        <f t="shared" si="561"/>
        <v>0</v>
      </c>
    </row>
    <row r="1713" spans="1:16" ht="13.5" customHeight="1" thickBot="1">
      <c r="A1713" s="475"/>
      <c r="B1713" s="127">
        <v>12</v>
      </c>
      <c r="C1713" s="187">
        <v>4</v>
      </c>
      <c r="D1713" s="187">
        <v>0</v>
      </c>
      <c r="E1713" s="187">
        <v>0</v>
      </c>
      <c r="F1713" s="188">
        <v>0</v>
      </c>
      <c r="G1713" s="187">
        <v>1</v>
      </c>
      <c r="H1713" s="187">
        <v>0</v>
      </c>
      <c r="I1713" s="187">
        <v>0</v>
      </c>
      <c r="J1713" s="187">
        <v>0</v>
      </c>
      <c r="K1713" s="187">
        <v>0</v>
      </c>
      <c r="L1713" s="189">
        <v>0</v>
      </c>
      <c r="M1713" s="154">
        <f t="shared" si="556"/>
        <v>5</v>
      </c>
      <c r="N1713" s="155">
        <f t="shared" si="557"/>
        <v>0</v>
      </c>
      <c r="O1713" s="168">
        <f t="shared" si="561"/>
        <v>0.16129032258064516</v>
      </c>
      <c r="P1713" s="157">
        <f t="shared" si="561"/>
        <v>0</v>
      </c>
    </row>
    <row r="1714" spans="1:16" ht="13.5" customHeight="1">
      <c r="A1714" s="473">
        <v>2019</v>
      </c>
      <c r="B1714" s="410">
        <v>1</v>
      </c>
      <c r="C1714" s="422">
        <v>23</v>
      </c>
      <c r="D1714" s="422">
        <v>57</v>
      </c>
      <c r="E1714" s="422">
        <v>0</v>
      </c>
      <c r="F1714" s="422">
        <v>0</v>
      </c>
      <c r="G1714" s="422">
        <v>1</v>
      </c>
      <c r="H1714" s="422">
        <v>1</v>
      </c>
      <c r="I1714" s="422">
        <v>1</v>
      </c>
      <c r="J1714" s="422">
        <v>0</v>
      </c>
      <c r="K1714" s="422">
        <v>0</v>
      </c>
      <c r="L1714" s="432">
        <v>0</v>
      </c>
      <c r="M1714" s="424">
        <f t="shared" si="556"/>
        <v>25</v>
      </c>
      <c r="N1714" s="425">
        <f t="shared" si="557"/>
        <v>58</v>
      </c>
      <c r="O1714" s="430">
        <f t="shared" ref="O1714:O1718" si="562">M1714/31</f>
        <v>0.80645161290322576</v>
      </c>
      <c r="P1714" s="427">
        <f t="shared" ref="P1714:P1718" si="563">N1714/31</f>
        <v>1.8709677419354838</v>
      </c>
    </row>
    <row r="1715" spans="1:16" ht="13.5" customHeight="1">
      <c r="A1715" s="474"/>
      <c r="B1715" s="127">
        <v>2</v>
      </c>
      <c r="C1715" s="147">
        <v>13</v>
      </c>
      <c r="D1715" s="147">
        <v>42</v>
      </c>
      <c r="E1715" s="147">
        <v>0</v>
      </c>
      <c r="F1715" s="147">
        <v>0</v>
      </c>
      <c r="G1715" s="147">
        <v>1</v>
      </c>
      <c r="H1715" s="147">
        <v>3</v>
      </c>
      <c r="I1715" s="147">
        <v>1</v>
      </c>
      <c r="J1715" s="147">
        <v>1</v>
      </c>
      <c r="K1715" s="147">
        <v>0</v>
      </c>
      <c r="L1715" s="174">
        <v>0</v>
      </c>
      <c r="M1715" s="149">
        <f t="shared" si="556"/>
        <v>15</v>
      </c>
      <c r="N1715" s="150">
        <f t="shared" si="557"/>
        <v>46</v>
      </c>
      <c r="O1715" s="167">
        <f t="shared" si="562"/>
        <v>0.4838709677419355</v>
      </c>
      <c r="P1715" s="152">
        <f t="shared" si="563"/>
        <v>1.4838709677419355</v>
      </c>
    </row>
    <row r="1716" spans="1:16" ht="13.5" customHeight="1">
      <c r="A1716" s="474"/>
      <c r="B1716" s="127">
        <v>3</v>
      </c>
      <c r="C1716" s="147">
        <v>0</v>
      </c>
      <c r="D1716" s="147">
        <v>1</v>
      </c>
      <c r="E1716" s="147">
        <v>0</v>
      </c>
      <c r="F1716" s="147">
        <v>0</v>
      </c>
      <c r="G1716" s="147">
        <v>0</v>
      </c>
      <c r="H1716" s="147">
        <v>0</v>
      </c>
      <c r="I1716" s="147">
        <v>0</v>
      </c>
      <c r="J1716" s="147">
        <v>0</v>
      </c>
      <c r="K1716" s="147">
        <v>0</v>
      </c>
      <c r="L1716" s="174">
        <v>0</v>
      </c>
      <c r="M1716" s="149">
        <f t="shared" si="556"/>
        <v>0</v>
      </c>
      <c r="N1716" s="150">
        <f t="shared" si="557"/>
        <v>1</v>
      </c>
      <c r="O1716" s="167">
        <f t="shared" si="562"/>
        <v>0</v>
      </c>
      <c r="P1716" s="152">
        <f t="shared" si="563"/>
        <v>3.2258064516129031E-2</v>
      </c>
    </row>
    <row r="1717" spans="1:16" ht="13.5" customHeight="1">
      <c r="A1717" s="474"/>
      <c r="B1717" s="127">
        <v>4</v>
      </c>
      <c r="C1717" s="158">
        <v>0</v>
      </c>
      <c r="D1717" s="158">
        <v>0</v>
      </c>
      <c r="E1717" s="158">
        <v>0</v>
      </c>
      <c r="F1717" s="158">
        <v>0</v>
      </c>
      <c r="G1717" s="158">
        <v>0</v>
      </c>
      <c r="H1717" s="158">
        <v>0</v>
      </c>
      <c r="I1717" s="158">
        <v>0</v>
      </c>
      <c r="J1717" s="158">
        <v>0</v>
      </c>
      <c r="K1717" s="158">
        <v>0</v>
      </c>
      <c r="L1717" s="159">
        <v>0</v>
      </c>
      <c r="M1717" s="154">
        <f t="shared" si="556"/>
        <v>0</v>
      </c>
      <c r="N1717" s="155">
        <f t="shared" si="557"/>
        <v>0</v>
      </c>
      <c r="O1717" s="168">
        <f t="shared" si="562"/>
        <v>0</v>
      </c>
      <c r="P1717" s="157">
        <f t="shared" si="563"/>
        <v>0</v>
      </c>
    </row>
    <row r="1718" spans="1:16" ht="13.5" customHeight="1">
      <c r="A1718" s="474"/>
      <c r="B1718" s="127">
        <v>5</v>
      </c>
      <c r="C1718" s="158">
        <v>0</v>
      </c>
      <c r="D1718" s="158">
        <v>0</v>
      </c>
      <c r="E1718" s="158">
        <v>0</v>
      </c>
      <c r="F1718" s="158">
        <v>0</v>
      </c>
      <c r="G1718" s="158">
        <v>0</v>
      </c>
      <c r="H1718" s="158">
        <v>0</v>
      </c>
      <c r="I1718" s="158">
        <v>0</v>
      </c>
      <c r="J1718" s="158">
        <v>0</v>
      </c>
      <c r="K1718" s="158">
        <v>0</v>
      </c>
      <c r="L1718" s="159">
        <v>0</v>
      </c>
      <c r="M1718" s="154">
        <f t="shared" si="556"/>
        <v>0</v>
      </c>
      <c r="N1718" s="155">
        <f t="shared" si="557"/>
        <v>0</v>
      </c>
      <c r="O1718" s="168">
        <f t="shared" si="562"/>
        <v>0</v>
      </c>
      <c r="P1718" s="157">
        <f t="shared" si="563"/>
        <v>0</v>
      </c>
    </row>
    <row r="1719" spans="1:16" ht="13.5" customHeight="1">
      <c r="A1719" s="474"/>
      <c r="B1719" s="127">
        <v>6</v>
      </c>
      <c r="C1719" s="158">
        <v>0</v>
      </c>
      <c r="D1719" s="158">
        <v>0</v>
      </c>
      <c r="E1719" s="158">
        <v>0</v>
      </c>
      <c r="F1719" s="158">
        <v>0</v>
      </c>
      <c r="G1719" s="158">
        <v>0</v>
      </c>
      <c r="H1719" s="158">
        <v>0</v>
      </c>
      <c r="I1719" s="158">
        <v>0</v>
      </c>
      <c r="J1719" s="158">
        <v>0</v>
      </c>
      <c r="K1719" s="158">
        <v>0</v>
      </c>
      <c r="L1719" s="158">
        <v>0</v>
      </c>
      <c r="M1719" s="154">
        <f t="shared" si="556"/>
        <v>0</v>
      </c>
      <c r="N1719" s="155">
        <f t="shared" si="557"/>
        <v>0</v>
      </c>
      <c r="O1719" s="168">
        <f>M1719/30</f>
        <v>0</v>
      </c>
      <c r="P1719" s="157">
        <f>N1719/30</f>
        <v>0</v>
      </c>
    </row>
    <row r="1720" spans="1:16" ht="13.5" customHeight="1">
      <c r="A1720" s="474"/>
      <c r="B1720" s="127">
        <v>7</v>
      </c>
      <c r="C1720" s="158">
        <v>5</v>
      </c>
      <c r="D1720" s="158">
        <v>0</v>
      </c>
      <c r="E1720" s="158">
        <v>0</v>
      </c>
      <c r="F1720" s="158">
        <v>0</v>
      </c>
      <c r="G1720" s="158">
        <v>0</v>
      </c>
      <c r="H1720" s="158">
        <v>0</v>
      </c>
      <c r="I1720" s="158">
        <v>0</v>
      </c>
      <c r="J1720" s="158">
        <v>0</v>
      </c>
      <c r="K1720" s="158">
        <v>0</v>
      </c>
      <c r="L1720" s="158">
        <v>0</v>
      </c>
      <c r="M1720" s="154">
        <f t="shared" si="556"/>
        <v>5</v>
      </c>
      <c r="N1720" s="155">
        <f t="shared" si="557"/>
        <v>0</v>
      </c>
      <c r="O1720" s="168">
        <f t="shared" ref="O1720:O1721" si="564">M1720/31</f>
        <v>0.16129032258064516</v>
      </c>
      <c r="P1720" s="157">
        <f t="shared" ref="P1720:P1721" si="565">N1720/31</f>
        <v>0</v>
      </c>
    </row>
    <row r="1721" spans="1:16" ht="13.5" customHeight="1">
      <c r="A1721" s="474"/>
      <c r="B1721" s="127">
        <v>8</v>
      </c>
      <c r="C1721" s="158">
        <v>0</v>
      </c>
      <c r="D1721" s="158">
        <v>0</v>
      </c>
      <c r="E1721" s="158">
        <v>0</v>
      </c>
      <c r="F1721" s="158">
        <v>0</v>
      </c>
      <c r="G1721" s="158">
        <v>0</v>
      </c>
      <c r="H1721" s="158">
        <v>0</v>
      </c>
      <c r="I1721" s="158">
        <v>0</v>
      </c>
      <c r="J1721" s="158">
        <v>0</v>
      </c>
      <c r="K1721" s="158">
        <v>0</v>
      </c>
      <c r="L1721" s="159">
        <v>0</v>
      </c>
      <c r="M1721" s="177">
        <f t="shared" si="556"/>
        <v>0</v>
      </c>
      <c r="N1721" s="158">
        <f t="shared" si="557"/>
        <v>0</v>
      </c>
      <c r="O1721" s="168">
        <f t="shared" si="564"/>
        <v>0</v>
      </c>
      <c r="P1721" s="157">
        <f t="shared" si="565"/>
        <v>0</v>
      </c>
    </row>
    <row r="1722" spans="1:16" ht="13.5" customHeight="1">
      <c r="A1722" s="474"/>
      <c r="B1722" s="127">
        <v>9</v>
      </c>
      <c r="C1722" s="147">
        <v>0</v>
      </c>
      <c r="D1722" s="147">
        <v>0</v>
      </c>
      <c r="E1722" s="147">
        <v>0</v>
      </c>
      <c r="F1722" s="147">
        <v>0</v>
      </c>
      <c r="G1722" s="147">
        <v>0</v>
      </c>
      <c r="H1722" s="147">
        <v>0</v>
      </c>
      <c r="I1722" s="147">
        <v>0</v>
      </c>
      <c r="J1722" s="147">
        <v>0</v>
      </c>
      <c r="K1722" s="147">
        <v>0</v>
      </c>
      <c r="L1722" s="147">
        <v>0</v>
      </c>
      <c r="M1722" s="177">
        <v>0</v>
      </c>
      <c r="N1722" s="158">
        <v>0</v>
      </c>
      <c r="O1722" s="168">
        <v>0</v>
      </c>
      <c r="P1722" s="157">
        <v>0</v>
      </c>
    </row>
    <row r="1723" spans="1:16" ht="13.5" customHeight="1">
      <c r="A1723" s="474"/>
      <c r="B1723" s="127">
        <v>10</v>
      </c>
      <c r="C1723" s="147">
        <v>70</v>
      </c>
      <c r="D1723" s="147">
        <v>0</v>
      </c>
      <c r="E1723" s="147">
        <v>0</v>
      </c>
      <c r="F1723" s="181">
        <v>0</v>
      </c>
      <c r="G1723" s="147">
        <v>0</v>
      </c>
      <c r="H1723" s="147">
        <v>0</v>
      </c>
      <c r="I1723" s="147">
        <v>0</v>
      </c>
      <c r="J1723" s="147">
        <v>0</v>
      </c>
      <c r="K1723" s="147">
        <v>0</v>
      </c>
      <c r="L1723" s="148">
        <v>0</v>
      </c>
      <c r="M1723" s="154">
        <f t="shared" ref="M1723:M1725" si="566">+C1723+E1723+G1723+I1723+K1723</f>
        <v>70</v>
      </c>
      <c r="N1723" s="155">
        <f t="shared" ref="N1723:N1725" si="567">+D1723+F1723+H1723+J1723+L1723</f>
        <v>0</v>
      </c>
      <c r="O1723" s="168">
        <f t="shared" ref="O1723:O1725" si="568">M1723/31</f>
        <v>2.2580645161290325</v>
      </c>
      <c r="P1723" s="157">
        <f t="shared" ref="P1723:P1725" si="569">N1723/31</f>
        <v>0</v>
      </c>
    </row>
    <row r="1724" spans="1:16" ht="13.5" customHeight="1">
      <c r="A1724" s="474"/>
      <c r="B1724" s="127">
        <v>11</v>
      </c>
      <c r="C1724" s="367">
        <v>0</v>
      </c>
      <c r="D1724" s="367">
        <v>0</v>
      </c>
      <c r="E1724" s="367">
        <v>0</v>
      </c>
      <c r="F1724" s="367">
        <v>0</v>
      </c>
      <c r="G1724" s="367">
        <v>0</v>
      </c>
      <c r="H1724" s="367">
        <v>0</v>
      </c>
      <c r="I1724" s="367">
        <v>0</v>
      </c>
      <c r="J1724" s="367">
        <v>0</v>
      </c>
      <c r="K1724" s="367">
        <v>0</v>
      </c>
      <c r="L1724" s="368">
        <v>0</v>
      </c>
      <c r="M1724" s="154">
        <f t="shared" si="566"/>
        <v>0</v>
      </c>
      <c r="N1724" s="155">
        <f t="shared" si="567"/>
        <v>0</v>
      </c>
      <c r="O1724" s="168">
        <f t="shared" si="568"/>
        <v>0</v>
      </c>
      <c r="P1724" s="157">
        <f t="shared" si="569"/>
        <v>0</v>
      </c>
    </row>
    <row r="1725" spans="1:16" ht="13.5" customHeight="1" thickBot="1">
      <c r="A1725" s="475"/>
      <c r="B1725" s="127">
        <v>12</v>
      </c>
      <c r="C1725" s="187">
        <v>0</v>
      </c>
      <c r="D1725" s="187">
        <v>0</v>
      </c>
      <c r="E1725" s="187">
        <v>0</v>
      </c>
      <c r="F1725" s="188">
        <v>0</v>
      </c>
      <c r="G1725" s="187">
        <v>0</v>
      </c>
      <c r="H1725" s="187">
        <v>0</v>
      </c>
      <c r="I1725" s="187">
        <v>0</v>
      </c>
      <c r="J1725" s="187">
        <v>0</v>
      </c>
      <c r="K1725" s="187">
        <v>0</v>
      </c>
      <c r="L1725" s="189">
        <v>0</v>
      </c>
      <c r="M1725" s="154">
        <f t="shared" si="566"/>
        <v>0</v>
      </c>
      <c r="N1725" s="155">
        <f t="shared" si="567"/>
        <v>0</v>
      </c>
      <c r="O1725" s="168">
        <f t="shared" si="568"/>
        <v>0</v>
      </c>
      <c r="P1725" s="157">
        <f t="shared" si="569"/>
        <v>0</v>
      </c>
    </row>
    <row r="1726" spans="1:16" ht="13.5" customHeight="1">
      <c r="A1726" s="473">
        <v>2020</v>
      </c>
      <c r="B1726" s="410">
        <v>1</v>
      </c>
      <c r="C1726" s="434">
        <v>0</v>
      </c>
      <c r="D1726" s="434">
        <v>0</v>
      </c>
      <c r="E1726" s="434">
        <v>0</v>
      </c>
      <c r="F1726" s="434">
        <v>0</v>
      </c>
      <c r="G1726" s="434">
        <v>0</v>
      </c>
      <c r="H1726" s="434">
        <v>0</v>
      </c>
      <c r="I1726" s="434">
        <v>0</v>
      </c>
      <c r="J1726" s="434">
        <v>0</v>
      </c>
      <c r="K1726" s="434">
        <v>0</v>
      </c>
      <c r="L1726" s="436">
        <v>0</v>
      </c>
      <c r="M1726" s="424">
        <f t="shared" ref="M1726:M1737" si="570">+C1726+E1726+G1726+I1726+K1726</f>
        <v>0</v>
      </c>
      <c r="N1726" s="425">
        <f t="shared" ref="N1726:N1737" si="571">+D1726+F1726+H1726+J1726+L1726</f>
        <v>0</v>
      </c>
      <c r="O1726" s="430">
        <f t="shared" si="561"/>
        <v>0</v>
      </c>
      <c r="P1726" s="427">
        <f t="shared" si="561"/>
        <v>0</v>
      </c>
    </row>
    <row r="1727" spans="1:16" ht="13.5" customHeight="1">
      <c r="A1727" s="474"/>
      <c r="B1727" s="127">
        <v>2</v>
      </c>
      <c r="C1727" s="147">
        <v>0</v>
      </c>
      <c r="D1727" s="147">
        <v>0</v>
      </c>
      <c r="E1727" s="147">
        <v>0</v>
      </c>
      <c r="F1727" s="147">
        <v>0</v>
      </c>
      <c r="G1727" s="147">
        <v>0</v>
      </c>
      <c r="H1727" s="147">
        <v>0</v>
      </c>
      <c r="I1727" s="147">
        <v>0</v>
      </c>
      <c r="J1727" s="147">
        <v>0</v>
      </c>
      <c r="K1727" s="147">
        <v>0</v>
      </c>
      <c r="L1727" s="148">
        <v>0</v>
      </c>
      <c r="M1727" s="149">
        <f t="shared" si="570"/>
        <v>0</v>
      </c>
      <c r="N1727" s="150">
        <f t="shared" si="571"/>
        <v>0</v>
      </c>
      <c r="O1727" s="167">
        <f t="shared" si="561"/>
        <v>0</v>
      </c>
      <c r="P1727" s="152">
        <f t="shared" si="561"/>
        <v>0</v>
      </c>
    </row>
    <row r="1728" spans="1:16" ht="13.5" customHeight="1">
      <c r="A1728" s="474"/>
      <c r="B1728" s="127">
        <v>3</v>
      </c>
      <c r="C1728" s="147">
        <v>0</v>
      </c>
      <c r="D1728" s="147">
        <v>0</v>
      </c>
      <c r="E1728" s="147">
        <v>0</v>
      </c>
      <c r="F1728" s="147">
        <v>0</v>
      </c>
      <c r="G1728" s="147">
        <v>0</v>
      </c>
      <c r="H1728" s="147">
        <v>0</v>
      </c>
      <c r="I1728" s="147">
        <v>0</v>
      </c>
      <c r="J1728" s="147">
        <v>0</v>
      </c>
      <c r="K1728" s="147">
        <v>0</v>
      </c>
      <c r="L1728" s="148">
        <v>0</v>
      </c>
      <c r="M1728" s="149">
        <f t="shared" si="570"/>
        <v>0</v>
      </c>
      <c r="N1728" s="150">
        <f t="shared" si="571"/>
        <v>0</v>
      </c>
      <c r="O1728" s="167">
        <f t="shared" si="561"/>
        <v>0</v>
      </c>
      <c r="P1728" s="152">
        <f t="shared" si="561"/>
        <v>0</v>
      </c>
    </row>
    <row r="1729" spans="1:16" ht="13.5" customHeight="1">
      <c r="A1729" s="474"/>
      <c r="B1729" s="127">
        <v>4</v>
      </c>
      <c r="C1729" s="147">
        <v>0</v>
      </c>
      <c r="D1729" s="147">
        <v>0</v>
      </c>
      <c r="E1729" s="147">
        <v>0</v>
      </c>
      <c r="F1729" s="147">
        <v>0</v>
      </c>
      <c r="G1729" s="147">
        <v>0</v>
      </c>
      <c r="H1729" s="147">
        <v>0</v>
      </c>
      <c r="I1729" s="147">
        <v>0</v>
      </c>
      <c r="J1729" s="147">
        <v>0</v>
      </c>
      <c r="K1729" s="147">
        <v>0</v>
      </c>
      <c r="L1729" s="148">
        <v>0</v>
      </c>
      <c r="M1729" s="154">
        <f t="shared" si="570"/>
        <v>0</v>
      </c>
      <c r="N1729" s="155">
        <f t="shared" si="571"/>
        <v>0</v>
      </c>
      <c r="O1729" s="168">
        <f t="shared" si="561"/>
        <v>0</v>
      </c>
      <c r="P1729" s="157">
        <f t="shared" si="561"/>
        <v>0</v>
      </c>
    </row>
    <row r="1730" spans="1:16" ht="13.5" customHeight="1">
      <c r="A1730" s="474"/>
      <c r="B1730" s="127">
        <v>5</v>
      </c>
      <c r="C1730" s="147">
        <v>0</v>
      </c>
      <c r="D1730" s="147">
        <v>0</v>
      </c>
      <c r="E1730" s="147">
        <v>0</v>
      </c>
      <c r="F1730" s="147">
        <v>0</v>
      </c>
      <c r="G1730" s="147">
        <v>0</v>
      </c>
      <c r="H1730" s="147">
        <v>0</v>
      </c>
      <c r="I1730" s="147">
        <v>0</v>
      </c>
      <c r="J1730" s="147">
        <v>0</v>
      </c>
      <c r="K1730" s="147">
        <v>0</v>
      </c>
      <c r="L1730" s="148">
        <v>0</v>
      </c>
      <c r="M1730" s="154">
        <f t="shared" si="570"/>
        <v>0</v>
      </c>
      <c r="N1730" s="155">
        <f t="shared" si="571"/>
        <v>0</v>
      </c>
      <c r="O1730" s="168">
        <f t="shared" si="561"/>
        <v>0</v>
      </c>
      <c r="P1730" s="157">
        <f t="shared" si="561"/>
        <v>0</v>
      </c>
    </row>
    <row r="1731" spans="1:16" ht="13.5" customHeight="1">
      <c r="A1731" s="474"/>
      <c r="B1731" s="127">
        <v>6</v>
      </c>
      <c r="C1731" s="147">
        <f>集計用!C44</f>
        <v>0</v>
      </c>
      <c r="D1731" s="147">
        <f>集計用!S391</f>
        <v>0</v>
      </c>
      <c r="E1731" s="147">
        <f>集計用!E44</f>
        <v>0</v>
      </c>
      <c r="F1731" s="147">
        <f>集計用!U44</f>
        <v>0</v>
      </c>
      <c r="G1731" s="147">
        <f>集計用!G44</f>
        <v>0</v>
      </c>
      <c r="H1731" s="147">
        <f>集計用!W44</f>
        <v>0</v>
      </c>
      <c r="I1731" s="147">
        <f>集計用!I44</f>
        <v>0</v>
      </c>
      <c r="J1731" s="147">
        <f>集計用!Y44</f>
        <v>0</v>
      </c>
      <c r="K1731" s="147">
        <f>集計用!K44</f>
        <v>0</v>
      </c>
      <c r="L1731" s="148">
        <f>集計用!AA44</f>
        <v>0</v>
      </c>
      <c r="M1731" s="154">
        <f t="shared" si="570"/>
        <v>0</v>
      </c>
      <c r="N1731" s="155">
        <f t="shared" si="571"/>
        <v>0</v>
      </c>
      <c r="O1731" s="168">
        <f>M1731/30</f>
        <v>0</v>
      </c>
      <c r="P1731" s="157">
        <f>N1731/30</f>
        <v>0</v>
      </c>
    </row>
    <row r="1732" spans="1:16" ht="13.5" customHeight="1">
      <c r="A1732" s="474"/>
      <c r="B1732" s="127">
        <v>7</v>
      </c>
      <c r="C1732" s="158"/>
      <c r="D1732" s="158"/>
      <c r="E1732" s="158"/>
      <c r="F1732" s="158"/>
      <c r="G1732" s="158"/>
      <c r="H1732" s="158"/>
      <c r="I1732" s="158"/>
      <c r="J1732" s="158"/>
      <c r="K1732" s="158"/>
      <c r="L1732" s="158"/>
      <c r="M1732" s="154">
        <f t="shared" si="570"/>
        <v>0</v>
      </c>
      <c r="N1732" s="155">
        <f t="shared" si="571"/>
        <v>0</v>
      </c>
      <c r="O1732" s="168">
        <f t="shared" ref="O1732:O1737" si="572">M1732/31</f>
        <v>0</v>
      </c>
      <c r="P1732" s="157">
        <f t="shared" ref="P1732:P1737" si="573">N1732/31</f>
        <v>0</v>
      </c>
    </row>
    <row r="1733" spans="1:16" ht="13.5" customHeight="1">
      <c r="A1733" s="474"/>
      <c r="B1733" s="127">
        <v>8</v>
      </c>
      <c r="C1733" s="158"/>
      <c r="D1733" s="158"/>
      <c r="E1733" s="158"/>
      <c r="F1733" s="158"/>
      <c r="G1733" s="158"/>
      <c r="H1733" s="158"/>
      <c r="I1733" s="158"/>
      <c r="J1733" s="158"/>
      <c r="K1733" s="158"/>
      <c r="L1733" s="159"/>
      <c r="M1733" s="177">
        <f t="shared" si="570"/>
        <v>0</v>
      </c>
      <c r="N1733" s="158">
        <f t="shared" si="571"/>
        <v>0</v>
      </c>
      <c r="O1733" s="168">
        <f t="shared" si="572"/>
        <v>0</v>
      </c>
      <c r="P1733" s="157">
        <f t="shared" si="573"/>
        <v>0</v>
      </c>
    </row>
    <row r="1734" spans="1:16" ht="13.5" customHeight="1">
      <c r="A1734" s="474"/>
      <c r="B1734" s="127">
        <v>9</v>
      </c>
      <c r="C1734" s="147"/>
      <c r="D1734" s="147"/>
      <c r="E1734" s="147"/>
      <c r="F1734" s="147"/>
      <c r="G1734" s="147"/>
      <c r="H1734" s="147"/>
      <c r="I1734" s="147"/>
      <c r="J1734" s="147"/>
      <c r="K1734" s="147"/>
      <c r="L1734" s="147"/>
      <c r="M1734" s="177">
        <f t="shared" ref="M1734" si="574">+C1734+E1734+G1734+I1734+K1734</f>
        <v>0</v>
      </c>
      <c r="N1734" s="158">
        <f t="shared" ref="N1734" si="575">+D1734+F1734+H1734+J1734+L1734</f>
        <v>0</v>
      </c>
      <c r="O1734" s="168">
        <f>M1734/30</f>
        <v>0</v>
      </c>
      <c r="P1734" s="157">
        <f>N1734/30</f>
        <v>0</v>
      </c>
    </row>
    <row r="1735" spans="1:16" ht="13.5" customHeight="1">
      <c r="A1735" s="474"/>
      <c r="B1735" s="127">
        <v>10</v>
      </c>
      <c r="C1735" s="147"/>
      <c r="D1735" s="147"/>
      <c r="E1735" s="147"/>
      <c r="F1735" s="181"/>
      <c r="G1735" s="147"/>
      <c r="H1735" s="147"/>
      <c r="I1735" s="147"/>
      <c r="J1735" s="147"/>
      <c r="K1735" s="147"/>
      <c r="L1735" s="148"/>
      <c r="M1735" s="154">
        <f t="shared" ref="M1735" si="576">+C1735+E1735+G1735+I1735+K1735</f>
        <v>0</v>
      </c>
      <c r="N1735" s="155">
        <f t="shared" ref="N1735" si="577">+D1735+F1735+H1735+J1735+L1735</f>
        <v>0</v>
      </c>
      <c r="O1735" s="168">
        <f t="shared" ref="O1735" si="578">M1735/31</f>
        <v>0</v>
      </c>
      <c r="P1735" s="157">
        <f t="shared" ref="P1735" si="579">N1735/31</f>
        <v>0</v>
      </c>
    </row>
    <row r="1736" spans="1:16" ht="13.5" customHeight="1">
      <c r="A1736" s="474"/>
      <c r="B1736" s="127">
        <v>11</v>
      </c>
      <c r="C1736" s="367"/>
      <c r="D1736" s="367"/>
      <c r="E1736" s="367"/>
      <c r="F1736" s="367"/>
      <c r="G1736" s="367"/>
      <c r="H1736" s="367"/>
      <c r="I1736" s="367"/>
      <c r="J1736" s="367"/>
      <c r="K1736" s="367"/>
      <c r="L1736" s="368"/>
      <c r="M1736" s="154">
        <f t="shared" si="570"/>
        <v>0</v>
      </c>
      <c r="N1736" s="155">
        <f t="shared" si="571"/>
        <v>0</v>
      </c>
      <c r="O1736" s="168">
        <f t="shared" si="572"/>
        <v>0</v>
      </c>
      <c r="P1736" s="157">
        <f t="shared" si="573"/>
        <v>0</v>
      </c>
    </row>
    <row r="1737" spans="1:16" ht="13.5" customHeight="1" thickBot="1">
      <c r="A1737" s="475"/>
      <c r="B1737" s="127">
        <v>12</v>
      </c>
      <c r="C1737" s="187"/>
      <c r="D1737" s="187"/>
      <c r="E1737" s="187"/>
      <c r="F1737" s="188"/>
      <c r="G1737" s="187"/>
      <c r="H1737" s="187"/>
      <c r="I1737" s="187"/>
      <c r="J1737" s="187"/>
      <c r="K1737" s="187"/>
      <c r="L1737" s="189"/>
      <c r="M1737" s="154">
        <f t="shared" si="570"/>
        <v>0</v>
      </c>
      <c r="N1737" s="155">
        <f t="shared" si="571"/>
        <v>0</v>
      </c>
      <c r="O1737" s="168">
        <f t="shared" si="572"/>
        <v>0</v>
      </c>
      <c r="P1737" s="157">
        <f t="shared" si="573"/>
        <v>0</v>
      </c>
    </row>
    <row r="1738" spans="1:16" ht="18.75" customHeight="1" thickBot="1">
      <c r="A1738" s="180"/>
      <c r="B1738" s="160" t="s">
        <v>5</v>
      </c>
      <c r="C1738" s="161">
        <f>SUM(C1690:C1737)</f>
        <v>160</v>
      </c>
      <c r="D1738" s="161">
        <f t="shared" ref="D1738:K1738" si="580">SUM(D1690:D1737)</f>
        <v>184</v>
      </c>
      <c r="E1738" s="161">
        <f t="shared" si="580"/>
        <v>0</v>
      </c>
      <c r="F1738" s="161">
        <f t="shared" si="580"/>
        <v>0</v>
      </c>
      <c r="G1738" s="161">
        <f t="shared" si="580"/>
        <v>3</v>
      </c>
      <c r="H1738" s="161">
        <f t="shared" si="580"/>
        <v>4</v>
      </c>
      <c r="I1738" s="161">
        <f t="shared" si="580"/>
        <v>2</v>
      </c>
      <c r="J1738" s="161">
        <f t="shared" si="580"/>
        <v>1</v>
      </c>
      <c r="K1738" s="161">
        <f t="shared" si="580"/>
        <v>0</v>
      </c>
      <c r="L1738" s="161">
        <f>SUM(L1690:L1737)</f>
        <v>0</v>
      </c>
      <c r="M1738" s="162">
        <f>SUM(M1690:M1737)</f>
        <v>165</v>
      </c>
      <c r="N1738" s="161">
        <f>SUM(N1690:N1737)</f>
        <v>189</v>
      </c>
      <c r="O1738" s="161">
        <f>SUM(O1690:O1737)</f>
        <v>5.32258064516129</v>
      </c>
      <c r="P1738" s="161">
        <f>SUM(P1690:P1737)</f>
        <v>6.096774193548387</v>
      </c>
    </row>
    <row r="1740" spans="1:16" ht="11.25" customHeight="1">
      <c r="B1740" s="467" t="s">
        <v>104</v>
      </c>
      <c r="C1740" s="469" t="s">
        <v>29</v>
      </c>
      <c r="D1740" s="470"/>
      <c r="E1740" s="469" t="s">
        <v>30</v>
      </c>
      <c r="F1740" s="470"/>
      <c r="G1740" s="469" t="s">
        <v>31</v>
      </c>
      <c r="H1740" s="470"/>
      <c r="I1740" s="469" t="s">
        <v>58</v>
      </c>
      <c r="J1740" s="470"/>
      <c r="K1740" s="469" t="s">
        <v>57</v>
      </c>
      <c r="L1740" s="471"/>
      <c r="M1740" s="470" t="s">
        <v>5</v>
      </c>
      <c r="N1740" s="472"/>
      <c r="O1740" s="472" t="s">
        <v>33</v>
      </c>
      <c r="P1740" s="472"/>
    </row>
    <row r="1741" spans="1:16" ht="11.25" customHeight="1" thickBot="1">
      <c r="B1741" s="468"/>
      <c r="C1741" s="13" t="s">
        <v>34</v>
      </c>
      <c r="D1741" s="13" t="s">
        <v>35</v>
      </c>
      <c r="E1741" s="13" t="s">
        <v>34</v>
      </c>
      <c r="F1741" s="13" t="s">
        <v>35</v>
      </c>
      <c r="G1741" s="13" t="s">
        <v>34</v>
      </c>
      <c r="H1741" s="13" t="s">
        <v>35</v>
      </c>
      <c r="I1741" s="13" t="s">
        <v>59</v>
      </c>
      <c r="J1741" s="13" t="s">
        <v>60</v>
      </c>
      <c r="K1741" s="13" t="s">
        <v>34</v>
      </c>
      <c r="L1741" s="14" t="s">
        <v>35</v>
      </c>
      <c r="M1741" s="15" t="s">
        <v>34</v>
      </c>
      <c r="N1741" s="13" t="s">
        <v>35</v>
      </c>
      <c r="O1741" s="163" t="s">
        <v>34</v>
      </c>
      <c r="P1741" s="163" t="s">
        <v>35</v>
      </c>
    </row>
    <row r="1742" spans="1:16" ht="13.5" customHeight="1">
      <c r="A1742" s="473">
        <v>2017</v>
      </c>
      <c r="B1742" s="410">
        <v>1</v>
      </c>
      <c r="C1742" s="422"/>
      <c r="D1742" s="422"/>
      <c r="E1742" s="422"/>
      <c r="F1742" s="422"/>
      <c r="G1742" s="422"/>
      <c r="H1742" s="422"/>
      <c r="I1742" s="422"/>
      <c r="J1742" s="422"/>
      <c r="K1742" s="422"/>
      <c r="L1742" s="432"/>
      <c r="M1742" s="424">
        <f t="shared" ref="M1742:M1773" si="581">+C1742+E1742+G1742+I1742+K1742</f>
        <v>0</v>
      </c>
      <c r="N1742" s="425">
        <f t="shared" ref="N1742:N1773" si="582">+D1742+F1742+H1742+J1742+L1742</f>
        <v>0</v>
      </c>
      <c r="O1742" s="430">
        <f t="shared" ref="O1742:P1746" si="583">M1742/31</f>
        <v>0</v>
      </c>
      <c r="P1742" s="427">
        <f t="shared" si="583"/>
        <v>0</v>
      </c>
    </row>
    <row r="1743" spans="1:16" ht="13.5" customHeight="1">
      <c r="A1743" s="474"/>
      <c r="B1743" s="127">
        <v>2</v>
      </c>
      <c r="C1743" s="147"/>
      <c r="D1743" s="147"/>
      <c r="E1743" s="147"/>
      <c r="F1743" s="147"/>
      <c r="G1743" s="147"/>
      <c r="H1743" s="147"/>
      <c r="I1743" s="147"/>
      <c r="J1743" s="147"/>
      <c r="K1743" s="147"/>
      <c r="L1743" s="174"/>
      <c r="M1743" s="149">
        <f t="shared" si="581"/>
        <v>0</v>
      </c>
      <c r="N1743" s="150">
        <f t="shared" si="582"/>
        <v>0</v>
      </c>
      <c r="O1743" s="167">
        <f t="shared" si="583"/>
        <v>0</v>
      </c>
      <c r="P1743" s="152">
        <f t="shared" si="583"/>
        <v>0</v>
      </c>
    </row>
    <row r="1744" spans="1:16" ht="13.5" customHeight="1">
      <c r="A1744" s="474"/>
      <c r="B1744" s="127">
        <v>3</v>
      </c>
      <c r="C1744" s="147"/>
      <c r="D1744" s="147"/>
      <c r="E1744" s="147"/>
      <c r="F1744" s="147"/>
      <c r="G1744" s="147"/>
      <c r="H1744" s="147"/>
      <c r="I1744" s="147"/>
      <c r="J1744" s="147"/>
      <c r="K1744" s="147"/>
      <c r="L1744" s="174"/>
      <c r="M1744" s="149">
        <f t="shared" si="581"/>
        <v>0</v>
      </c>
      <c r="N1744" s="150">
        <f t="shared" si="582"/>
        <v>0</v>
      </c>
      <c r="O1744" s="167">
        <f t="shared" si="583"/>
        <v>0</v>
      </c>
      <c r="P1744" s="152">
        <f t="shared" si="583"/>
        <v>0</v>
      </c>
    </row>
    <row r="1745" spans="1:16" ht="13.5" customHeight="1">
      <c r="A1745" s="474"/>
      <c r="B1745" s="127">
        <v>4</v>
      </c>
      <c r="C1745" s="158"/>
      <c r="D1745" s="158"/>
      <c r="E1745" s="158"/>
      <c r="F1745" s="158"/>
      <c r="G1745" s="158"/>
      <c r="H1745" s="158"/>
      <c r="I1745" s="158"/>
      <c r="J1745" s="158"/>
      <c r="K1745" s="158"/>
      <c r="L1745" s="159"/>
      <c r="M1745" s="154">
        <f t="shared" si="581"/>
        <v>0</v>
      </c>
      <c r="N1745" s="155">
        <f t="shared" si="582"/>
        <v>0</v>
      </c>
      <c r="O1745" s="168">
        <f t="shared" si="583"/>
        <v>0</v>
      </c>
      <c r="P1745" s="157">
        <f t="shared" si="583"/>
        <v>0</v>
      </c>
    </row>
    <row r="1746" spans="1:16" ht="13.5" customHeight="1">
      <c r="A1746" s="474"/>
      <c r="B1746" s="127">
        <v>5</v>
      </c>
      <c r="C1746" s="158"/>
      <c r="D1746" s="158"/>
      <c r="E1746" s="158"/>
      <c r="F1746" s="158"/>
      <c r="G1746" s="158"/>
      <c r="H1746" s="158"/>
      <c r="I1746" s="158"/>
      <c r="J1746" s="158"/>
      <c r="K1746" s="158"/>
      <c r="L1746" s="159"/>
      <c r="M1746" s="154">
        <f t="shared" si="581"/>
        <v>0</v>
      </c>
      <c r="N1746" s="155">
        <f t="shared" si="582"/>
        <v>0</v>
      </c>
      <c r="O1746" s="168">
        <f t="shared" si="583"/>
        <v>0</v>
      </c>
      <c r="P1746" s="157">
        <f t="shared" si="583"/>
        <v>0</v>
      </c>
    </row>
    <row r="1747" spans="1:16" ht="13.5" customHeight="1">
      <c r="A1747" s="474"/>
      <c r="B1747" s="127">
        <v>6</v>
      </c>
      <c r="C1747" s="158"/>
      <c r="D1747" s="158"/>
      <c r="E1747" s="158"/>
      <c r="F1747" s="158"/>
      <c r="G1747" s="158"/>
      <c r="H1747" s="158"/>
      <c r="I1747" s="158"/>
      <c r="J1747" s="158"/>
      <c r="K1747" s="158"/>
      <c r="L1747" s="158"/>
      <c r="M1747" s="154">
        <f t="shared" si="581"/>
        <v>0</v>
      </c>
      <c r="N1747" s="155">
        <f t="shared" si="582"/>
        <v>0</v>
      </c>
      <c r="O1747" s="168">
        <f>M1747/30</f>
        <v>0</v>
      </c>
      <c r="P1747" s="157">
        <f>N1747/30</f>
        <v>0</v>
      </c>
    </row>
    <row r="1748" spans="1:16" ht="13.5" customHeight="1">
      <c r="A1748" s="474"/>
      <c r="B1748" s="127">
        <v>7</v>
      </c>
      <c r="C1748" s="158"/>
      <c r="D1748" s="158"/>
      <c r="E1748" s="158"/>
      <c r="F1748" s="158"/>
      <c r="G1748" s="158"/>
      <c r="H1748" s="158"/>
      <c r="I1748" s="158"/>
      <c r="J1748" s="158"/>
      <c r="K1748" s="158"/>
      <c r="L1748" s="158"/>
      <c r="M1748" s="154">
        <f t="shared" si="581"/>
        <v>0</v>
      </c>
      <c r="N1748" s="155">
        <f t="shared" si="582"/>
        <v>0</v>
      </c>
      <c r="O1748" s="168">
        <f t="shared" ref="O1748:O1758" si="584">M1748/31</f>
        <v>0</v>
      </c>
      <c r="P1748" s="157">
        <f t="shared" ref="P1748:P1758" si="585">N1748/31</f>
        <v>0</v>
      </c>
    </row>
    <row r="1749" spans="1:16" ht="13.5" customHeight="1">
      <c r="A1749" s="474"/>
      <c r="B1749" s="127">
        <v>8</v>
      </c>
      <c r="C1749" s="158"/>
      <c r="D1749" s="158"/>
      <c r="E1749" s="158"/>
      <c r="F1749" s="158"/>
      <c r="G1749" s="158"/>
      <c r="H1749" s="158"/>
      <c r="I1749" s="158"/>
      <c r="J1749" s="158"/>
      <c r="K1749" s="158"/>
      <c r="L1749" s="159"/>
      <c r="M1749" s="177">
        <f t="shared" si="581"/>
        <v>0</v>
      </c>
      <c r="N1749" s="158">
        <f t="shared" si="582"/>
        <v>0</v>
      </c>
      <c r="O1749" s="168">
        <f t="shared" si="584"/>
        <v>0</v>
      </c>
      <c r="P1749" s="157">
        <f t="shared" si="585"/>
        <v>0</v>
      </c>
    </row>
    <row r="1750" spans="1:16" ht="13.5" customHeight="1">
      <c r="A1750" s="474"/>
      <c r="B1750" s="127">
        <v>9</v>
      </c>
      <c r="C1750" s="147"/>
      <c r="D1750" s="147"/>
      <c r="E1750" s="147"/>
      <c r="F1750" s="147"/>
      <c r="G1750" s="147"/>
      <c r="H1750" s="147"/>
      <c r="I1750" s="147"/>
      <c r="J1750" s="147"/>
      <c r="K1750" s="147"/>
      <c r="L1750" s="147"/>
      <c r="M1750" s="177">
        <f t="shared" si="581"/>
        <v>0</v>
      </c>
      <c r="N1750" s="158">
        <f t="shared" si="582"/>
        <v>0</v>
      </c>
      <c r="O1750" s="168">
        <f t="shared" si="584"/>
        <v>0</v>
      </c>
      <c r="P1750" s="157">
        <f t="shared" si="585"/>
        <v>0</v>
      </c>
    </row>
    <row r="1751" spans="1:16" ht="13.5" customHeight="1">
      <c r="A1751" s="474"/>
      <c r="B1751" s="127">
        <v>10</v>
      </c>
      <c r="C1751" s="147"/>
      <c r="D1751" s="147"/>
      <c r="E1751" s="147"/>
      <c r="F1751" s="181"/>
      <c r="G1751" s="147"/>
      <c r="H1751" s="147"/>
      <c r="I1751" s="147"/>
      <c r="J1751" s="147"/>
      <c r="K1751" s="147"/>
      <c r="L1751" s="148"/>
      <c r="M1751" s="154">
        <f t="shared" si="581"/>
        <v>0</v>
      </c>
      <c r="N1751" s="155">
        <f t="shared" si="582"/>
        <v>0</v>
      </c>
      <c r="O1751" s="168">
        <f t="shared" si="584"/>
        <v>0</v>
      </c>
      <c r="P1751" s="157">
        <f t="shared" si="585"/>
        <v>0</v>
      </c>
    </row>
    <row r="1752" spans="1:16" ht="13.5" customHeight="1">
      <c r="A1752" s="474"/>
      <c r="B1752" s="127">
        <v>11</v>
      </c>
      <c r="C1752" s="367"/>
      <c r="D1752" s="367"/>
      <c r="E1752" s="367"/>
      <c r="F1752" s="367"/>
      <c r="G1752" s="367"/>
      <c r="H1752" s="367"/>
      <c r="I1752" s="367"/>
      <c r="J1752" s="367"/>
      <c r="K1752" s="367"/>
      <c r="L1752" s="368"/>
      <c r="M1752" s="154">
        <f t="shared" si="581"/>
        <v>0</v>
      </c>
      <c r="N1752" s="155">
        <f t="shared" si="582"/>
        <v>0</v>
      </c>
      <c r="O1752" s="168">
        <f t="shared" si="584"/>
        <v>0</v>
      </c>
      <c r="P1752" s="157">
        <f t="shared" si="585"/>
        <v>0</v>
      </c>
    </row>
    <row r="1753" spans="1:16" ht="13.5" customHeight="1" thickBot="1">
      <c r="A1753" s="475"/>
      <c r="B1753" s="127">
        <v>12</v>
      </c>
      <c r="C1753" s="187">
        <v>5</v>
      </c>
      <c r="D1753" s="187">
        <v>9</v>
      </c>
      <c r="E1753" s="187">
        <v>0</v>
      </c>
      <c r="F1753" s="188">
        <v>0</v>
      </c>
      <c r="G1753" s="187">
        <v>0</v>
      </c>
      <c r="H1753" s="187">
        <v>0</v>
      </c>
      <c r="I1753" s="187">
        <v>0</v>
      </c>
      <c r="J1753" s="187">
        <v>0</v>
      </c>
      <c r="K1753" s="187">
        <v>0</v>
      </c>
      <c r="L1753" s="189">
        <v>0</v>
      </c>
      <c r="M1753" s="154">
        <f t="shared" si="581"/>
        <v>5</v>
      </c>
      <c r="N1753" s="155">
        <f t="shared" si="582"/>
        <v>9</v>
      </c>
      <c r="O1753" s="168">
        <f t="shared" si="584"/>
        <v>0.16129032258064516</v>
      </c>
      <c r="P1753" s="157">
        <f t="shared" si="585"/>
        <v>0.29032258064516131</v>
      </c>
    </row>
    <row r="1754" spans="1:16" ht="13.5" customHeight="1">
      <c r="A1754" s="473">
        <v>2018</v>
      </c>
      <c r="B1754" s="410">
        <v>1</v>
      </c>
      <c r="C1754" s="422">
        <v>7</v>
      </c>
      <c r="D1754" s="422">
        <v>21</v>
      </c>
      <c r="E1754" s="422">
        <v>0</v>
      </c>
      <c r="F1754" s="422">
        <v>0</v>
      </c>
      <c r="G1754" s="422">
        <v>0</v>
      </c>
      <c r="H1754" s="422">
        <v>0</v>
      </c>
      <c r="I1754" s="422">
        <v>0</v>
      </c>
      <c r="J1754" s="422">
        <v>0</v>
      </c>
      <c r="K1754" s="422">
        <v>0</v>
      </c>
      <c r="L1754" s="432">
        <v>0</v>
      </c>
      <c r="M1754" s="424">
        <f t="shared" si="581"/>
        <v>7</v>
      </c>
      <c r="N1754" s="425">
        <f t="shared" si="582"/>
        <v>21</v>
      </c>
      <c r="O1754" s="430">
        <f t="shared" si="584"/>
        <v>0.22580645161290322</v>
      </c>
      <c r="P1754" s="427">
        <f t="shared" si="585"/>
        <v>0.67741935483870963</v>
      </c>
    </row>
    <row r="1755" spans="1:16" ht="13.5" customHeight="1">
      <c r="A1755" s="474"/>
      <c r="B1755" s="127">
        <v>2</v>
      </c>
      <c r="C1755" s="147">
        <v>11</v>
      </c>
      <c r="D1755" s="147">
        <v>25</v>
      </c>
      <c r="E1755" s="147">
        <v>0</v>
      </c>
      <c r="F1755" s="147">
        <v>0</v>
      </c>
      <c r="G1755" s="147">
        <v>0</v>
      </c>
      <c r="H1755" s="147">
        <v>0</v>
      </c>
      <c r="I1755" s="147">
        <v>0</v>
      </c>
      <c r="J1755" s="147">
        <v>0</v>
      </c>
      <c r="K1755" s="147">
        <v>0</v>
      </c>
      <c r="L1755" s="174">
        <v>0</v>
      </c>
      <c r="M1755" s="149">
        <f t="shared" si="581"/>
        <v>11</v>
      </c>
      <c r="N1755" s="150">
        <f t="shared" si="582"/>
        <v>25</v>
      </c>
      <c r="O1755" s="167">
        <f t="shared" si="584"/>
        <v>0.35483870967741937</v>
      </c>
      <c r="P1755" s="152">
        <f t="shared" si="585"/>
        <v>0.80645161290322576</v>
      </c>
    </row>
    <row r="1756" spans="1:16" ht="13.5" customHeight="1">
      <c r="A1756" s="474"/>
      <c r="B1756" s="127">
        <v>3</v>
      </c>
      <c r="C1756" s="147">
        <v>3</v>
      </c>
      <c r="D1756" s="147">
        <v>10</v>
      </c>
      <c r="E1756" s="147">
        <v>0</v>
      </c>
      <c r="F1756" s="147">
        <v>0</v>
      </c>
      <c r="G1756" s="147">
        <v>0</v>
      </c>
      <c r="H1756" s="147">
        <v>0</v>
      </c>
      <c r="I1756" s="147">
        <v>0</v>
      </c>
      <c r="J1756" s="147">
        <v>0</v>
      </c>
      <c r="K1756" s="147">
        <v>0</v>
      </c>
      <c r="L1756" s="174">
        <v>0</v>
      </c>
      <c r="M1756" s="149">
        <f t="shared" si="581"/>
        <v>3</v>
      </c>
      <c r="N1756" s="150">
        <f t="shared" si="582"/>
        <v>10</v>
      </c>
      <c r="O1756" s="167">
        <f t="shared" si="584"/>
        <v>9.6774193548387094E-2</v>
      </c>
      <c r="P1756" s="152">
        <f t="shared" si="585"/>
        <v>0.32258064516129031</v>
      </c>
    </row>
    <row r="1757" spans="1:16" ht="13.5" customHeight="1">
      <c r="A1757" s="474"/>
      <c r="B1757" s="127">
        <v>4</v>
      </c>
      <c r="C1757" s="158">
        <v>0</v>
      </c>
      <c r="D1757" s="158">
        <v>0</v>
      </c>
      <c r="E1757" s="158">
        <v>0</v>
      </c>
      <c r="F1757" s="158">
        <v>0</v>
      </c>
      <c r="G1757" s="158">
        <v>0</v>
      </c>
      <c r="H1757" s="158">
        <v>0</v>
      </c>
      <c r="I1757" s="158">
        <v>0</v>
      </c>
      <c r="J1757" s="158">
        <v>0</v>
      </c>
      <c r="K1757" s="158">
        <v>0</v>
      </c>
      <c r="L1757" s="159">
        <v>0</v>
      </c>
      <c r="M1757" s="154">
        <f t="shared" si="581"/>
        <v>0</v>
      </c>
      <c r="N1757" s="155">
        <f t="shared" si="582"/>
        <v>0</v>
      </c>
      <c r="O1757" s="168">
        <f t="shared" si="584"/>
        <v>0</v>
      </c>
      <c r="P1757" s="157">
        <f t="shared" si="585"/>
        <v>0</v>
      </c>
    </row>
    <row r="1758" spans="1:16" ht="13.5" customHeight="1">
      <c r="A1758" s="474"/>
      <c r="B1758" s="127">
        <v>5</v>
      </c>
      <c r="C1758" s="158">
        <v>0</v>
      </c>
      <c r="D1758" s="158">
        <v>0</v>
      </c>
      <c r="E1758" s="158">
        <v>0</v>
      </c>
      <c r="F1758" s="158">
        <v>0</v>
      </c>
      <c r="G1758" s="158">
        <v>0</v>
      </c>
      <c r="H1758" s="158">
        <v>0</v>
      </c>
      <c r="I1758" s="158">
        <v>0</v>
      </c>
      <c r="J1758" s="158">
        <v>0</v>
      </c>
      <c r="K1758" s="158">
        <v>0</v>
      </c>
      <c r="L1758" s="159">
        <v>0</v>
      </c>
      <c r="M1758" s="154">
        <f t="shared" si="581"/>
        <v>0</v>
      </c>
      <c r="N1758" s="155">
        <f t="shared" si="582"/>
        <v>0</v>
      </c>
      <c r="O1758" s="168">
        <f t="shared" si="584"/>
        <v>0</v>
      </c>
      <c r="P1758" s="157">
        <f t="shared" si="585"/>
        <v>0</v>
      </c>
    </row>
    <row r="1759" spans="1:16" ht="13.5" customHeight="1">
      <c r="A1759" s="474"/>
      <c r="B1759" s="127">
        <v>6</v>
      </c>
      <c r="C1759" s="158">
        <v>0</v>
      </c>
      <c r="D1759" s="158">
        <v>0</v>
      </c>
      <c r="E1759" s="158">
        <v>0</v>
      </c>
      <c r="F1759" s="158">
        <v>0</v>
      </c>
      <c r="G1759" s="158">
        <v>0</v>
      </c>
      <c r="H1759" s="158">
        <v>0</v>
      </c>
      <c r="I1759" s="158">
        <v>0</v>
      </c>
      <c r="J1759" s="158">
        <v>0</v>
      </c>
      <c r="K1759" s="158">
        <v>0</v>
      </c>
      <c r="L1759" s="158">
        <v>0</v>
      </c>
      <c r="M1759" s="154">
        <f t="shared" si="581"/>
        <v>0</v>
      </c>
      <c r="N1759" s="155">
        <f t="shared" si="582"/>
        <v>0</v>
      </c>
      <c r="O1759" s="168">
        <f>M1759/30</f>
        <v>0</v>
      </c>
      <c r="P1759" s="157">
        <f>N1759/30</f>
        <v>0</v>
      </c>
    </row>
    <row r="1760" spans="1:16" ht="13.5" customHeight="1">
      <c r="A1760" s="474"/>
      <c r="B1760" s="127">
        <v>7</v>
      </c>
      <c r="C1760" s="158">
        <v>0</v>
      </c>
      <c r="D1760" s="158">
        <v>0</v>
      </c>
      <c r="E1760" s="158">
        <v>0</v>
      </c>
      <c r="F1760" s="158">
        <v>0</v>
      </c>
      <c r="G1760" s="158">
        <v>0</v>
      </c>
      <c r="H1760" s="158">
        <v>0</v>
      </c>
      <c r="I1760" s="158">
        <v>0</v>
      </c>
      <c r="J1760" s="158">
        <v>0</v>
      </c>
      <c r="K1760" s="158">
        <v>0</v>
      </c>
      <c r="L1760" s="158">
        <v>0</v>
      </c>
      <c r="M1760" s="154">
        <f t="shared" si="581"/>
        <v>0</v>
      </c>
      <c r="N1760" s="155">
        <f t="shared" si="582"/>
        <v>0</v>
      </c>
      <c r="O1760" s="168">
        <f t="shared" ref="O1760:P1782" si="586">M1760/31</f>
        <v>0</v>
      </c>
      <c r="P1760" s="157">
        <f t="shared" si="586"/>
        <v>0</v>
      </c>
    </row>
    <row r="1761" spans="1:16" ht="13.5" customHeight="1">
      <c r="A1761" s="474"/>
      <c r="B1761" s="127">
        <v>8</v>
      </c>
      <c r="C1761" s="158">
        <v>0</v>
      </c>
      <c r="D1761" s="158">
        <v>0</v>
      </c>
      <c r="E1761" s="158">
        <v>0</v>
      </c>
      <c r="F1761" s="158">
        <v>0</v>
      </c>
      <c r="G1761" s="158">
        <v>0</v>
      </c>
      <c r="H1761" s="158">
        <v>0</v>
      </c>
      <c r="I1761" s="158">
        <v>0</v>
      </c>
      <c r="J1761" s="158">
        <v>0</v>
      </c>
      <c r="K1761" s="158">
        <v>0</v>
      </c>
      <c r="L1761" s="159">
        <v>0</v>
      </c>
      <c r="M1761" s="177">
        <f t="shared" si="581"/>
        <v>0</v>
      </c>
      <c r="N1761" s="158">
        <f t="shared" si="582"/>
        <v>0</v>
      </c>
      <c r="O1761" s="168">
        <f t="shared" si="586"/>
        <v>0</v>
      </c>
      <c r="P1761" s="157">
        <f t="shared" si="586"/>
        <v>0</v>
      </c>
    </row>
    <row r="1762" spans="1:16" ht="13.5" customHeight="1">
      <c r="A1762" s="474"/>
      <c r="B1762" s="127">
        <v>9</v>
      </c>
      <c r="C1762" s="147">
        <v>0</v>
      </c>
      <c r="D1762" s="147">
        <v>0</v>
      </c>
      <c r="E1762" s="147">
        <v>0</v>
      </c>
      <c r="F1762" s="147">
        <v>0</v>
      </c>
      <c r="G1762" s="147">
        <v>0</v>
      </c>
      <c r="H1762" s="147">
        <v>0</v>
      </c>
      <c r="I1762" s="147">
        <v>0</v>
      </c>
      <c r="J1762" s="147">
        <v>0</v>
      </c>
      <c r="K1762" s="147">
        <v>0</v>
      </c>
      <c r="L1762" s="147">
        <v>0</v>
      </c>
      <c r="M1762" s="177">
        <f t="shared" si="581"/>
        <v>0</v>
      </c>
      <c r="N1762" s="158">
        <f t="shared" si="582"/>
        <v>0</v>
      </c>
      <c r="O1762" s="168">
        <f t="shared" si="586"/>
        <v>0</v>
      </c>
      <c r="P1762" s="157">
        <f t="shared" si="586"/>
        <v>0</v>
      </c>
    </row>
    <row r="1763" spans="1:16" ht="13.5" customHeight="1">
      <c r="A1763" s="474"/>
      <c r="B1763" s="127">
        <v>10</v>
      </c>
      <c r="C1763" s="147">
        <v>0</v>
      </c>
      <c r="D1763" s="147">
        <v>0</v>
      </c>
      <c r="E1763" s="147">
        <v>0</v>
      </c>
      <c r="F1763" s="181">
        <v>0</v>
      </c>
      <c r="G1763" s="147">
        <v>0</v>
      </c>
      <c r="H1763" s="147">
        <v>0</v>
      </c>
      <c r="I1763" s="147">
        <v>0</v>
      </c>
      <c r="J1763" s="147">
        <v>0</v>
      </c>
      <c r="K1763" s="147">
        <v>0</v>
      </c>
      <c r="L1763" s="148">
        <v>0</v>
      </c>
      <c r="M1763" s="154">
        <f t="shared" si="581"/>
        <v>0</v>
      </c>
      <c r="N1763" s="155">
        <f t="shared" si="582"/>
        <v>0</v>
      </c>
      <c r="O1763" s="168">
        <f t="shared" si="586"/>
        <v>0</v>
      </c>
      <c r="P1763" s="157">
        <f t="shared" si="586"/>
        <v>0</v>
      </c>
    </row>
    <row r="1764" spans="1:16" ht="13.5" customHeight="1">
      <c r="A1764" s="474"/>
      <c r="B1764" s="127">
        <v>11</v>
      </c>
      <c r="C1764" s="367">
        <v>2</v>
      </c>
      <c r="D1764" s="367">
        <v>0</v>
      </c>
      <c r="E1764" s="367">
        <v>0</v>
      </c>
      <c r="F1764" s="367">
        <v>0</v>
      </c>
      <c r="G1764" s="367">
        <v>0</v>
      </c>
      <c r="H1764" s="367">
        <v>0</v>
      </c>
      <c r="I1764" s="367">
        <v>0</v>
      </c>
      <c r="J1764" s="367">
        <v>0</v>
      </c>
      <c r="K1764" s="367">
        <v>0</v>
      </c>
      <c r="L1764" s="368">
        <v>0</v>
      </c>
      <c r="M1764" s="154">
        <f t="shared" si="581"/>
        <v>2</v>
      </c>
      <c r="N1764" s="155">
        <f t="shared" si="582"/>
        <v>0</v>
      </c>
      <c r="O1764" s="168">
        <f t="shared" si="586"/>
        <v>6.4516129032258063E-2</v>
      </c>
      <c r="P1764" s="157">
        <f t="shared" si="586"/>
        <v>0</v>
      </c>
    </row>
    <row r="1765" spans="1:16" ht="13.5" customHeight="1" thickBot="1">
      <c r="A1765" s="475"/>
      <c r="B1765" s="127">
        <v>12</v>
      </c>
      <c r="C1765" s="187">
        <v>0</v>
      </c>
      <c r="D1765" s="187">
        <v>0</v>
      </c>
      <c r="E1765" s="187">
        <v>0</v>
      </c>
      <c r="F1765" s="188">
        <v>0</v>
      </c>
      <c r="G1765" s="187">
        <v>0</v>
      </c>
      <c r="H1765" s="187">
        <v>0</v>
      </c>
      <c r="I1765" s="187">
        <v>0</v>
      </c>
      <c r="J1765" s="187">
        <v>0</v>
      </c>
      <c r="K1765" s="187">
        <v>0</v>
      </c>
      <c r="L1765" s="189">
        <v>0</v>
      </c>
      <c r="M1765" s="154">
        <f t="shared" si="581"/>
        <v>0</v>
      </c>
      <c r="N1765" s="155">
        <f t="shared" si="582"/>
        <v>0</v>
      </c>
      <c r="O1765" s="168">
        <f t="shared" si="586"/>
        <v>0</v>
      </c>
      <c r="P1765" s="157">
        <f t="shared" si="586"/>
        <v>0</v>
      </c>
    </row>
    <row r="1766" spans="1:16" ht="13.5" customHeight="1">
      <c r="A1766" s="473">
        <v>2019</v>
      </c>
      <c r="B1766" s="410">
        <v>1</v>
      </c>
      <c r="C1766" s="422">
        <v>8</v>
      </c>
      <c r="D1766" s="422">
        <v>11</v>
      </c>
      <c r="E1766" s="422">
        <v>0</v>
      </c>
      <c r="F1766" s="422">
        <v>0</v>
      </c>
      <c r="G1766" s="422">
        <v>0</v>
      </c>
      <c r="H1766" s="422">
        <v>0</v>
      </c>
      <c r="I1766" s="422">
        <v>0</v>
      </c>
      <c r="J1766" s="422">
        <v>0</v>
      </c>
      <c r="K1766" s="422">
        <v>0</v>
      </c>
      <c r="L1766" s="432">
        <v>0</v>
      </c>
      <c r="M1766" s="424">
        <f t="shared" si="581"/>
        <v>8</v>
      </c>
      <c r="N1766" s="425">
        <f t="shared" si="582"/>
        <v>11</v>
      </c>
      <c r="O1766" s="430">
        <f t="shared" ref="O1766:O1770" si="587">M1766/31</f>
        <v>0.25806451612903225</v>
      </c>
      <c r="P1766" s="427">
        <f t="shared" ref="P1766:P1770" si="588">N1766/31</f>
        <v>0.35483870967741937</v>
      </c>
    </row>
    <row r="1767" spans="1:16" ht="13.5" customHeight="1">
      <c r="A1767" s="474"/>
      <c r="B1767" s="127">
        <v>2</v>
      </c>
      <c r="C1767" s="147">
        <v>3</v>
      </c>
      <c r="D1767" s="147">
        <v>20</v>
      </c>
      <c r="E1767" s="147">
        <v>0</v>
      </c>
      <c r="F1767" s="147">
        <v>0</v>
      </c>
      <c r="G1767" s="147">
        <v>0</v>
      </c>
      <c r="H1767" s="147">
        <v>0</v>
      </c>
      <c r="I1767" s="147">
        <v>0</v>
      </c>
      <c r="J1767" s="147">
        <v>0</v>
      </c>
      <c r="K1767" s="147">
        <v>0</v>
      </c>
      <c r="L1767" s="174">
        <v>0</v>
      </c>
      <c r="M1767" s="149">
        <f t="shared" si="581"/>
        <v>3</v>
      </c>
      <c r="N1767" s="150">
        <f t="shared" si="582"/>
        <v>20</v>
      </c>
      <c r="O1767" s="167">
        <f t="shared" si="587"/>
        <v>9.6774193548387094E-2</v>
      </c>
      <c r="P1767" s="152">
        <f t="shared" si="588"/>
        <v>0.64516129032258063</v>
      </c>
    </row>
    <row r="1768" spans="1:16" ht="13.5" customHeight="1">
      <c r="A1768" s="474"/>
      <c r="B1768" s="127">
        <v>3</v>
      </c>
      <c r="C1768" s="147">
        <v>4</v>
      </c>
      <c r="D1768" s="147">
        <v>6</v>
      </c>
      <c r="E1768" s="147">
        <v>0</v>
      </c>
      <c r="F1768" s="147">
        <v>0</v>
      </c>
      <c r="G1768" s="147">
        <v>0</v>
      </c>
      <c r="H1768" s="147">
        <v>0</v>
      </c>
      <c r="I1768" s="147">
        <v>0</v>
      </c>
      <c r="J1768" s="147">
        <v>0</v>
      </c>
      <c r="K1768" s="147">
        <v>0</v>
      </c>
      <c r="L1768" s="174">
        <v>0</v>
      </c>
      <c r="M1768" s="149">
        <f t="shared" si="581"/>
        <v>4</v>
      </c>
      <c r="N1768" s="150">
        <f t="shared" si="582"/>
        <v>6</v>
      </c>
      <c r="O1768" s="167">
        <f t="shared" si="587"/>
        <v>0.12903225806451613</v>
      </c>
      <c r="P1768" s="152">
        <f t="shared" si="588"/>
        <v>0.19354838709677419</v>
      </c>
    </row>
    <row r="1769" spans="1:16" ht="13.5" customHeight="1">
      <c r="A1769" s="474"/>
      <c r="B1769" s="127">
        <v>4</v>
      </c>
      <c r="C1769" s="158">
        <v>0</v>
      </c>
      <c r="D1769" s="158">
        <v>0</v>
      </c>
      <c r="E1769" s="158">
        <v>0</v>
      </c>
      <c r="F1769" s="158">
        <v>0</v>
      </c>
      <c r="G1769" s="158">
        <v>0</v>
      </c>
      <c r="H1769" s="158">
        <v>0</v>
      </c>
      <c r="I1769" s="158">
        <v>0</v>
      </c>
      <c r="J1769" s="158">
        <v>0</v>
      </c>
      <c r="K1769" s="158">
        <v>0</v>
      </c>
      <c r="L1769" s="159">
        <v>0</v>
      </c>
      <c r="M1769" s="154">
        <f t="shared" si="581"/>
        <v>0</v>
      </c>
      <c r="N1769" s="155">
        <f t="shared" si="582"/>
        <v>0</v>
      </c>
      <c r="O1769" s="168">
        <f t="shared" si="587"/>
        <v>0</v>
      </c>
      <c r="P1769" s="157">
        <f t="shared" si="588"/>
        <v>0</v>
      </c>
    </row>
    <row r="1770" spans="1:16" ht="13.5" customHeight="1">
      <c r="A1770" s="474"/>
      <c r="B1770" s="127">
        <v>5</v>
      </c>
      <c r="C1770" s="158">
        <v>0</v>
      </c>
      <c r="D1770" s="158">
        <v>0</v>
      </c>
      <c r="E1770" s="158">
        <v>0</v>
      </c>
      <c r="F1770" s="158">
        <v>0</v>
      </c>
      <c r="G1770" s="158">
        <v>0</v>
      </c>
      <c r="H1770" s="158">
        <v>0</v>
      </c>
      <c r="I1770" s="158">
        <v>0</v>
      </c>
      <c r="J1770" s="158">
        <v>0</v>
      </c>
      <c r="K1770" s="158">
        <v>0</v>
      </c>
      <c r="L1770" s="159">
        <v>0</v>
      </c>
      <c r="M1770" s="154">
        <f t="shared" si="581"/>
        <v>0</v>
      </c>
      <c r="N1770" s="155">
        <f t="shared" si="582"/>
        <v>0</v>
      </c>
      <c r="O1770" s="168">
        <f t="shared" si="587"/>
        <v>0</v>
      </c>
      <c r="P1770" s="157">
        <f t="shared" si="588"/>
        <v>0</v>
      </c>
    </row>
    <row r="1771" spans="1:16" ht="13.5" customHeight="1">
      <c r="A1771" s="474"/>
      <c r="B1771" s="127">
        <v>6</v>
      </c>
      <c r="C1771" s="158">
        <v>0</v>
      </c>
      <c r="D1771" s="158">
        <v>0</v>
      </c>
      <c r="E1771" s="158">
        <v>0</v>
      </c>
      <c r="F1771" s="158">
        <v>0</v>
      </c>
      <c r="G1771" s="158">
        <v>0</v>
      </c>
      <c r="H1771" s="158">
        <v>0</v>
      </c>
      <c r="I1771" s="158">
        <v>0</v>
      </c>
      <c r="J1771" s="158">
        <v>0</v>
      </c>
      <c r="K1771" s="158">
        <v>0</v>
      </c>
      <c r="L1771" s="158">
        <v>0</v>
      </c>
      <c r="M1771" s="154">
        <f t="shared" si="581"/>
        <v>0</v>
      </c>
      <c r="N1771" s="155">
        <f t="shared" si="582"/>
        <v>0</v>
      </c>
      <c r="O1771" s="168">
        <f>M1771/30</f>
        <v>0</v>
      </c>
      <c r="P1771" s="157">
        <f>N1771/30</f>
        <v>0</v>
      </c>
    </row>
    <row r="1772" spans="1:16" ht="13.5" customHeight="1">
      <c r="A1772" s="474"/>
      <c r="B1772" s="127">
        <v>7</v>
      </c>
      <c r="C1772" s="158">
        <v>0</v>
      </c>
      <c r="D1772" s="158">
        <v>0</v>
      </c>
      <c r="E1772" s="158">
        <v>0</v>
      </c>
      <c r="F1772" s="158">
        <v>0</v>
      </c>
      <c r="G1772" s="158">
        <v>0</v>
      </c>
      <c r="H1772" s="158">
        <v>0</v>
      </c>
      <c r="I1772" s="158">
        <v>0</v>
      </c>
      <c r="J1772" s="158">
        <v>0</v>
      </c>
      <c r="K1772" s="158">
        <v>0</v>
      </c>
      <c r="L1772" s="158">
        <v>0</v>
      </c>
      <c r="M1772" s="154">
        <f t="shared" si="581"/>
        <v>0</v>
      </c>
      <c r="N1772" s="155">
        <f t="shared" si="582"/>
        <v>0</v>
      </c>
      <c r="O1772" s="168">
        <f t="shared" ref="O1772:O1773" si="589">M1772/31</f>
        <v>0</v>
      </c>
      <c r="P1772" s="157">
        <f t="shared" ref="P1772:P1773" si="590">N1772/31</f>
        <v>0</v>
      </c>
    </row>
    <row r="1773" spans="1:16" ht="13.5" customHeight="1">
      <c r="A1773" s="474"/>
      <c r="B1773" s="127">
        <v>8</v>
      </c>
      <c r="C1773" s="158">
        <v>0</v>
      </c>
      <c r="D1773" s="158">
        <v>0</v>
      </c>
      <c r="E1773" s="158">
        <v>0</v>
      </c>
      <c r="F1773" s="158">
        <v>0</v>
      </c>
      <c r="G1773" s="158">
        <v>0</v>
      </c>
      <c r="H1773" s="158">
        <v>0</v>
      </c>
      <c r="I1773" s="158">
        <v>0</v>
      </c>
      <c r="J1773" s="158">
        <v>0</v>
      </c>
      <c r="K1773" s="158">
        <v>0</v>
      </c>
      <c r="L1773" s="159">
        <v>0</v>
      </c>
      <c r="M1773" s="177">
        <f t="shared" si="581"/>
        <v>0</v>
      </c>
      <c r="N1773" s="158">
        <f t="shared" si="582"/>
        <v>0</v>
      </c>
      <c r="O1773" s="168">
        <f t="shared" si="589"/>
        <v>0</v>
      </c>
      <c r="P1773" s="157">
        <f t="shared" si="590"/>
        <v>0</v>
      </c>
    </row>
    <row r="1774" spans="1:16" ht="13.5" customHeight="1">
      <c r="A1774" s="474"/>
      <c r="B1774" s="127">
        <v>9</v>
      </c>
      <c r="C1774" s="147">
        <v>0</v>
      </c>
      <c r="D1774" s="147">
        <v>0</v>
      </c>
      <c r="E1774" s="147">
        <v>0</v>
      </c>
      <c r="F1774" s="147">
        <v>0</v>
      </c>
      <c r="G1774" s="147">
        <v>0</v>
      </c>
      <c r="H1774" s="147">
        <v>0</v>
      </c>
      <c r="I1774" s="147">
        <v>0</v>
      </c>
      <c r="J1774" s="147">
        <v>0</v>
      </c>
      <c r="K1774" s="147">
        <v>0</v>
      </c>
      <c r="L1774" s="147">
        <v>0</v>
      </c>
      <c r="M1774" s="177">
        <v>0</v>
      </c>
      <c r="N1774" s="158">
        <v>0</v>
      </c>
      <c r="O1774" s="168">
        <v>0</v>
      </c>
      <c r="P1774" s="157">
        <v>0</v>
      </c>
    </row>
    <row r="1775" spans="1:16" ht="13.5" customHeight="1">
      <c r="A1775" s="474"/>
      <c r="B1775" s="127">
        <v>10</v>
      </c>
      <c r="C1775" s="147">
        <v>0</v>
      </c>
      <c r="D1775" s="147">
        <v>0</v>
      </c>
      <c r="E1775" s="147">
        <v>0</v>
      </c>
      <c r="F1775" s="181">
        <v>0</v>
      </c>
      <c r="G1775" s="147">
        <v>0</v>
      </c>
      <c r="H1775" s="147">
        <v>0</v>
      </c>
      <c r="I1775" s="147">
        <v>0</v>
      </c>
      <c r="J1775" s="147">
        <v>0</v>
      </c>
      <c r="K1775" s="147">
        <v>0</v>
      </c>
      <c r="L1775" s="148">
        <v>0</v>
      </c>
      <c r="M1775" s="154">
        <f>+C1775+E1775+G1775+I1775+K1775</f>
        <v>0</v>
      </c>
      <c r="N1775" s="155">
        <f t="shared" ref="N1775:N1777" si="591">+D1775+F1775+H1775+J1775+L1775</f>
        <v>0</v>
      </c>
      <c r="O1775" s="168">
        <f t="shared" ref="O1775:O1777" si="592">M1775/31</f>
        <v>0</v>
      </c>
      <c r="P1775" s="157">
        <f t="shared" ref="P1775:P1777" si="593">N1775/31</f>
        <v>0</v>
      </c>
    </row>
    <row r="1776" spans="1:16" ht="13.5" customHeight="1">
      <c r="A1776" s="474"/>
      <c r="B1776" s="127">
        <v>11</v>
      </c>
      <c r="C1776" s="367">
        <v>0</v>
      </c>
      <c r="D1776" s="367">
        <v>0</v>
      </c>
      <c r="E1776" s="367">
        <v>0</v>
      </c>
      <c r="F1776" s="367">
        <v>0</v>
      </c>
      <c r="G1776" s="367">
        <v>0</v>
      </c>
      <c r="H1776" s="367">
        <v>0</v>
      </c>
      <c r="I1776" s="367">
        <v>0</v>
      </c>
      <c r="J1776" s="367">
        <v>0</v>
      </c>
      <c r="K1776" s="367">
        <v>0</v>
      </c>
      <c r="L1776" s="368">
        <v>0</v>
      </c>
      <c r="M1776" s="154">
        <f t="shared" ref="M1776:M1777" si="594">+C1776+E1776+G1776+I1776+K1776</f>
        <v>0</v>
      </c>
      <c r="N1776" s="155">
        <f t="shared" si="591"/>
        <v>0</v>
      </c>
      <c r="O1776" s="168">
        <f t="shared" si="592"/>
        <v>0</v>
      </c>
      <c r="P1776" s="157">
        <f t="shared" si="593"/>
        <v>0</v>
      </c>
    </row>
    <row r="1777" spans="1:16" ht="13.5" customHeight="1" thickBot="1">
      <c r="A1777" s="475"/>
      <c r="B1777" s="127">
        <v>12</v>
      </c>
      <c r="C1777" s="187">
        <v>4</v>
      </c>
      <c r="D1777" s="187">
        <v>6</v>
      </c>
      <c r="E1777" s="187">
        <v>0</v>
      </c>
      <c r="F1777" s="188">
        <v>0</v>
      </c>
      <c r="G1777" s="187">
        <v>0</v>
      </c>
      <c r="H1777" s="187">
        <v>0</v>
      </c>
      <c r="I1777" s="187">
        <v>1</v>
      </c>
      <c r="J1777" s="187">
        <v>0</v>
      </c>
      <c r="K1777" s="187">
        <v>0</v>
      </c>
      <c r="L1777" s="189">
        <v>0</v>
      </c>
      <c r="M1777" s="154">
        <f t="shared" si="594"/>
        <v>5</v>
      </c>
      <c r="N1777" s="155">
        <f t="shared" si="591"/>
        <v>6</v>
      </c>
      <c r="O1777" s="168">
        <f t="shared" si="592"/>
        <v>0.16129032258064516</v>
      </c>
      <c r="P1777" s="157">
        <f t="shared" si="593"/>
        <v>0.19354838709677419</v>
      </c>
    </row>
    <row r="1778" spans="1:16" ht="13.5" customHeight="1">
      <c r="A1778" s="473">
        <v>2020</v>
      </c>
      <c r="B1778" s="410">
        <v>1</v>
      </c>
      <c r="C1778" s="434">
        <v>7</v>
      </c>
      <c r="D1778" s="434">
        <v>9</v>
      </c>
      <c r="E1778" s="434">
        <v>0</v>
      </c>
      <c r="F1778" s="434">
        <v>0</v>
      </c>
      <c r="G1778" s="434">
        <v>0</v>
      </c>
      <c r="H1778" s="434">
        <v>0</v>
      </c>
      <c r="I1778" s="434">
        <v>1</v>
      </c>
      <c r="J1778" s="434">
        <v>7</v>
      </c>
      <c r="K1778" s="434">
        <v>0</v>
      </c>
      <c r="L1778" s="436">
        <v>0</v>
      </c>
      <c r="M1778" s="424">
        <f t="shared" ref="M1778:M1789" si="595">+C1778+E1778+G1778+I1778+K1778</f>
        <v>8</v>
      </c>
      <c r="N1778" s="425">
        <f t="shared" ref="N1778:N1789" si="596">+D1778+F1778+H1778+J1778+L1778</f>
        <v>16</v>
      </c>
      <c r="O1778" s="430">
        <f t="shared" si="586"/>
        <v>0.25806451612903225</v>
      </c>
      <c r="P1778" s="427">
        <f t="shared" si="586"/>
        <v>0.5161290322580645</v>
      </c>
    </row>
    <row r="1779" spans="1:16" ht="13.5" customHeight="1">
      <c r="A1779" s="474"/>
      <c r="B1779" s="127">
        <v>2</v>
      </c>
      <c r="C1779" s="147">
        <v>3</v>
      </c>
      <c r="D1779" s="147">
        <v>11</v>
      </c>
      <c r="E1779" s="147">
        <v>0</v>
      </c>
      <c r="F1779" s="147">
        <v>0</v>
      </c>
      <c r="G1779" s="147">
        <v>0</v>
      </c>
      <c r="H1779" s="147">
        <v>0</v>
      </c>
      <c r="I1779" s="147">
        <v>0</v>
      </c>
      <c r="J1779" s="147">
        <v>0</v>
      </c>
      <c r="K1779" s="147">
        <v>0</v>
      </c>
      <c r="L1779" s="148">
        <v>0</v>
      </c>
      <c r="M1779" s="149">
        <f t="shared" si="595"/>
        <v>3</v>
      </c>
      <c r="N1779" s="150">
        <f t="shared" si="596"/>
        <v>11</v>
      </c>
      <c r="O1779" s="167">
        <f t="shared" si="586"/>
        <v>9.6774193548387094E-2</v>
      </c>
      <c r="P1779" s="152">
        <f t="shared" si="586"/>
        <v>0.35483870967741937</v>
      </c>
    </row>
    <row r="1780" spans="1:16" ht="13.5" customHeight="1">
      <c r="A1780" s="474"/>
      <c r="B1780" s="127">
        <v>3</v>
      </c>
      <c r="C1780" s="147">
        <v>1</v>
      </c>
      <c r="D1780" s="147">
        <v>1</v>
      </c>
      <c r="E1780" s="147">
        <v>0</v>
      </c>
      <c r="F1780" s="147">
        <v>0</v>
      </c>
      <c r="G1780" s="147">
        <v>0</v>
      </c>
      <c r="H1780" s="147">
        <v>0</v>
      </c>
      <c r="I1780" s="147">
        <v>0</v>
      </c>
      <c r="J1780" s="147">
        <v>0</v>
      </c>
      <c r="K1780" s="147">
        <v>0</v>
      </c>
      <c r="L1780" s="148">
        <v>0</v>
      </c>
      <c r="M1780" s="149">
        <f t="shared" si="595"/>
        <v>1</v>
      </c>
      <c r="N1780" s="150">
        <f t="shared" si="596"/>
        <v>1</v>
      </c>
      <c r="O1780" s="167">
        <f t="shared" si="586"/>
        <v>3.2258064516129031E-2</v>
      </c>
      <c r="P1780" s="152">
        <f t="shared" si="586"/>
        <v>3.2258064516129031E-2</v>
      </c>
    </row>
    <row r="1781" spans="1:16" ht="13.5" customHeight="1">
      <c r="A1781" s="474"/>
      <c r="B1781" s="127">
        <v>4</v>
      </c>
      <c r="C1781" s="147">
        <v>0</v>
      </c>
      <c r="D1781" s="147">
        <v>0</v>
      </c>
      <c r="E1781" s="147">
        <v>0</v>
      </c>
      <c r="F1781" s="147">
        <v>0</v>
      </c>
      <c r="G1781" s="147">
        <v>0</v>
      </c>
      <c r="H1781" s="147">
        <v>0</v>
      </c>
      <c r="I1781" s="147">
        <v>0</v>
      </c>
      <c r="J1781" s="147">
        <v>0</v>
      </c>
      <c r="K1781" s="147">
        <v>0</v>
      </c>
      <c r="L1781" s="148">
        <v>0</v>
      </c>
      <c r="M1781" s="154">
        <f t="shared" si="595"/>
        <v>0</v>
      </c>
      <c r="N1781" s="155">
        <f t="shared" si="596"/>
        <v>0</v>
      </c>
      <c r="O1781" s="168">
        <f t="shared" si="586"/>
        <v>0</v>
      </c>
      <c r="P1781" s="157">
        <f t="shared" si="586"/>
        <v>0</v>
      </c>
    </row>
    <row r="1782" spans="1:16" ht="13.5" customHeight="1">
      <c r="A1782" s="474"/>
      <c r="B1782" s="127">
        <v>5</v>
      </c>
      <c r="C1782" s="147">
        <v>0</v>
      </c>
      <c r="D1782" s="147">
        <v>0</v>
      </c>
      <c r="E1782" s="147">
        <v>0</v>
      </c>
      <c r="F1782" s="147">
        <v>0</v>
      </c>
      <c r="G1782" s="147">
        <v>0</v>
      </c>
      <c r="H1782" s="147">
        <v>0</v>
      </c>
      <c r="I1782" s="147">
        <v>0</v>
      </c>
      <c r="J1782" s="147">
        <v>0</v>
      </c>
      <c r="K1782" s="147">
        <v>0</v>
      </c>
      <c r="L1782" s="148">
        <v>0</v>
      </c>
      <c r="M1782" s="154">
        <f t="shared" si="595"/>
        <v>0</v>
      </c>
      <c r="N1782" s="155">
        <f t="shared" si="596"/>
        <v>0</v>
      </c>
      <c r="O1782" s="168">
        <f t="shared" si="586"/>
        <v>0</v>
      </c>
      <c r="P1782" s="157">
        <f t="shared" si="586"/>
        <v>0</v>
      </c>
    </row>
    <row r="1783" spans="1:16" ht="13.5" customHeight="1">
      <c r="A1783" s="474"/>
      <c r="B1783" s="127">
        <v>6</v>
      </c>
      <c r="C1783" s="147">
        <f>集計用!C45</f>
        <v>0</v>
      </c>
      <c r="D1783" s="147">
        <f>集計用!S45</f>
        <v>0</v>
      </c>
      <c r="E1783" s="147">
        <f>集計用!E45</f>
        <v>0</v>
      </c>
      <c r="F1783" s="147">
        <f>集計用!U45</f>
        <v>0</v>
      </c>
      <c r="G1783" s="147">
        <f>集計用!G45</f>
        <v>0</v>
      </c>
      <c r="H1783" s="147">
        <f>集計用!W45</f>
        <v>0</v>
      </c>
      <c r="I1783" s="147">
        <f>集計用!I45</f>
        <v>0</v>
      </c>
      <c r="J1783" s="147">
        <f>集計用!Y45</f>
        <v>0</v>
      </c>
      <c r="K1783" s="147">
        <f>集計用!K45</f>
        <v>0</v>
      </c>
      <c r="L1783" s="148">
        <f>集計用!AA45</f>
        <v>0</v>
      </c>
      <c r="M1783" s="154">
        <f t="shared" si="595"/>
        <v>0</v>
      </c>
      <c r="N1783" s="155">
        <f t="shared" si="596"/>
        <v>0</v>
      </c>
      <c r="O1783" s="168">
        <f>M1783/30</f>
        <v>0</v>
      </c>
      <c r="P1783" s="157">
        <f>N1783/30</f>
        <v>0</v>
      </c>
    </row>
    <row r="1784" spans="1:16" ht="13.5" customHeight="1">
      <c r="A1784" s="474"/>
      <c r="B1784" s="127">
        <v>7</v>
      </c>
      <c r="C1784" s="158"/>
      <c r="D1784" s="158"/>
      <c r="E1784" s="158"/>
      <c r="F1784" s="158"/>
      <c r="G1784" s="158"/>
      <c r="H1784" s="158"/>
      <c r="I1784" s="158"/>
      <c r="J1784" s="158"/>
      <c r="K1784" s="158"/>
      <c r="L1784" s="158"/>
      <c r="M1784" s="154">
        <f t="shared" si="595"/>
        <v>0</v>
      </c>
      <c r="N1784" s="155">
        <f t="shared" si="596"/>
        <v>0</v>
      </c>
      <c r="O1784" s="168">
        <f t="shared" ref="O1784:O1789" si="597">M1784/31</f>
        <v>0</v>
      </c>
      <c r="P1784" s="157">
        <f t="shared" ref="P1784:P1789" si="598">N1784/31</f>
        <v>0</v>
      </c>
    </row>
    <row r="1785" spans="1:16" ht="13.5" customHeight="1">
      <c r="A1785" s="474"/>
      <c r="B1785" s="127">
        <v>8</v>
      </c>
      <c r="C1785" s="158"/>
      <c r="D1785" s="158"/>
      <c r="E1785" s="158"/>
      <c r="F1785" s="158"/>
      <c r="G1785" s="158"/>
      <c r="H1785" s="158"/>
      <c r="I1785" s="158"/>
      <c r="J1785" s="158"/>
      <c r="K1785" s="158"/>
      <c r="L1785" s="159"/>
      <c r="M1785" s="177">
        <f t="shared" si="595"/>
        <v>0</v>
      </c>
      <c r="N1785" s="158">
        <f t="shared" si="596"/>
        <v>0</v>
      </c>
      <c r="O1785" s="168">
        <f t="shared" si="597"/>
        <v>0</v>
      </c>
      <c r="P1785" s="157">
        <f t="shared" si="598"/>
        <v>0</v>
      </c>
    </row>
    <row r="1786" spans="1:16" ht="13.5" customHeight="1">
      <c r="A1786" s="474"/>
      <c r="B1786" s="127">
        <v>9</v>
      </c>
      <c r="C1786" s="147"/>
      <c r="D1786" s="147"/>
      <c r="E1786" s="147"/>
      <c r="F1786" s="147"/>
      <c r="G1786" s="147"/>
      <c r="H1786" s="147"/>
      <c r="I1786" s="147"/>
      <c r="J1786" s="147"/>
      <c r="K1786" s="147"/>
      <c r="L1786" s="147"/>
      <c r="M1786" s="177">
        <f t="shared" ref="M1786" si="599">+C1786+E1786+G1786+I1786+K1786</f>
        <v>0</v>
      </c>
      <c r="N1786" s="158">
        <f t="shared" ref="N1786" si="600">+D1786+F1786+H1786+J1786+L1786</f>
        <v>0</v>
      </c>
      <c r="O1786" s="168">
        <f>M1786/30</f>
        <v>0</v>
      </c>
      <c r="P1786" s="157">
        <f>N1786/30</f>
        <v>0</v>
      </c>
    </row>
    <row r="1787" spans="1:16" ht="13.5" customHeight="1">
      <c r="A1787" s="474"/>
      <c r="B1787" s="127">
        <v>10</v>
      </c>
      <c r="C1787" s="147"/>
      <c r="D1787" s="147"/>
      <c r="E1787" s="147"/>
      <c r="F1787" s="181"/>
      <c r="G1787" s="147"/>
      <c r="H1787" s="147"/>
      <c r="I1787" s="147"/>
      <c r="J1787" s="147"/>
      <c r="K1787" s="147"/>
      <c r="L1787" s="148"/>
      <c r="M1787" s="154">
        <f>+C1787+E1787+G1787+I1787+K1787</f>
        <v>0</v>
      </c>
      <c r="N1787" s="155">
        <f t="shared" ref="N1787" si="601">+D1787+F1787+H1787+J1787+L1787</f>
        <v>0</v>
      </c>
      <c r="O1787" s="168">
        <f t="shared" ref="O1787" si="602">M1787/31</f>
        <v>0</v>
      </c>
      <c r="P1787" s="157">
        <f t="shared" ref="P1787" si="603">N1787/31</f>
        <v>0</v>
      </c>
    </row>
    <row r="1788" spans="1:16" ht="13.5" customHeight="1">
      <c r="A1788" s="474"/>
      <c r="B1788" s="127">
        <v>11</v>
      </c>
      <c r="C1788" s="367"/>
      <c r="D1788" s="367"/>
      <c r="E1788" s="367"/>
      <c r="F1788" s="367"/>
      <c r="G1788" s="367"/>
      <c r="H1788" s="367"/>
      <c r="I1788" s="367"/>
      <c r="J1788" s="367"/>
      <c r="K1788" s="367"/>
      <c r="L1788" s="368"/>
      <c r="M1788" s="154">
        <f t="shared" si="595"/>
        <v>0</v>
      </c>
      <c r="N1788" s="155">
        <f t="shared" si="596"/>
        <v>0</v>
      </c>
      <c r="O1788" s="168">
        <f t="shared" si="597"/>
        <v>0</v>
      </c>
      <c r="P1788" s="157">
        <f t="shared" si="598"/>
        <v>0</v>
      </c>
    </row>
    <row r="1789" spans="1:16" ht="13.5" customHeight="1" thickBot="1">
      <c r="A1789" s="475"/>
      <c r="B1789" s="127">
        <v>12</v>
      </c>
      <c r="C1789" s="187"/>
      <c r="D1789" s="187"/>
      <c r="E1789" s="187"/>
      <c r="F1789" s="188"/>
      <c r="G1789" s="187"/>
      <c r="H1789" s="187"/>
      <c r="I1789" s="187"/>
      <c r="J1789" s="187"/>
      <c r="K1789" s="187"/>
      <c r="L1789" s="189"/>
      <c r="M1789" s="154">
        <f t="shared" si="595"/>
        <v>0</v>
      </c>
      <c r="N1789" s="155">
        <f t="shared" si="596"/>
        <v>0</v>
      </c>
      <c r="O1789" s="168">
        <f t="shared" si="597"/>
        <v>0</v>
      </c>
      <c r="P1789" s="157">
        <f t="shared" si="598"/>
        <v>0</v>
      </c>
    </row>
    <row r="1790" spans="1:16" ht="18.75" customHeight="1" thickBot="1">
      <c r="A1790" s="180"/>
      <c r="B1790" s="160" t="s">
        <v>5</v>
      </c>
      <c r="C1790" s="161">
        <f>SUM(C1742:C1789)</f>
        <v>58</v>
      </c>
      <c r="D1790" s="161">
        <f t="shared" ref="D1790:K1790" si="604">SUM(D1742:D1789)</f>
        <v>129</v>
      </c>
      <c r="E1790" s="161">
        <f t="shared" si="604"/>
        <v>0</v>
      </c>
      <c r="F1790" s="161">
        <f t="shared" si="604"/>
        <v>0</v>
      </c>
      <c r="G1790" s="161">
        <f t="shared" si="604"/>
        <v>0</v>
      </c>
      <c r="H1790" s="161">
        <f t="shared" si="604"/>
        <v>0</v>
      </c>
      <c r="I1790" s="161">
        <f t="shared" si="604"/>
        <v>2</v>
      </c>
      <c r="J1790" s="161">
        <f t="shared" si="604"/>
        <v>7</v>
      </c>
      <c r="K1790" s="161">
        <f t="shared" si="604"/>
        <v>0</v>
      </c>
      <c r="L1790" s="161">
        <f>SUM(L1742:L1789)</f>
        <v>0</v>
      </c>
      <c r="M1790" s="162">
        <f>SUM(M1742:M1789)</f>
        <v>60</v>
      </c>
      <c r="N1790" s="161">
        <f>SUM(N1742:N1789)</f>
        <v>136</v>
      </c>
      <c r="O1790" s="161">
        <f>SUM(O1742:O1789)</f>
        <v>1.935483870967742</v>
      </c>
      <c r="P1790" s="161">
        <f>SUM(P1742:P1789)</f>
        <v>4.387096774193548</v>
      </c>
    </row>
    <row r="1792" spans="1:16" ht="11.25" customHeight="1">
      <c r="B1792" s="467" t="s">
        <v>268</v>
      </c>
      <c r="C1792" s="469" t="s">
        <v>29</v>
      </c>
      <c r="D1792" s="470"/>
      <c r="E1792" s="469" t="s">
        <v>30</v>
      </c>
      <c r="F1792" s="470"/>
      <c r="G1792" s="469" t="s">
        <v>31</v>
      </c>
      <c r="H1792" s="470"/>
      <c r="I1792" s="469" t="s">
        <v>58</v>
      </c>
      <c r="J1792" s="470"/>
      <c r="K1792" s="469" t="s">
        <v>57</v>
      </c>
      <c r="L1792" s="471"/>
      <c r="M1792" s="470" t="s">
        <v>5</v>
      </c>
      <c r="N1792" s="472"/>
      <c r="O1792" s="472" t="s">
        <v>33</v>
      </c>
      <c r="P1792" s="472"/>
    </row>
    <row r="1793" spans="1:16" ht="11.25" customHeight="1" thickBot="1">
      <c r="B1793" s="468"/>
      <c r="C1793" s="13" t="s">
        <v>34</v>
      </c>
      <c r="D1793" s="13" t="s">
        <v>35</v>
      </c>
      <c r="E1793" s="13" t="s">
        <v>34</v>
      </c>
      <c r="F1793" s="13" t="s">
        <v>35</v>
      </c>
      <c r="G1793" s="13" t="s">
        <v>34</v>
      </c>
      <c r="H1793" s="13" t="s">
        <v>35</v>
      </c>
      <c r="I1793" s="13" t="s">
        <v>59</v>
      </c>
      <c r="J1793" s="13" t="s">
        <v>60</v>
      </c>
      <c r="K1793" s="13" t="s">
        <v>34</v>
      </c>
      <c r="L1793" s="14" t="s">
        <v>35</v>
      </c>
      <c r="M1793" s="15" t="s">
        <v>34</v>
      </c>
      <c r="N1793" s="13" t="s">
        <v>35</v>
      </c>
      <c r="O1793" s="163" t="s">
        <v>34</v>
      </c>
      <c r="P1793" s="163" t="s">
        <v>35</v>
      </c>
    </row>
    <row r="1794" spans="1:16" ht="13.5" customHeight="1">
      <c r="A1794" s="473">
        <v>2018</v>
      </c>
      <c r="B1794" s="410">
        <v>1</v>
      </c>
      <c r="C1794" s="422">
        <v>0</v>
      </c>
      <c r="D1794" s="422">
        <v>0</v>
      </c>
      <c r="E1794" s="422">
        <v>2</v>
      </c>
      <c r="F1794" s="422">
        <v>3</v>
      </c>
      <c r="G1794" s="422">
        <v>0</v>
      </c>
      <c r="H1794" s="422">
        <v>0</v>
      </c>
      <c r="I1794" s="422">
        <v>0</v>
      </c>
      <c r="J1794" s="422">
        <v>0</v>
      </c>
      <c r="K1794" s="422">
        <v>0</v>
      </c>
      <c r="L1794" s="432">
        <v>0</v>
      </c>
      <c r="M1794" s="424">
        <f t="shared" ref="M1794:M1813" si="605">+C1794+E1794+G1794+I1794+K1794</f>
        <v>2</v>
      </c>
      <c r="N1794" s="425">
        <f t="shared" ref="N1794:N1813" si="606">+D1794+F1794+H1794+J1794+L1794</f>
        <v>3</v>
      </c>
      <c r="O1794" s="430">
        <f t="shared" ref="O1794:P1798" si="607">M1794/31</f>
        <v>6.4516129032258063E-2</v>
      </c>
      <c r="P1794" s="427">
        <f t="shared" si="607"/>
        <v>9.6774193548387094E-2</v>
      </c>
    </row>
    <row r="1795" spans="1:16" ht="13.5" customHeight="1">
      <c r="A1795" s="474"/>
      <c r="B1795" s="127">
        <v>2</v>
      </c>
      <c r="C1795" s="147">
        <v>0</v>
      </c>
      <c r="D1795" s="147">
        <v>0</v>
      </c>
      <c r="E1795" s="147">
        <v>0</v>
      </c>
      <c r="F1795" s="147">
        <v>0</v>
      </c>
      <c r="G1795" s="147">
        <v>0</v>
      </c>
      <c r="H1795" s="147">
        <v>0</v>
      </c>
      <c r="I1795" s="147">
        <v>0</v>
      </c>
      <c r="J1795" s="147">
        <v>0</v>
      </c>
      <c r="K1795" s="147">
        <v>0</v>
      </c>
      <c r="L1795" s="174">
        <v>0</v>
      </c>
      <c r="M1795" s="149">
        <f t="shared" si="605"/>
        <v>0</v>
      </c>
      <c r="N1795" s="150">
        <f t="shared" si="606"/>
        <v>0</v>
      </c>
      <c r="O1795" s="167">
        <f t="shared" si="607"/>
        <v>0</v>
      </c>
      <c r="P1795" s="152">
        <f t="shared" si="607"/>
        <v>0</v>
      </c>
    </row>
    <row r="1796" spans="1:16" ht="13.5" customHeight="1">
      <c r="A1796" s="474"/>
      <c r="B1796" s="127">
        <v>3</v>
      </c>
      <c r="C1796" s="147">
        <v>0</v>
      </c>
      <c r="D1796" s="147">
        <v>0</v>
      </c>
      <c r="E1796" s="147">
        <v>0</v>
      </c>
      <c r="F1796" s="147">
        <v>0</v>
      </c>
      <c r="G1796" s="147">
        <v>0</v>
      </c>
      <c r="H1796" s="147">
        <v>0</v>
      </c>
      <c r="I1796" s="147">
        <v>0</v>
      </c>
      <c r="J1796" s="147">
        <v>0</v>
      </c>
      <c r="K1796" s="147">
        <v>1</v>
      </c>
      <c r="L1796" s="174">
        <v>0</v>
      </c>
      <c r="M1796" s="149">
        <f t="shared" si="605"/>
        <v>1</v>
      </c>
      <c r="N1796" s="150">
        <f t="shared" si="606"/>
        <v>0</v>
      </c>
      <c r="O1796" s="167">
        <f t="shared" si="607"/>
        <v>3.2258064516129031E-2</v>
      </c>
      <c r="P1796" s="152">
        <f t="shared" si="607"/>
        <v>0</v>
      </c>
    </row>
    <row r="1797" spans="1:16" ht="13.5" customHeight="1">
      <c r="A1797" s="474"/>
      <c r="B1797" s="127">
        <v>4</v>
      </c>
      <c r="C1797" s="158">
        <v>1</v>
      </c>
      <c r="D1797" s="158">
        <v>2</v>
      </c>
      <c r="E1797" s="158">
        <v>0</v>
      </c>
      <c r="F1797" s="158">
        <v>0</v>
      </c>
      <c r="G1797" s="158">
        <v>0</v>
      </c>
      <c r="H1797" s="158">
        <v>0</v>
      </c>
      <c r="I1797" s="158">
        <v>0</v>
      </c>
      <c r="J1797" s="158">
        <v>0</v>
      </c>
      <c r="K1797" s="158">
        <v>0</v>
      </c>
      <c r="L1797" s="159">
        <v>7</v>
      </c>
      <c r="M1797" s="154">
        <f t="shared" si="605"/>
        <v>1</v>
      </c>
      <c r="N1797" s="155">
        <f t="shared" si="606"/>
        <v>9</v>
      </c>
      <c r="O1797" s="168">
        <f t="shared" si="607"/>
        <v>3.2258064516129031E-2</v>
      </c>
      <c r="P1797" s="157">
        <f t="shared" si="607"/>
        <v>0.29032258064516131</v>
      </c>
    </row>
    <row r="1798" spans="1:16" ht="13.5" customHeight="1">
      <c r="A1798" s="474"/>
      <c r="B1798" s="127">
        <v>5</v>
      </c>
      <c r="C1798" s="158">
        <v>1</v>
      </c>
      <c r="D1798" s="158">
        <v>2</v>
      </c>
      <c r="E1798" s="158">
        <v>2</v>
      </c>
      <c r="F1798" s="158">
        <v>0</v>
      </c>
      <c r="G1798" s="158">
        <v>1</v>
      </c>
      <c r="H1798" s="158">
        <v>0</v>
      </c>
      <c r="I1798" s="158">
        <v>0</v>
      </c>
      <c r="J1798" s="158">
        <v>0</v>
      </c>
      <c r="K1798" s="158">
        <v>0</v>
      </c>
      <c r="L1798" s="159">
        <v>0</v>
      </c>
      <c r="M1798" s="154">
        <f t="shared" si="605"/>
        <v>4</v>
      </c>
      <c r="N1798" s="155">
        <f t="shared" si="606"/>
        <v>2</v>
      </c>
      <c r="O1798" s="168">
        <f t="shared" si="607"/>
        <v>0.12903225806451613</v>
      </c>
      <c r="P1798" s="157">
        <f t="shared" si="607"/>
        <v>6.4516129032258063E-2</v>
      </c>
    </row>
    <row r="1799" spans="1:16" ht="13.5" customHeight="1">
      <c r="A1799" s="474"/>
      <c r="B1799" s="127">
        <v>6</v>
      </c>
      <c r="C1799" s="158">
        <v>3</v>
      </c>
      <c r="D1799" s="158">
        <v>4</v>
      </c>
      <c r="E1799" s="158">
        <v>1</v>
      </c>
      <c r="F1799" s="158">
        <v>2</v>
      </c>
      <c r="G1799" s="158">
        <v>1</v>
      </c>
      <c r="H1799" s="158">
        <v>2</v>
      </c>
      <c r="I1799" s="158">
        <v>0</v>
      </c>
      <c r="J1799" s="158">
        <v>0</v>
      </c>
      <c r="K1799" s="158">
        <v>0</v>
      </c>
      <c r="L1799" s="158">
        <v>0</v>
      </c>
      <c r="M1799" s="154">
        <f t="shared" si="605"/>
        <v>5</v>
      </c>
      <c r="N1799" s="155">
        <f t="shared" si="606"/>
        <v>8</v>
      </c>
      <c r="O1799" s="168">
        <f>M1799/30</f>
        <v>0.16666666666666666</v>
      </c>
      <c r="P1799" s="157">
        <f>N1799/30</f>
        <v>0.26666666666666666</v>
      </c>
    </row>
    <row r="1800" spans="1:16" ht="13.5" customHeight="1">
      <c r="A1800" s="474"/>
      <c r="B1800" s="127">
        <v>7</v>
      </c>
      <c r="C1800" s="158">
        <v>5</v>
      </c>
      <c r="D1800" s="158">
        <v>12</v>
      </c>
      <c r="E1800" s="158">
        <v>0</v>
      </c>
      <c r="F1800" s="158">
        <v>3</v>
      </c>
      <c r="G1800" s="158">
        <v>0</v>
      </c>
      <c r="H1800" s="158">
        <v>0</v>
      </c>
      <c r="I1800" s="158">
        <v>0</v>
      </c>
      <c r="J1800" s="158">
        <v>0</v>
      </c>
      <c r="K1800" s="158">
        <v>0</v>
      </c>
      <c r="L1800" s="158">
        <v>0</v>
      </c>
      <c r="M1800" s="154">
        <f t="shared" si="605"/>
        <v>5</v>
      </c>
      <c r="N1800" s="155">
        <f t="shared" si="606"/>
        <v>15</v>
      </c>
      <c r="O1800" s="168">
        <f t="shared" ref="O1800:P1822" si="608">M1800/31</f>
        <v>0.16129032258064516</v>
      </c>
      <c r="P1800" s="157">
        <f t="shared" si="608"/>
        <v>0.4838709677419355</v>
      </c>
    </row>
    <row r="1801" spans="1:16" ht="13.5" customHeight="1">
      <c r="A1801" s="474"/>
      <c r="B1801" s="127">
        <v>8</v>
      </c>
      <c r="C1801" s="158">
        <v>7</v>
      </c>
      <c r="D1801" s="158">
        <v>12</v>
      </c>
      <c r="E1801" s="158">
        <v>5</v>
      </c>
      <c r="F1801" s="158">
        <v>12</v>
      </c>
      <c r="G1801" s="158">
        <v>0</v>
      </c>
      <c r="H1801" s="158">
        <v>0</v>
      </c>
      <c r="I1801" s="158">
        <v>0</v>
      </c>
      <c r="J1801" s="158">
        <v>0</v>
      </c>
      <c r="K1801" s="158">
        <v>0</v>
      </c>
      <c r="L1801" s="159">
        <v>0</v>
      </c>
      <c r="M1801" s="177">
        <f t="shared" si="605"/>
        <v>12</v>
      </c>
      <c r="N1801" s="158">
        <f t="shared" si="606"/>
        <v>24</v>
      </c>
      <c r="O1801" s="168">
        <f t="shared" si="608"/>
        <v>0.38709677419354838</v>
      </c>
      <c r="P1801" s="157">
        <f t="shared" si="608"/>
        <v>0.77419354838709675</v>
      </c>
    </row>
    <row r="1802" spans="1:16" ht="13.5" customHeight="1">
      <c r="A1802" s="474"/>
      <c r="B1802" s="127">
        <v>9</v>
      </c>
      <c r="C1802" s="147">
        <v>0</v>
      </c>
      <c r="D1802" s="147">
        <v>5</v>
      </c>
      <c r="E1802" s="147">
        <v>0</v>
      </c>
      <c r="F1802" s="147">
        <v>0</v>
      </c>
      <c r="G1802" s="147">
        <v>0</v>
      </c>
      <c r="H1802" s="147">
        <v>0</v>
      </c>
      <c r="I1802" s="147">
        <v>0</v>
      </c>
      <c r="J1802" s="147">
        <v>0</v>
      </c>
      <c r="K1802" s="147">
        <v>0</v>
      </c>
      <c r="L1802" s="147">
        <v>0</v>
      </c>
      <c r="M1802" s="177">
        <f t="shared" si="605"/>
        <v>0</v>
      </c>
      <c r="N1802" s="158">
        <f t="shared" si="606"/>
        <v>5</v>
      </c>
      <c r="O1802" s="168">
        <f t="shared" si="608"/>
        <v>0</v>
      </c>
      <c r="P1802" s="157">
        <f t="shared" si="608"/>
        <v>0.16129032258064516</v>
      </c>
    </row>
    <row r="1803" spans="1:16" ht="13.5" customHeight="1">
      <c r="A1803" s="474"/>
      <c r="B1803" s="127">
        <v>10</v>
      </c>
      <c r="C1803" s="147">
        <v>3</v>
      </c>
      <c r="D1803" s="147">
        <v>3</v>
      </c>
      <c r="E1803" s="147">
        <v>0</v>
      </c>
      <c r="F1803" s="181">
        <v>0</v>
      </c>
      <c r="G1803" s="147">
        <v>0</v>
      </c>
      <c r="H1803" s="147">
        <v>0</v>
      </c>
      <c r="I1803" s="147">
        <v>0</v>
      </c>
      <c r="J1803" s="147">
        <v>0</v>
      </c>
      <c r="K1803" s="147">
        <v>0</v>
      </c>
      <c r="L1803" s="148">
        <v>0</v>
      </c>
      <c r="M1803" s="154">
        <f t="shared" si="605"/>
        <v>3</v>
      </c>
      <c r="N1803" s="155">
        <f t="shared" si="606"/>
        <v>3</v>
      </c>
      <c r="O1803" s="168">
        <f t="shared" si="608"/>
        <v>9.6774193548387094E-2</v>
      </c>
      <c r="P1803" s="157">
        <f t="shared" si="608"/>
        <v>9.6774193548387094E-2</v>
      </c>
    </row>
    <row r="1804" spans="1:16" ht="13.5" customHeight="1">
      <c r="A1804" s="474"/>
      <c r="B1804" s="127">
        <v>11</v>
      </c>
      <c r="C1804" s="367">
        <v>3</v>
      </c>
      <c r="D1804" s="367">
        <v>7</v>
      </c>
      <c r="E1804" s="367">
        <v>1</v>
      </c>
      <c r="F1804" s="367">
        <v>2</v>
      </c>
      <c r="G1804" s="367">
        <v>0</v>
      </c>
      <c r="H1804" s="367">
        <v>0</v>
      </c>
      <c r="I1804" s="367">
        <v>0</v>
      </c>
      <c r="J1804" s="367">
        <v>0</v>
      </c>
      <c r="K1804" s="367">
        <v>0</v>
      </c>
      <c r="L1804" s="368">
        <v>0</v>
      </c>
      <c r="M1804" s="154">
        <f t="shared" si="605"/>
        <v>4</v>
      </c>
      <c r="N1804" s="155">
        <f t="shared" si="606"/>
        <v>9</v>
      </c>
      <c r="O1804" s="168">
        <f t="shared" si="608"/>
        <v>0.12903225806451613</v>
      </c>
      <c r="P1804" s="157">
        <f t="shared" si="608"/>
        <v>0.29032258064516131</v>
      </c>
    </row>
    <row r="1805" spans="1:16" ht="13.5" customHeight="1" thickBot="1">
      <c r="A1805" s="475"/>
      <c r="B1805" s="127">
        <v>12</v>
      </c>
      <c r="C1805" s="187">
        <v>2</v>
      </c>
      <c r="D1805" s="187">
        <v>8</v>
      </c>
      <c r="E1805" s="187">
        <v>3</v>
      </c>
      <c r="F1805" s="188">
        <v>5</v>
      </c>
      <c r="G1805" s="187">
        <v>0</v>
      </c>
      <c r="H1805" s="187">
        <v>0</v>
      </c>
      <c r="I1805" s="187">
        <v>0</v>
      </c>
      <c r="J1805" s="187">
        <v>0</v>
      </c>
      <c r="K1805" s="187">
        <v>0</v>
      </c>
      <c r="L1805" s="189">
        <v>0</v>
      </c>
      <c r="M1805" s="154">
        <f t="shared" si="605"/>
        <v>5</v>
      </c>
      <c r="N1805" s="155">
        <f t="shared" si="606"/>
        <v>13</v>
      </c>
      <c r="O1805" s="168">
        <f t="shared" si="608"/>
        <v>0.16129032258064516</v>
      </c>
      <c r="P1805" s="157">
        <f t="shared" si="608"/>
        <v>0.41935483870967744</v>
      </c>
    </row>
    <row r="1806" spans="1:16" ht="13.5" customHeight="1">
      <c r="A1806" s="473">
        <v>2019</v>
      </c>
      <c r="B1806" s="410">
        <v>1</v>
      </c>
      <c r="C1806" s="422">
        <v>2</v>
      </c>
      <c r="D1806" s="422">
        <v>3</v>
      </c>
      <c r="E1806" s="422">
        <v>5</v>
      </c>
      <c r="F1806" s="422">
        <v>9</v>
      </c>
      <c r="G1806" s="422">
        <v>0</v>
      </c>
      <c r="H1806" s="422">
        <v>0</v>
      </c>
      <c r="I1806" s="422">
        <v>0</v>
      </c>
      <c r="J1806" s="422">
        <v>0</v>
      </c>
      <c r="K1806" s="422">
        <v>0</v>
      </c>
      <c r="L1806" s="432">
        <v>0</v>
      </c>
      <c r="M1806" s="424">
        <f t="shared" si="605"/>
        <v>7</v>
      </c>
      <c r="N1806" s="425">
        <f t="shared" si="606"/>
        <v>12</v>
      </c>
      <c r="O1806" s="430">
        <f t="shared" ref="O1806:O1810" si="609">M1806/31</f>
        <v>0.22580645161290322</v>
      </c>
      <c r="P1806" s="427">
        <f t="shared" ref="P1806:P1810" si="610">N1806/31</f>
        <v>0.38709677419354838</v>
      </c>
    </row>
    <row r="1807" spans="1:16" ht="13.5" customHeight="1">
      <c r="A1807" s="474"/>
      <c r="B1807" s="127">
        <v>2</v>
      </c>
      <c r="C1807" s="147">
        <v>5</v>
      </c>
      <c r="D1807" s="147">
        <v>8</v>
      </c>
      <c r="E1807" s="147">
        <v>2</v>
      </c>
      <c r="F1807" s="147">
        <v>4</v>
      </c>
      <c r="G1807" s="147">
        <v>0</v>
      </c>
      <c r="H1807" s="147">
        <v>0</v>
      </c>
      <c r="I1807" s="147">
        <v>3</v>
      </c>
      <c r="J1807" s="147">
        <v>3</v>
      </c>
      <c r="K1807" s="147">
        <v>0</v>
      </c>
      <c r="L1807" s="174">
        <v>0</v>
      </c>
      <c r="M1807" s="149">
        <f t="shared" si="605"/>
        <v>10</v>
      </c>
      <c r="N1807" s="150">
        <f t="shared" si="606"/>
        <v>15</v>
      </c>
      <c r="O1807" s="167">
        <f t="shared" si="609"/>
        <v>0.32258064516129031</v>
      </c>
      <c r="P1807" s="152">
        <f t="shared" si="610"/>
        <v>0.4838709677419355</v>
      </c>
    </row>
    <row r="1808" spans="1:16" ht="13.5" customHeight="1">
      <c r="A1808" s="474"/>
      <c r="B1808" s="127">
        <v>3</v>
      </c>
      <c r="C1808" s="147">
        <v>3</v>
      </c>
      <c r="D1808" s="147">
        <v>2</v>
      </c>
      <c r="E1808" s="147">
        <v>0</v>
      </c>
      <c r="F1808" s="147">
        <v>0</v>
      </c>
      <c r="G1808" s="147">
        <v>1</v>
      </c>
      <c r="H1808" s="147">
        <v>4</v>
      </c>
      <c r="I1808" s="147">
        <v>0</v>
      </c>
      <c r="J1808" s="147">
        <v>0</v>
      </c>
      <c r="K1808" s="147">
        <v>0</v>
      </c>
      <c r="L1808" s="174">
        <v>0</v>
      </c>
      <c r="M1808" s="149">
        <f t="shared" si="605"/>
        <v>4</v>
      </c>
      <c r="N1808" s="150">
        <f t="shared" si="606"/>
        <v>6</v>
      </c>
      <c r="O1808" s="167">
        <f t="shared" si="609"/>
        <v>0.12903225806451613</v>
      </c>
      <c r="P1808" s="152">
        <f t="shared" si="610"/>
        <v>0.19354838709677419</v>
      </c>
    </row>
    <row r="1809" spans="1:16" ht="13.5" customHeight="1">
      <c r="A1809" s="474"/>
      <c r="B1809" s="127">
        <v>4</v>
      </c>
      <c r="C1809" s="158">
        <v>3</v>
      </c>
      <c r="D1809" s="158">
        <v>6</v>
      </c>
      <c r="E1809" s="158">
        <v>2</v>
      </c>
      <c r="F1809" s="158">
        <v>2</v>
      </c>
      <c r="G1809" s="158">
        <v>1</v>
      </c>
      <c r="H1809" s="158">
        <v>1</v>
      </c>
      <c r="I1809" s="158">
        <v>0</v>
      </c>
      <c r="J1809" s="158">
        <v>0</v>
      </c>
      <c r="K1809" s="158">
        <v>0</v>
      </c>
      <c r="L1809" s="159">
        <v>0</v>
      </c>
      <c r="M1809" s="154">
        <f t="shared" si="605"/>
        <v>6</v>
      </c>
      <c r="N1809" s="155">
        <f t="shared" si="606"/>
        <v>9</v>
      </c>
      <c r="O1809" s="168">
        <f t="shared" si="609"/>
        <v>0.19354838709677419</v>
      </c>
      <c r="P1809" s="157">
        <f t="shared" si="610"/>
        <v>0.29032258064516131</v>
      </c>
    </row>
    <row r="1810" spans="1:16" ht="13.5" customHeight="1">
      <c r="A1810" s="474"/>
      <c r="B1810" s="127">
        <v>5</v>
      </c>
      <c r="C1810" s="158">
        <v>3</v>
      </c>
      <c r="D1810" s="158">
        <v>5</v>
      </c>
      <c r="E1810" s="158">
        <v>3</v>
      </c>
      <c r="F1810" s="158">
        <v>6</v>
      </c>
      <c r="G1810" s="158">
        <v>1</v>
      </c>
      <c r="H1810" s="158">
        <v>2</v>
      </c>
      <c r="I1810" s="158">
        <v>0</v>
      </c>
      <c r="J1810" s="158">
        <v>0</v>
      </c>
      <c r="K1810" s="158">
        <v>2</v>
      </c>
      <c r="L1810" s="159">
        <v>2</v>
      </c>
      <c r="M1810" s="154">
        <f t="shared" si="605"/>
        <v>9</v>
      </c>
      <c r="N1810" s="155">
        <f t="shared" si="606"/>
        <v>15</v>
      </c>
      <c r="O1810" s="168">
        <f t="shared" si="609"/>
        <v>0.29032258064516131</v>
      </c>
      <c r="P1810" s="157">
        <f t="shared" si="610"/>
        <v>0.4838709677419355</v>
      </c>
    </row>
    <row r="1811" spans="1:16" ht="13.5" customHeight="1">
      <c r="A1811" s="474"/>
      <c r="B1811" s="127">
        <v>6</v>
      </c>
      <c r="C1811" s="158">
        <v>6</v>
      </c>
      <c r="D1811" s="158">
        <v>11</v>
      </c>
      <c r="E1811" s="158">
        <v>5</v>
      </c>
      <c r="F1811" s="158">
        <v>3</v>
      </c>
      <c r="G1811" s="158">
        <v>2</v>
      </c>
      <c r="H1811" s="158">
        <v>2</v>
      </c>
      <c r="I1811" s="158">
        <v>0</v>
      </c>
      <c r="J1811" s="158">
        <v>0</v>
      </c>
      <c r="K1811" s="158">
        <v>0</v>
      </c>
      <c r="L1811" s="158">
        <v>0</v>
      </c>
      <c r="M1811" s="154">
        <f t="shared" si="605"/>
        <v>13</v>
      </c>
      <c r="N1811" s="155">
        <f t="shared" si="606"/>
        <v>16</v>
      </c>
      <c r="O1811" s="168">
        <f>M1811/30</f>
        <v>0.43333333333333335</v>
      </c>
      <c r="P1811" s="157">
        <f>N1811/30</f>
        <v>0.53333333333333333</v>
      </c>
    </row>
    <row r="1812" spans="1:16" ht="13.5" customHeight="1">
      <c r="A1812" s="474"/>
      <c r="B1812" s="127">
        <v>7</v>
      </c>
      <c r="C1812" s="158">
        <v>4</v>
      </c>
      <c r="D1812" s="158">
        <v>4</v>
      </c>
      <c r="E1812" s="158">
        <v>2</v>
      </c>
      <c r="F1812" s="158">
        <v>9</v>
      </c>
      <c r="G1812" s="158">
        <v>0</v>
      </c>
      <c r="H1812" s="158">
        <v>0</v>
      </c>
      <c r="I1812" s="158">
        <v>0</v>
      </c>
      <c r="J1812" s="158">
        <v>0</v>
      </c>
      <c r="K1812" s="158">
        <v>0</v>
      </c>
      <c r="L1812" s="158">
        <v>0</v>
      </c>
      <c r="M1812" s="154">
        <f t="shared" si="605"/>
        <v>6</v>
      </c>
      <c r="N1812" s="155">
        <f t="shared" si="606"/>
        <v>13</v>
      </c>
      <c r="O1812" s="168">
        <f t="shared" ref="O1812:O1813" si="611">M1812/31</f>
        <v>0.19354838709677419</v>
      </c>
      <c r="P1812" s="157">
        <f t="shared" ref="P1812:P1813" si="612">N1812/31</f>
        <v>0.41935483870967744</v>
      </c>
    </row>
    <row r="1813" spans="1:16" ht="13.5" customHeight="1">
      <c r="A1813" s="474"/>
      <c r="B1813" s="127">
        <v>8</v>
      </c>
      <c r="C1813" s="158">
        <v>3</v>
      </c>
      <c r="D1813" s="158">
        <v>6</v>
      </c>
      <c r="E1813" s="158">
        <v>1</v>
      </c>
      <c r="F1813" s="158">
        <v>2</v>
      </c>
      <c r="G1813" s="158">
        <v>1</v>
      </c>
      <c r="H1813" s="158">
        <v>3</v>
      </c>
      <c r="I1813" s="158">
        <v>0</v>
      </c>
      <c r="J1813" s="158">
        <v>0</v>
      </c>
      <c r="K1813" s="158">
        <v>0</v>
      </c>
      <c r="L1813" s="159">
        <v>0</v>
      </c>
      <c r="M1813" s="177">
        <f t="shared" si="605"/>
        <v>5</v>
      </c>
      <c r="N1813" s="158">
        <f t="shared" si="606"/>
        <v>11</v>
      </c>
      <c r="O1813" s="168">
        <f t="shared" si="611"/>
        <v>0.16129032258064516</v>
      </c>
      <c r="P1813" s="157">
        <f t="shared" si="612"/>
        <v>0.35483870967741937</v>
      </c>
    </row>
    <row r="1814" spans="1:16" ht="13.5" customHeight="1">
      <c r="A1814" s="474"/>
      <c r="B1814" s="127">
        <v>9</v>
      </c>
      <c r="C1814" s="147">
        <v>1</v>
      </c>
      <c r="D1814" s="147">
        <v>1</v>
      </c>
      <c r="E1814" s="147">
        <v>0</v>
      </c>
      <c r="F1814" s="147">
        <v>0</v>
      </c>
      <c r="G1814" s="147">
        <v>2</v>
      </c>
      <c r="H1814" s="147">
        <v>6</v>
      </c>
      <c r="I1814" s="147">
        <v>1</v>
      </c>
      <c r="J1814" s="147">
        <v>0</v>
      </c>
      <c r="K1814" s="147">
        <v>0</v>
      </c>
      <c r="L1814" s="147">
        <v>0</v>
      </c>
      <c r="M1814" s="177">
        <v>4</v>
      </c>
      <c r="N1814" s="158">
        <v>7</v>
      </c>
      <c r="O1814" s="168">
        <v>0.12903225806451613</v>
      </c>
      <c r="P1814" s="157">
        <v>0.22580645161290322</v>
      </c>
    </row>
    <row r="1815" spans="1:16" ht="13.5" customHeight="1">
      <c r="A1815" s="474"/>
      <c r="B1815" s="127">
        <v>10</v>
      </c>
      <c r="C1815" s="147">
        <v>5</v>
      </c>
      <c r="D1815" s="147">
        <v>11</v>
      </c>
      <c r="E1815" s="147">
        <v>2</v>
      </c>
      <c r="F1815" s="181">
        <v>2</v>
      </c>
      <c r="G1815" s="147">
        <v>0</v>
      </c>
      <c r="H1815" s="147">
        <v>0</v>
      </c>
      <c r="I1815" s="147">
        <v>0</v>
      </c>
      <c r="J1815" s="147">
        <v>1</v>
      </c>
      <c r="K1815" s="147">
        <v>0</v>
      </c>
      <c r="L1815" s="148">
        <v>0</v>
      </c>
      <c r="M1815" s="154">
        <f t="shared" ref="M1815:M1817" si="613">+C1815+E1815+G1815+I1815+K1815</f>
        <v>7</v>
      </c>
      <c r="N1815" s="155">
        <f t="shared" ref="N1815:N1817" si="614">+D1815+F1815+H1815+J1815+L1815</f>
        <v>14</v>
      </c>
      <c r="O1815" s="168">
        <f t="shared" ref="O1815:O1817" si="615">M1815/31</f>
        <v>0.22580645161290322</v>
      </c>
      <c r="P1815" s="157">
        <f t="shared" ref="P1815:P1817" si="616">N1815/31</f>
        <v>0.45161290322580644</v>
      </c>
    </row>
    <row r="1816" spans="1:16" ht="13.5" customHeight="1">
      <c r="A1816" s="474"/>
      <c r="B1816" s="127">
        <v>11</v>
      </c>
      <c r="C1816" s="367">
        <v>7</v>
      </c>
      <c r="D1816" s="367">
        <v>8</v>
      </c>
      <c r="E1816" s="367">
        <v>1</v>
      </c>
      <c r="F1816" s="367">
        <v>1</v>
      </c>
      <c r="G1816" s="367">
        <v>0</v>
      </c>
      <c r="H1816" s="367">
        <v>0</v>
      </c>
      <c r="I1816" s="367">
        <v>0</v>
      </c>
      <c r="J1816" s="367">
        <v>0</v>
      </c>
      <c r="K1816" s="367">
        <v>0</v>
      </c>
      <c r="L1816" s="368">
        <v>0</v>
      </c>
      <c r="M1816" s="154">
        <f t="shared" si="613"/>
        <v>8</v>
      </c>
      <c r="N1816" s="155">
        <f t="shared" si="614"/>
        <v>9</v>
      </c>
      <c r="O1816" s="168">
        <f t="shared" si="615"/>
        <v>0.25806451612903225</v>
      </c>
      <c r="P1816" s="157">
        <f t="shared" si="616"/>
        <v>0.29032258064516131</v>
      </c>
    </row>
    <row r="1817" spans="1:16" ht="13.5" customHeight="1" thickBot="1">
      <c r="A1817" s="475"/>
      <c r="B1817" s="127">
        <v>12</v>
      </c>
      <c r="C1817" s="187">
        <v>5</v>
      </c>
      <c r="D1817" s="187">
        <v>5</v>
      </c>
      <c r="E1817" s="187">
        <v>3</v>
      </c>
      <c r="F1817" s="188">
        <v>2</v>
      </c>
      <c r="G1817" s="187">
        <v>5</v>
      </c>
      <c r="H1817" s="187">
        <v>13</v>
      </c>
      <c r="I1817" s="187">
        <v>1</v>
      </c>
      <c r="J1817" s="187">
        <v>0</v>
      </c>
      <c r="K1817" s="187">
        <v>0</v>
      </c>
      <c r="L1817" s="189">
        <v>0</v>
      </c>
      <c r="M1817" s="154">
        <f t="shared" si="613"/>
        <v>14</v>
      </c>
      <c r="N1817" s="155">
        <f t="shared" si="614"/>
        <v>20</v>
      </c>
      <c r="O1817" s="168">
        <f t="shared" si="615"/>
        <v>0.45161290322580644</v>
      </c>
      <c r="P1817" s="157">
        <f t="shared" si="616"/>
        <v>0.64516129032258063</v>
      </c>
    </row>
    <row r="1818" spans="1:16" ht="13.5" customHeight="1">
      <c r="A1818" s="473">
        <v>2020</v>
      </c>
      <c r="B1818" s="410">
        <v>1</v>
      </c>
      <c r="C1818" s="434">
        <v>2</v>
      </c>
      <c r="D1818" s="434">
        <v>7</v>
      </c>
      <c r="E1818" s="434">
        <v>1</v>
      </c>
      <c r="F1818" s="434">
        <v>2</v>
      </c>
      <c r="G1818" s="434">
        <v>4</v>
      </c>
      <c r="H1818" s="434">
        <v>10</v>
      </c>
      <c r="I1818" s="434">
        <v>0</v>
      </c>
      <c r="J1818" s="434">
        <v>2</v>
      </c>
      <c r="K1818" s="434">
        <v>0</v>
      </c>
      <c r="L1818" s="436">
        <v>0</v>
      </c>
      <c r="M1818" s="424">
        <f t="shared" ref="M1818:M1829" si="617">+C1818+E1818+G1818+I1818+K1818</f>
        <v>7</v>
      </c>
      <c r="N1818" s="425">
        <f t="shared" ref="N1818:N1829" si="618">+D1818+F1818+H1818+J1818+L1818</f>
        <v>21</v>
      </c>
      <c r="O1818" s="430">
        <f t="shared" si="608"/>
        <v>0.22580645161290322</v>
      </c>
      <c r="P1818" s="427">
        <f t="shared" si="608"/>
        <v>0.67741935483870963</v>
      </c>
    </row>
    <row r="1819" spans="1:16" ht="13.5" customHeight="1">
      <c r="A1819" s="474"/>
      <c r="B1819" s="127">
        <v>2</v>
      </c>
      <c r="C1819" s="147">
        <v>5</v>
      </c>
      <c r="D1819" s="147">
        <v>5</v>
      </c>
      <c r="E1819" s="147">
        <v>0</v>
      </c>
      <c r="F1819" s="147">
        <v>0</v>
      </c>
      <c r="G1819" s="147">
        <v>1</v>
      </c>
      <c r="H1819" s="147">
        <v>0</v>
      </c>
      <c r="I1819" s="147">
        <v>0</v>
      </c>
      <c r="J1819" s="147">
        <v>0</v>
      </c>
      <c r="K1819" s="147">
        <v>0</v>
      </c>
      <c r="L1819" s="148">
        <v>0</v>
      </c>
      <c r="M1819" s="149">
        <f t="shared" si="617"/>
        <v>6</v>
      </c>
      <c r="N1819" s="150">
        <f t="shared" si="618"/>
        <v>5</v>
      </c>
      <c r="O1819" s="167">
        <f t="shared" si="608"/>
        <v>0.19354838709677419</v>
      </c>
      <c r="P1819" s="152">
        <f t="shared" si="608"/>
        <v>0.16129032258064516</v>
      </c>
    </row>
    <row r="1820" spans="1:16" ht="13.5" customHeight="1">
      <c r="A1820" s="474"/>
      <c r="B1820" s="127">
        <v>3</v>
      </c>
      <c r="C1820" s="147">
        <v>2</v>
      </c>
      <c r="D1820" s="147">
        <v>1</v>
      </c>
      <c r="E1820" s="147">
        <v>0</v>
      </c>
      <c r="F1820" s="147">
        <v>0</v>
      </c>
      <c r="G1820" s="147">
        <v>0</v>
      </c>
      <c r="H1820" s="147">
        <v>1</v>
      </c>
      <c r="I1820" s="147">
        <v>0</v>
      </c>
      <c r="J1820" s="147">
        <v>0</v>
      </c>
      <c r="K1820" s="147">
        <v>0</v>
      </c>
      <c r="L1820" s="148">
        <v>0</v>
      </c>
      <c r="M1820" s="149">
        <f t="shared" si="617"/>
        <v>2</v>
      </c>
      <c r="N1820" s="150">
        <f t="shared" si="618"/>
        <v>2</v>
      </c>
      <c r="O1820" s="167">
        <f t="shared" si="608"/>
        <v>6.4516129032258063E-2</v>
      </c>
      <c r="P1820" s="152">
        <f t="shared" si="608"/>
        <v>6.4516129032258063E-2</v>
      </c>
    </row>
    <row r="1821" spans="1:16" ht="13.5" customHeight="1">
      <c r="A1821" s="474"/>
      <c r="B1821" s="127">
        <v>4</v>
      </c>
      <c r="C1821" s="147">
        <v>0</v>
      </c>
      <c r="D1821" s="147">
        <v>0</v>
      </c>
      <c r="E1821" s="147">
        <v>0</v>
      </c>
      <c r="F1821" s="147">
        <v>0</v>
      </c>
      <c r="G1821" s="147">
        <v>0</v>
      </c>
      <c r="H1821" s="147">
        <v>0</v>
      </c>
      <c r="I1821" s="147">
        <v>0</v>
      </c>
      <c r="J1821" s="147">
        <v>0</v>
      </c>
      <c r="K1821" s="147">
        <v>0</v>
      </c>
      <c r="L1821" s="148">
        <v>0</v>
      </c>
      <c r="M1821" s="154">
        <f t="shared" si="617"/>
        <v>0</v>
      </c>
      <c r="N1821" s="155">
        <f t="shared" si="618"/>
        <v>0</v>
      </c>
      <c r="O1821" s="168">
        <f t="shared" si="608"/>
        <v>0</v>
      </c>
      <c r="P1821" s="157">
        <f t="shared" si="608"/>
        <v>0</v>
      </c>
    </row>
    <row r="1822" spans="1:16" ht="13.5" customHeight="1">
      <c r="A1822" s="474"/>
      <c r="B1822" s="127">
        <v>5</v>
      </c>
      <c r="C1822" s="147">
        <v>0</v>
      </c>
      <c r="D1822" s="147">
        <v>0</v>
      </c>
      <c r="E1822" s="147">
        <v>0</v>
      </c>
      <c r="F1822" s="147">
        <v>0</v>
      </c>
      <c r="G1822" s="147">
        <v>0</v>
      </c>
      <c r="H1822" s="147">
        <v>0</v>
      </c>
      <c r="I1822" s="147">
        <v>0</v>
      </c>
      <c r="J1822" s="147">
        <v>0</v>
      </c>
      <c r="K1822" s="147">
        <v>0</v>
      </c>
      <c r="L1822" s="148">
        <v>0</v>
      </c>
      <c r="M1822" s="154">
        <f t="shared" si="617"/>
        <v>0</v>
      </c>
      <c r="N1822" s="155">
        <f t="shared" si="618"/>
        <v>0</v>
      </c>
      <c r="O1822" s="168">
        <f t="shared" si="608"/>
        <v>0</v>
      </c>
      <c r="P1822" s="157">
        <f t="shared" si="608"/>
        <v>0</v>
      </c>
    </row>
    <row r="1823" spans="1:16" ht="13.5" customHeight="1">
      <c r="A1823" s="474"/>
      <c r="B1823" s="127">
        <v>6</v>
      </c>
      <c r="C1823" s="147">
        <f>集計用!C82</f>
        <v>0</v>
      </c>
      <c r="D1823" s="147">
        <f>集計用!S82</f>
        <v>0</v>
      </c>
      <c r="E1823" s="147">
        <f>集計用!E82</f>
        <v>0</v>
      </c>
      <c r="F1823" s="147">
        <f>集計用!U82</f>
        <v>0</v>
      </c>
      <c r="G1823" s="147">
        <f>集計用!G82</f>
        <v>0</v>
      </c>
      <c r="H1823" s="147">
        <f>集計用!W82</f>
        <v>0</v>
      </c>
      <c r="I1823" s="147">
        <f>集計用!I82</f>
        <v>0</v>
      </c>
      <c r="J1823" s="147">
        <f>集計用!Y82</f>
        <v>0</v>
      </c>
      <c r="K1823" s="147">
        <f>集計用!K82</f>
        <v>0</v>
      </c>
      <c r="L1823" s="148">
        <f>集計用!AA82</f>
        <v>0</v>
      </c>
      <c r="M1823" s="154">
        <f t="shared" si="617"/>
        <v>0</v>
      </c>
      <c r="N1823" s="155">
        <f t="shared" si="618"/>
        <v>0</v>
      </c>
      <c r="O1823" s="168">
        <f>M1823/30</f>
        <v>0</v>
      </c>
      <c r="P1823" s="157">
        <f>N1823/30</f>
        <v>0</v>
      </c>
    </row>
    <row r="1824" spans="1:16" ht="13.5" customHeight="1">
      <c r="A1824" s="474"/>
      <c r="B1824" s="127">
        <v>7</v>
      </c>
      <c r="C1824" s="158"/>
      <c r="D1824" s="158"/>
      <c r="E1824" s="158"/>
      <c r="F1824" s="158"/>
      <c r="G1824" s="158"/>
      <c r="H1824" s="158"/>
      <c r="I1824" s="158"/>
      <c r="J1824" s="158"/>
      <c r="K1824" s="158"/>
      <c r="L1824" s="158"/>
      <c r="M1824" s="154">
        <f t="shared" si="617"/>
        <v>0</v>
      </c>
      <c r="N1824" s="155">
        <f t="shared" si="618"/>
        <v>0</v>
      </c>
      <c r="O1824" s="168">
        <f t="shared" ref="O1824:O1829" si="619">M1824/31</f>
        <v>0</v>
      </c>
      <c r="P1824" s="157">
        <f t="shared" ref="P1824:P1829" si="620">N1824/31</f>
        <v>0</v>
      </c>
    </row>
    <row r="1825" spans="1:16" ht="13.5" customHeight="1">
      <c r="A1825" s="474"/>
      <c r="B1825" s="127">
        <v>8</v>
      </c>
      <c r="C1825" s="158"/>
      <c r="D1825" s="158"/>
      <c r="E1825" s="158"/>
      <c r="F1825" s="158"/>
      <c r="G1825" s="158"/>
      <c r="H1825" s="158"/>
      <c r="I1825" s="158"/>
      <c r="J1825" s="158"/>
      <c r="K1825" s="158"/>
      <c r="L1825" s="159"/>
      <c r="M1825" s="177">
        <f t="shared" si="617"/>
        <v>0</v>
      </c>
      <c r="N1825" s="158">
        <f t="shared" si="618"/>
        <v>0</v>
      </c>
      <c r="O1825" s="168">
        <f t="shared" si="619"/>
        <v>0</v>
      </c>
      <c r="P1825" s="157">
        <f t="shared" si="620"/>
        <v>0</v>
      </c>
    </row>
    <row r="1826" spans="1:16" ht="13.5" customHeight="1">
      <c r="A1826" s="474"/>
      <c r="B1826" s="127">
        <v>9</v>
      </c>
      <c r="C1826" s="147"/>
      <c r="D1826" s="147"/>
      <c r="E1826" s="147"/>
      <c r="F1826" s="147"/>
      <c r="G1826" s="147"/>
      <c r="H1826" s="147"/>
      <c r="I1826" s="147"/>
      <c r="J1826" s="147"/>
      <c r="K1826" s="147"/>
      <c r="L1826" s="147"/>
      <c r="M1826" s="177">
        <f t="shared" ref="M1826" si="621">+C1826+E1826+G1826+I1826+K1826</f>
        <v>0</v>
      </c>
      <c r="N1826" s="158">
        <f t="shared" ref="N1826" si="622">+D1826+F1826+H1826+J1826+L1826</f>
        <v>0</v>
      </c>
      <c r="O1826" s="168">
        <f>M1826/30</f>
        <v>0</v>
      </c>
      <c r="P1826" s="157">
        <f>N1826/30</f>
        <v>0</v>
      </c>
    </row>
    <row r="1827" spans="1:16" ht="13.5" customHeight="1">
      <c r="A1827" s="474"/>
      <c r="B1827" s="127">
        <v>10</v>
      </c>
      <c r="C1827" s="147"/>
      <c r="D1827" s="147"/>
      <c r="E1827" s="147"/>
      <c r="F1827" s="181"/>
      <c r="G1827" s="147"/>
      <c r="H1827" s="147"/>
      <c r="I1827" s="147"/>
      <c r="J1827" s="147"/>
      <c r="K1827" s="147"/>
      <c r="L1827" s="148"/>
      <c r="M1827" s="154">
        <f t="shared" ref="M1827" si="623">+C1827+E1827+G1827+I1827+K1827</f>
        <v>0</v>
      </c>
      <c r="N1827" s="155">
        <f t="shared" ref="N1827" si="624">+D1827+F1827+H1827+J1827+L1827</f>
        <v>0</v>
      </c>
      <c r="O1827" s="168">
        <f t="shared" ref="O1827" si="625">M1827/31</f>
        <v>0</v>
      </c>
      <c r="P1827" s="157">
        <f t="shared" ref="P1827" si="626">N1827/31</f>
        <v>0</v>
      </c>
    </row>
    <row r="1828" spans="1:16" ht="13.5" customHeight="1">
      <c r="A1828" s="474"/>
      <c r="B1828" s="127">
        <v>11</v>
      </c>
      <c r="C1828" s="367"/>
      <c r="D1828" s="367"/>
      <c r="E1828" s="367"/>
      <c r="F1828" s="367"/>
      <c r="G1828" s="367"/>
      <c r="H1828" s="367"/>
      <c r="I1828" s="367"/>
      <c r="J1828" s="367"/>
      <c r="K1828" s="367"/>
      <c r="L1828" s="368"/>
      <c r="M1828" s="154">
        <f t="shared" si="617"/>
        <v>0</v>
      </c>
      <c r="N1828" s="155">
        <f t="shared" si="618"/>
        <v>0</v>
      </c>
      <c r="O1828" s="168">
        <f t="shared" si="619"/>
        <v>0</v>
      </c>
      <c r="P1828" s="157">
        <f t="shared" si="620"/>
        <v>0</v>
      </c>
    </row>
    <row r="1829" spans="1:16" ht="13.5" customHeight="1" thickBot="1">
      <c r="A1829" s="475"/>
      <c r="B1829" s="127">
        <v>12</v>
      </c>
      <c r="C1829" s="187"/>
      <c r="D1829" s="187"/>
      <c r="E1829" s="187"/>
      <c r="F1829" s="188"/>
      <c r="G1829" s="187"/>
      <c r="H1829" s="187"/>
      <c r="I1829" s="187"/>
      <c r="J1829" s="187"/>
      <c r="K1829" s="187"/>
      <c r="L1829" s="189"/>
      <c r="M1829" s="154">
        <f t="shared" si="617"/>
        <v>0</v>
      </c>
      <c r="N1829" s="155">
        <f t="shared" si="618"/>
        <v>0</v>
      </c>
      <c r="O1829" s="168">
        <f t="shared" si="619"/>
        <v>0</v>
      </c>
      <c r="P1829" s="157">
        <f t="shared" si="620"/>
        <v>0</v>
      </c>
    </row>
    <row r="1830" spans="1:16" ht="18.75" customHeight="1" thickBot="1">
      <c r="A1830" s="180"/>
      <c r="B1830" s="160" t="s">
        <v>5</v>
      </c>
      <c r="C1830" s="161">
        <f>SUM(C1794:C1829)</f>
        <v>81</v>
      </c>
      <c r="D1830" s="161">
        <f t="shared" ref="D1830:K1830" si="627">SUM(D1794:D1829)</f>
        <v>138</v>
      </c>
      <c r="E1830" s="161">
        <f t="shared" si="627"/>
        <v>41</v>
      </c>
      <c r="F1830" s="161">
        <f t="shared" si="627"/>
        <v>69</v>
      </c>
      <c r="G1830" s="161">
        <f t="shared" si="627"/>
        <v>20</v>
      </c>
      <c r="H1830" s="161">
        <f t="shared" si="627"/>
        <v>44</v>
      </c>
      <c r="I1830" s="161">
        <f t="shared" si="627"/>
        <v>5</v>
      </c>
      <c r="J1830" s="161">
        <f t="shared" si="627"/>
        <v>6</v>
      </c>
      <c r="K1830" s="161">
        <f t="shared" si="627"/>
        <v>3</v>
      </c>
      <c r="L1830" s="161">
        <f>SUM(L1794:L1829)</f>
        <v>9</v>
      </c>
      <c r="M1830" s="162">
        <f>SUM(M1794:M1829)</f>
        <v>150</v>
      </c>
      <c r="N1830" s="161">
        <f>SUM(N1794:N1829)</f>
        <v>266</v>
      </c>
      <c r="O1830" s="161">
        <f>SUM(O1794:O1829)</f>
        <v>4.8580645161290308</v>
      </c>
      <c r="P1830" s="161">
        <f>SUM(P1794:P1829)</f>
        <v>8.6064516129032249</v>
      </c>
    </row>
    <row r="1832" spans="1:16">
      <c r="B1832" s="467" t="s">
        <v>108</v>
      </c>
      <c r="C1832" s="469" t="s">
        <v>29</v>
      </c>
      <c r="D1832" s="470"/>
      <c r="E1832" s="469" t="s">
        <v>30</v>
      </c>
      <c r="F1832" s="470"/>
      <c r="G1832" s="469" t="s">
        <v>31</v>
      </c>
      <c r="H1832" s="470"/>
      <c r="I1832" s="469" t="s">
        <v>58</v>
      </c>
      <c r="J1832" s="470"/>
      <c r="K1832" s="469" t="s">
        <v>57</v>
      </c>
      <c r="L1832" s="471"/>
      <c r="M1832" s="470" t="s">
        <v>5</v>
      </c>
      <c r="N1832" s="472"/>
      <c r="O1832" s="472" t="s">
        <v>33</v>
      </c>
      <c r="P1832" s="472"/>
    </row>
    <row r="1833" spans="1:16" ht="14.25" thickBot="1">
      <c r="B1833" s="468"/>
      <c r="C1833" s="13" t="s">
        <v>34</v>
      </c>
      <c r="D1833" s="13" t="s">
        <v>35</v>
      </c>
      <c r="E1833" s="13" t="s">
        <v>34</v>
      </c>
      <c r="F1833" s="13" t="s">
        <v>35</v>
      </c>
      <c r="G1833" s="13" t="s">
        <v>34</v>
      </c>
      <c r="H1833" s="13" t="s">
        <v>35</v>
      </c>
      <c r="I1833" s="13" t="s">
        <v>59</v>
      </c>
      <c r="J1833" s="13" t="s">
        <v>60</v>
      </c>
      <c r="K1833" s="13" t="s">
        <v>34</v>
      </c>
      <c r="L1833" s="14" t="s">
        <v>35</v>
      </c>
      <c r="M1833" s="15" t="s">
        <v>34</v>
      </c>
      <c r="N1833" s="13" t="s">
        <v>35</v>
      </c>
      <c r="O1833" s="163" t="s">
        <v>34</v>
      </c>
      <c r="P1833" s="163" t="s">
        <v>35</v>
      </c>
    </row>
    <row r="1834" spans="1:16">
      <c r="A1834" s="473">
        <v>2018</v>
      </c>
      <c r="B1834" s="410">
        <v>1</v>
      </c>
      <c r="C1834" s="422">
        <v>0</v>
      </c>
      <c r="D1834" s="422">
        <v>0</v>
      </c>
      <c r="E1834" s="422">
        <v>0</v>
      </c>
      <c r="F1834" s="422">
        <v>0</v>
      </c>
      <c r="G1834" s="422">
        <v>0</v>
      </c>
      <c r="H1834" s="422">
        <v>0</v>
      </c>
      <c r="I1834" s="422">
        <v>0</v>
      </c>
      <c r="J1834" s="422">
        <v>0</v>
      </c>
      <c r="K1834" s="422">
        <v>0</v>
      </c>
      <c r="L1834" s="432">
        <v>0</v>
      </c>
      <c r="M1834" s="424">
        <f t="shared" ref="M1834:M1853" si="628">+C1834+E1834+G1834+I1834+K1834</f>
        <v>0</v>
      </c>
      <c r="N1834" s="425">
        <f t="shared" ref="N1834:N1853" si="629">+D1834+F1834+H1834+J1834+L1834</f>
        <v>0</v>
      </c>
      <c r="O1834" s="430">
        <f t="shared" ref="O1834:P1838" si="630">M1834/31</f>
        <v>0</v>
      </c>
      <c r="P1834" s="427">
        <f t="shared" si="630"/>
        <v>0</v>
      </c>
    </row>
    <row r="1835" spans="1:16">
      <c r="A1835" s="474"/>
      <c r="B1835" s="127">
        <v>2</v>
      </c>
      <c r="C1835" s="147">
        <v>1</v>
      </c>
      <c r="D1835" s="147">
        <v>0</v>
      </c>
      <c r="E1835" s="147">
        <v>0</v>
      </c>
      <c r="F1835" s="147">
        <v>0</v>
      </c>
      <c r="G1835" s="147">
        <v>0</v>
      </c>
      <c r="H1835" s="147">
        <v>0</v>
      </c>
      <c r="I1835" s="147">
        <v>0</v>
      </c>
      <c r="J1835" s="147">
        <v>0</v>
      </c>
      <c r="K1835" s="147">
        <v>0</v>
      </c>
      <c r="L1835" s="174">
        <v>0</v>
      </c>
      <c r="M1835" s="149">
        <f t="shared" si="628"/>
        <v>1</v>
      </c>
      <c r="N1835" s="150">
        <f t="shared" si="629"/>
        <v>0</v>
      </c>
      <c r="O1835" s="167">
        <f t="shared" si="630"/>
        <v>3.2258064516129031E-2</v>
      </c>
      <c r="P1835" s="152">
        <f t="shared" si="630"/>
        <v>0</v>
      </c>
    </row>
    <row r="1836" spans="1:16">
      <c r="A1836" s="474"/>
      <c r="B1836" s="127">
        <v>3</v>
      </c>
      <c r="C1836" s="147">
        <v>5</v>
      </c>
      <c r="D1836" s="147">
        <v>4</v>
      </c>
      <c r="E1836" s="147">
        <v>0</v>
      </c>
      <c r="F1836" s="147">
        <v>0</v>
      </c>
      <c r="G1836" s="147">
        <v>0</v>
      </c>
      <c r="H1836" s="147">
        <v>0</v>
      </c>
      <c r="I1836" s="147">
        <v>0</v>
      </c>
      <c r="J1836" s="147">
        <v>0</v>
      </c>
      <c r="K1836" s="147">
        <v>0</v>
      </c>
      <c r="L1836" s="174">
        <v>0</v>
      </c>
      <c r="M1836" s="149">
        <f t="shared" si="628"/>
        <v>5</v>
      </c>
      <c r="N1836" s="150">
        <f t="shared" si="629"/>
        <v>4</v>
      </c>
      <c r="O1836" s="167">
        <f t="shared" si="630"/>
        <v>0.16129032258064516</v>
      </c>
      <c r="P1836" s="152">
        <f t="shared" si="630"/>
        <v>0.12903225806451613</v>
      </c>
    </row>
    <row r="1837" spans="1:16">
      <c r="A1837" s="474"/>
      <c r="B1837" s="127">
        <v>4</v>
      </c>
      <c r="C1837" s="158">
        <v>26</v>
      </c>
      <c r="D1837" s="158">
        <v>29</v>
      </c>
      <c r="E1837" s="158">
        <v>0</v>
      </c>
      <c r="F1837" s="158">
        <v>0</v>
      </c>
      <c r="G1837" s="158">
        <v>0</v>
      </c>
      <c r="H1837" s="158">
        <v>0</v>
      </c>
      <c r="I1837" s="158">
        <v>0</v>
      </c>
      <c r="J1837" s="158">
        <v>0</v>
      </c>
      <c r="K1837" s="158">
        <v>0</v>
      </c>
      <c r="L1837" s="159">
        <v>0</v>
      </c>
      <c r="M1837" s="154">
        <f t="shared" si="628"/>
        <v>26</v>
      </c>
      <c r="N1837" s="155">
        <f t="shared" si="629"/>
        <v>29</v>
      </c>
      <c r="O1837" s="168">
        <f t="shared" si="630"/>
        <v>0.83870967741935487</v>
      </c>
      <c r="P1837" s="157">
        <f t="shared" si="630"/>
        <v>0.93548387096774188</v>
      </c>
    </row>
    <row r="1838" spans="1:16">
      <c r="A1838" s="474"/>
      <c r="B1838" s="127">
        <v>5</v>
      </c>
      <c r="C1838" s="158">
        <v>23</v>
      </c>
      <c r="D1838" s="158">
        <v>83</v>
      </c>
      <c r="E1838" s="158">
        <v>0</v>
      </c>
      <c r="F1838" s="158">
        <v>0</v>
      </c>
      <c r="G1838" s="158">
        <v>0</v>
      </c>
      <c r="H1838" s="158">
        <v>0</v>
      </c>
      <c r="I1838" s="158">
        <v>1</v>
      </c>
      <c r="J1838" s="158">
        <v>2</v>
      </c>
      <c r="K1838" s="158">
        <v>0</v>
      </c>
      <c r="L1838" s="159">
        <v>0</v>
      </c>
      <c r="M1838" s="154">
        <f t="shared" si="628"/>
        <v>24</v>
      </c>
      <c r="N1838" s="155">
        <f t="shared" si="629"/>
        <v>85</v>
      </c>
      <c r="O1838" s="168">
        <f t="shared" si="630"/>
        <v>0.77419354838709675</v>
      </c>
      <c r="P1838" s="157">
        <f t="shared" si="630"/>
        <v>2.7419354838709675</v>
      </c>
    </row>
    <row r="1839" spans="1:16">
      <c r="A1839" s="474"/>
      <c r="B1839" s="127">
        <v>6</v>
      </c>
      <c r="C1839" s="158">
        <v>21</v>
      </c>
      <c r="D1839" s="158">
        <v>29</v>
      </c>
      <c r="E1839" s="158">
        <v>0</v>
      </c>
      <c r="F1839" s="158">
        <v>0</v>
      </c>
      <c r="G1839" s="158">
        <v>0</v>
      </c>
      <c r="H1839" s="158">
        <v>0</v>
      </c>
      <c r="I1839" s="158">
        <v>0</v>
      </c>
      <c r="J1839" s="158">
        <v>0</v>
      </c>
      <c r="K1839" s="158">
        <v>1</v>
      </c>
      <c r="L1839" s="158">
        <v>2</v>
      </c>
      <c r="M1839" s="154">
        <f t="shared" si="628"/>
        <v>22</v>
      </c>
      <c r="N1839" s="155">
        <f t="shared" si="629"/>
        <v>31</v>
      </c>
      <c r="O1839" s="168">
        <f>M1839/30</f>
        <v>0.73333333333333328</v>
      </c>
      <c r="P1839" s="157">
        <f>N1839/30</f>
        <v>1.0333333333333334</v>
      </c>
    </row>
    <row r="1840" spans="1:16">
      <c r="A1840" s="474"/>
      <c r="B1840" s="127">
        <v>7</v>
      </c>
      <c r="C1840" s="158">
        <v>24</v>
      </c>
      <c r="D1840" s="158">
        <v>55</v>
      </c>
      <c r="E1840" s="158">
        <v>0</v>
      </c>
      <c r="F1840" s="158">
        <v>0</v>
      </c>
      <c r="G1840" s="158">
        <v>0</v>
      </c>
      <c r="H1840" s="158">
        <v>0</v>
      </c>
      <c r="I1840" s="158">
        <v>7</v>
      </c>
      <c r="J1840" s="158">
        <v>15</v>
      </c>
      <c r="K1840" s="158">
        <v>0</v>
      </c>
      <c r="L1840" s="158">
        <v>0</v>
      </c>
      <c r="M1840" s="154">
        <f t="shared" si="628"/>
        <v>31</v>
      </c>
      <c r="N1840" s="155">
        <f t="shared" si="629"/>
        <v>70</v>
      </c>
      <c r="O1840" s="168">
        <f t="shared" ref="O1840:P1862" si="631">M1840/31</f>
        <v>1</v>
      </c>
      <c r="P1840" s="157">
        <f t="shared" si="631"/>
        <v>2.2580645161290325</v>
      </c>
    </row>
    <row r="1841" spans="1:16">
      <c r="A1841" s="474"/>
      <c r="B1841" s="127">
        <v>8</v>
      </c>
      <c r="C1841" s="158">
        <v>35</v>
      </c>
      <c r="D1841" s="158">
        <v>75</v>
      </c>
      <c r="E1841" s="158">
        <v>0</v>
      </c>
      <c r="F1841" s="158">
        <v>0</v>
      </c>
      <c r="G1841" s="158">
        <v>2</v>
      </c>
      <c r="H1841" s="158">
        <v>0</v>
      </c>
      <c r="I1841" s="158">
        <v>3</v>
      </c>
      <c r="J1841" s="158">
        <v>0</v>
      </c>
      <c r="K1841" s="158">
        <v>0</v>
      </c>
      <c r="L1841" s="159">
        <v>0</v>
      </c>
      <c r="M1841" s="177">
        <f t="shared" si="628"/>
        <v>40</v>
      </c>
      <c r="N1841" s="158">
        <f t="shared" si="629"/>
        <v>75</v>
      </c>
      <c r="O1841" s="168">
        <f t="shared" si="631"/>
        <v>1.2903225806451613</v>
      </c>
      <c r="P1841" s="157">
        <f t="shared" si="631"/>
        <v>2.4193548387096775</v>
      </c>
    </row>
    <row r="1842" spans="1:16">
      <c r="A1842" s="474"/>
      <c r="B1842" s="127">
        <v>9</v>
      </c>
      <c r="C1842" s="147">
        <v>43</v>
      </c>
      <c r="D1842" s="147">
        <v>46</v>
      </c>
      <c r="E1842" s="147">
        <v>0</v>
      </c>
      <c r="F1842" s="147">
        <v>0</v>
      </c>
      <c r="G1842" s="147">
        <v>2</v>
      </c>
      <c r="H1842" s="147">
        <v>0</v>
      </c>
      <c r="I1842" s="147">
        <v>3</v>
      </c>
      <c r="J1842" s="147">
        <v>7</v>
      </c>
      <c r="K1842" s="147">
        <v>1</v>
      </c>
      <c r="L1842" s="147">
        <v>0</v>
      </c>
      <c r="M1842" s="177">
        <f t="shared" si="628"/>
        <v>49</v>
      </c>
      <c r="N1842" s="158">
        <f t="shared" si="629"/>
        <v>53</v>
      </c>
      <c r="O1842" s="168">
        <f t="shared" si="631"/>
        <v>1.5806451612903225</v>
      </c>
      <c r="P1842" s="157">
        <f t="shared" si="631"/>
        <v>1.7096774193548387</v>
      </c>
    </row>
    <row r="1843" spans="1:16">
      <c r="A1843" s="474"/>
      <c r="B1843" s="127">
        <v>10</v>
      </c>
      <c r="C1843" s="147">
        <v>76</v>
      </c>
      <c r="D1843" s="147">
        <v>125</v>
      </c>
      <c r="E1843" s="147">
        <v>0</v>
      </c>
      <c r="F1843" s="181">
        <v>0</v>
      </c>
      <c r="G1843" s="147">
        <v>5</v>
      </c>
      <c r="H1843" s="147">
        <v>4</v>
      </c>
      <c r="I1843" s="147">
        <v>2</v>
      </c>
      <c r="J1843" s="147">
        <v>12</v>
      </c>
      <c r="K1843" s="147">
        <v>7</v>
      </c>
      <c r="L1843" s="148">
        <v>7</v>
      </c>
      <c r="M1843" s="154">
        <f t="shared" si="628"/>
        <v>90</v>
      </c>
      <c r="N1843" s="155">
        <f t="shared" si="629"/>
        <v>148</v>
      </c>
      <c r="O1843" s="168">
        <f t="shared" si="631"/>
        <v>2.903225806451613</v>
      </c>
      <c r="P1843" s="157">
        <f t="shared" si="631"/>
        <v>4.774193548387097</v>
      </c>
    </row>
    <row r="1844" spans="1:16">
      <c r="A1844" s="474"/>
      <c r="B1844" s="127">
        <v>11</v>
      </c>
      <c r="C1844" s="367">
        <v>82</v>
      </c>
      <c r="D1844" s="367">
        <v>183</v>
      </c>
      <c r="E1844" s="367">
        <v>0</v>
      </c>
      <c r="F1844" s="367">
        <v>0</v>
      </c>
      <c r="G1844" s="367">
        <v>5</v>
      </c>
      <c r="H1844" s="367">
        <v>27</v>
      </c>
      <c r="I1844" s="367">
        <v>8</v>
      </c>
      <c r="J1844" s="367">
        <v>4</v>
      </c>
      <c r="K1844" s="367">
        <v>11</v>
      </c>
      <c r="L1844" s="368">
        <v>14</v>
      </c>
      <c r="M1844" s="154">
        <f t="shared" si="628"/>
        <v>106</v>
      </c>
      <c r="N1844" s="155">
        <f t="shared" si="629"/>
        <v>228</v>
      </c>
      <c r="O1844" s="168">
        <f t="shared" si="631"/>
        <v>3.4193548387096775</v>
      </c>
      <c r="P1844" s="157">
        <f t="shared" si="631"/>
        <v>7.354838709677419</v>
      </c>
    </row>
    <row r="1845" spans="1:16" ht="14.25" thickBot="1">
      <c r="A1845" s="475"/>
      <c r="B1845" s="127">
        <v>12</v>
      </c>
      <c r="C1845" s="187">
        <v>68</v>
      </c>
      <c r="D1845" s="187">
        <v>258</v>
      </c>
      <c r="E1845" s="187">
        <v>0</v>
      </c>
      <c r="F1845" s="188">
        <v>0</v>
      </c>
      <c r="G1845" s="187">
        <v>9</v>
      </c>
      <c r="H1845" s="187">
        <v>6</v>
      </c>
      <c r="I1845" s="187">
        <v>9</v>
      </c>
      <c r="J1845" s="187">
        <v>21</v>
      </c>
      <c r="K1845" s="187">
        <v>7</v>
      </c>
      <c r="L1845" s="189">
        <v>43</v>
      </c>
      <c r="M1845" s="154">
        <f t="shared" si="628"/>
        <v>93</v>
      </c>
      <c r="N1845" s="155">
        <f t="shared" si="629"/>
        <v>328</v>
      </c>
      <c r="O1845" s="168">
        <f t="shared" si="631"/>
        <v>3</v>
      </c>
      <c r="P1845" s="157">
        <f t="shared" si="631"/>
        <v>10.580645161290322</v>
      </c>
    </row>
    <row r="1846" spans="1:16">
      <c r="A1846" s="473">
        <v>2019</v>
      </c>
      <c r="B1846" s="410">
        <v>1</v>
      </c>
      <c r="C1846" s="422">
        <v>83</v>
      </c>
      <c r="D1846" s="422">
        <v>176</v>
      </c>
      <c r="E1846" s="422">
        <v>1</v>
      </c>
      <c r="F1846" s="422">
        <v>2</v>
      </c>
      <c r="G1846" s="422">
        <v>12</v>
      </c>
      <c r="H1846" s="422">
        <v>14</v>
      </c>
      <c r="I1846" s="422">
        <v>13</v>
      </c>
      <c r="J1846" s="422">
        <v>32</v>
      </c>
      <c r="K1846" s="422">
        <v>21</v>
      </c>
      <c r="L1846" s="432">
        <v>44</v>
      </c>
      <c r="M1846" s="424">
        <f t="shared" si="628"/>
        <v>130</v>
      </c>
      <c r="N1846" s="425">
        <f t="shared" si="629"/>
        <v>268</v>
      </c>
      <c r="O1846" s="430">
        <f t="shared" ref="O1846:O1850" si="632">M1846/31</f>
        <v>4.193548387096774</v>
      </c>
      <c r="P1846" s="427">
        <f t="shared" ref="P1846:P1850" si="633">N1846/31</f>
        <v>8.6451612903225801</v>
      </c>
    </row>
    <row r="1847" spans="1:16">
      <c r="A1847" s="474"/>
      <c r="B1847" s="127">
        <v>2</v>
      </c>
      <c r="C1847" s="147">
        <v>53</v>
      </c>
      <c r="D1847" s="147">
        <v>248</v>
      </c>
      <c r="E1847" s="147">
        <v>0</v>
      </c>
      <c r="F1847" s="147">
        <v>0</v>
      </c>
      <c r="G1847" s="147">
        <v>3</v>
      </c>
      <c r="H1847" s="147">
        <v>49</v>
      </c>
      <c r="I1847" s="147">
        <v>7</v>
      </c>
      <c r="J1847" s="147">
        <v>51</v>
      </c>
      <c r="K1847" s="147">
        <v>10</v>
      </c>
      <c r="L1847" s="174">
        <v>65</v>
      </c>
      <c r="M1847" s="149">
        <f t="shared" si="628"/>
        <v>73</v>
      </c>
      <c r="N1847" s="150">
        <f t="shared" si="629"/>
        <v>413</v>
      </c>
      <c r="O1847" s="167">
        <f t="shared" si="632"/>
        <v>2.3548387096774195</v>
      </c>
      <c r="P1847" s="152">
        <f t="shared" si="633"/>
        <v>13.32258064516129</v>
      </c>
    </row>
    <row r="1848" spans="1:16">
      <c r="A1848" s="474"/>
      <c r="B1848" s="127">
        <v>3</v>
      </c>
      <c r="C1848" s="147">
        <v>83</v>
      </c>
      <c r="D1848" s="147">
        <v>148</v>
      </c>
      <c r="E1848" s="147">
        <v>0</v>
      </c>
      <c r="F1848" s="147">
        <v>0</v>
      </c>
      <c r="G1848" s="147">
        <v>6</v>
      </c>
      <c r="H1848" s="147">
        <v>9</v>
      </c>
      <c r="I1848" s="147">
        <v>3</v>
      </c>
      <c r="J1848" s="147">
        <v>2</v>
      </c>
      <c r="K1848" s="147">
        <v>3</v>
      </c>
      <c r="L1848" s="174">
        <v>27</v>
      </c>
      <c r="M1848" s="149">
        <f t="shared" si="628"/>
        <v>95</v>
      </c>
      <c r="N1848" s="150">
        <f t="shared" si="629"/>
        <v>186</v>
      </c>
      <c r="O1848" s="167">
        <f t="shared" si="632"/>
        <v>3.064516129032258</v>
      </c>
      <c r="P1848" s="152">
        <f t="shared" si="633"/>
        <v>6</v>
      </c>
    </row>
    <row r="1849" spans="1:16">
      <c r="A1849" s="474"/>
      <c r="B1849" s="127">
        <v>4</v>
      </c>
      <c r="C1849" s="158">
        <v>91</v>
      </c>
      <c r="D1849" s="158">
        <v>333</v>
      </c>
      <c r="E1849" s="158">
        <v>0</v>
      </c>
      <c r="F1849" s="158">
        <v>0</v>
      </c>
      <c r="G1849" s="158">
        <v>5</v>
      </c>
      <c r="H1849" s="158">
        <v>6</v>
      </c>
      <c r="I1849" s="158">
        <v>4</v>
      </c>
      <c r="J1849" s="158">
        <v>8</v>
      </c>
      <c r="K1849" s="158">
        <v>1</v>
      </c>
      <c r="L1849" s="159">
        <v>8</v>
      </c>
      <c r="M1849" s="154">
        <f t="shared" si="628"/>
        <v>101</v>
      </c>
      <c r="N1849" s="155">
        <f t="shared" si="629"/>
        <v>355</v>
      </c>
      <c r="O1849" s="168">
        <f t="shared" si="632"/>
        <v>3.2580645161290325</v>
      </c>
      <c r="P1849" s="157">
        <f t="shared" si="633"/>
        <v>11.451612903225806</v>
      </c>
    </row>
    <row r="1850" spans="1:16">
      <c r="A1850" s="474"/>
      <c r="B1850" s="127">
        <v>5</v>
      </c>
      <c r="C1850" s="158">
        <v>48</v>
      </c>
      <c r="D1850" s="158">
        <v>140</v>
      </c>
      <c r="E1850" s="158">
        <v>0</v>
      </c>
      <c r="F1850" s="158">
        <v>0</v>
      </c>
      <c r="G1850" s="158">
        <v>2</v>
      </c>
      <c r="H1850" s="158">
        <v>9</v>
      </c>
      <c r="I1850" s="158">
        <v>5</v>
      </c>
      <c r="J1850" s="158">
        <v>8</v>
      </c>
      <c r="K1850" s="158">
        <v>0</v>
      </c>
      <c r="L1850" s="159">
        <v>2</v>
      </c>
      <c r="M1850" s="154">
        <f t="shared" si="628"/>
        <v>55</v>
      </c>
      <c r="N1850" s="155">
        <f t="shared" si="629"/>
        <v>159</v>
      </c>
      <c r="O1850" s="168">
        <f t="shared" si="632"/>
        <v>1.7741935483870968</v>
      </c>
      <c r="P1850" s="157">
        <f t="shared" si="633"/>
        <v>5.129032258064516</v>
      </c>
    </row>
    <row r="1851" spans="1:16">
      <c r="A1851" s="474"/>
      <c r="B1851" s="127">
        <v>6</v>
      </c>
      <c r="C1851" s="158">
        <v>26</v>
      </c>
      <c r="D1851" s="158">
        <v>71</v>
      </c>
      <c r="E1851" s="158">
        <v>0</v>
      </c>
      <c r="F1851" s="158">
        <v>0</v>
      </c>
      <c r="G1851" s="158">
        <v>5</v>
      </c>
      <c r="H1851" s="158">
        <v>19</v>
      </c>
      <c r="I1851" s="158">
        <v>2</v>
      </c>
      <c r="J1851" s="158">
        <v>4</v>
      </c>
      <c r="K1851" s="158">
        <v>1</v>
      </c>
      <c r="L1851" s="158">
        <v>0</v>
      </c>
      <c r="M1851" s="154">
        <f t="shared" si="628"/>
        <v>34</v>
      </c>
      <c r="N1851" s="155">
        <f t="shared" si="629"/>
        <v>94</v>
      </c>
      <c r="O1851" s="168">
        <f>M1851/30</f>
        <v>1.1333333333333333</v>
      </c>
      <c r="P1851" s="157">
        <f>N1851/30</f>
        <v>3.1333333333333333</v>
      </c>
    </row>
    <row r="1852" spans="1:16">
      <c r="A1852" s="474"/>
      <c r="B1852" s="127">
        <v>7</v>
      </c>
      <c r="C1852" s="158">
        <v>48</v>
      </c>
      <c r="D1852" s="158">
        <v>111</v>
      </c>
      <c r="E1852" s="158">
        <v>0</v>
      </c>
      <c r="F1852" s="158">
        <v>0</v>
      </c>
      <c r="G1852" s="158">
        <v>4</v>
      </c>
      <c r="H1852" s="158">
        <v>10</v>
      </c>
      <c r="I1852" s="158">
        <v>5</v>
      </c>
      <c r="J1852" s="158">
        <v>5</v>
      </c>
      <c r="K1852" s="158">
        <v>0</v>
      </c>
      <c r="L1852" s="158">
        <v>0</v>
      </c>
      <c r="M1852" s="154">
        <f t="shared" si="628"/>
        <v>57</v>
      </c>
      <c r="N1852" s="155">
        <f t="shared" si="629"/>
        <v>126</v>
      </c>
      <c r="O1852" s="168">
        <f t="shared" ref="O1852:O1853" si="634">M1852/31</f>
        <v>1.8387096774193548</v>
      </c>
      <c r="P1852" s="157">
        <f t="shared" ref="P1852:P1853" si="635">N1852/31</f>
        <v>4.064516129032258</v>
      </c>
    </row>
    <row r="1853" spans="1:16">
      <c r="A1853" s="474"/>
      <c r="B1853" s="127">
        <v>8</v>
      </c>
      <c r="C1853" s="158">
        <v>53</v>
      </c>
      <c r="D1853" s="158">
        <v>91</v>
      </c>
      <c r="E1853" s="158">
        <v>0</v>
      </c>
      <c r="F1853" s="158">
        <v>0</v>
      </c>
      <c r="G1853" s="158">
        <v>4</v>
      </c>
      <c r="H1853" s="158">
        <v>23</v>
      </c>
      <c r="I1853" s="158">
        <v>5</v>
      </c>
      <c r="J1853" s="158">
        <v>22</v>
      </c>
      <c r="K1853" s="158">
        <v>0</v>
      </c>
      <c r="L1853" s="159">
        <v>7</v>
      </c>
      <c r="M1853" s="177">
        <f t="shared" si="628"/>
        <v>62</v>
      </c>
      <c r="N1853" s="158">
        <f t="shared" si="629"/>
        <v>143</v>
      </c>
      <c r="O1853" s="168">
        <f t="shared" si="634"/>
        <v>2</v>
      </c>
      <c r="P1853" s="157">
        <f t="shared" si="635"/>
        <v>4.612903225806452</v>
      </c>
    </row>
    <row r="1854" spans="1:16">
      <c r="A1854" s="474"/>
      <c r="B1854" s="127">
        <v>9</v>
      </c>
      <c r="C1854" s="147">
        <v>57</v>
      </c>
      <c r="D1854" s="147">
        <v>76</v>
      </c>
      <c r="E1854" s="147">
        <v>0</v>
      </c>
      <c r="F1854" s="147">
        <v>0</v>
      </c>
      <c r="G1854" s="147">
        <v>4</v>
      </c>
      <c r="H1854" s="147">
        <v>5</v>
      </c>
      <c r="I1854" s="147">
        <v>5</v>
      </c>
      <c r="J1854" s="147">
        <v>15</v>
      </c>
      <c r="K1854" s="147">
        <v>1</v>
      </c>
      <c r="L1854" s="147">
        <v>0</v>
      </c>
      <c r="M1854" s="177">
        <v>67</v>
      </c>
      <c r="N1854" s="158">
        <v>96</v>
      </c>
      <c r="O1854" s="168">
        <v>2.161290322580645</v>
      </c>
      <c r="P1854" s="157">
        <v>3.096774193548387</v>
      </c>
    </row>
    <row r="1855" spans="1:16">
      <c r="A1855" s="474"/>
      <c r="B1855" s="127">
        <v>10</v>
      </c>
      <c r="C1855" s="147">
        <v>90</v>
      </c>
      <c r="D1855" s="147">
        <v>170</v>
      </c>
      <c r="E1855" s="147">
        <v>0</v>
      </c>
      <c r="F1855" s="181">
        <v>0</v>
      </c>
      <c r="G1855" s="147">
        <v>4</v>
      </c>
      <c r="H1855" s="147">
        <v>7</v>
      </c>
      <c r="I1855" s="147">
        <v>3</v>
      </c>
      <c r="J1855" s="147">
        <v>5</v>
      </c>
      <c r="K1855" s="147">
        <v>10</v>
      </c>
      <c r="L1855" s="148">
        <v>0</v>
      </c>
      <c r="M1855" s="154">
        <f t="shared" ref="M1855:M1857" si="636">+C1855+E1855+G1855+I1855+K1855</f>
        <v>107</v>
      </c>
      <c r="N1855" s="155">
        <f t="shared" ref="N1855:N1857" si="637">+D1855+F1855+H1855+J1855+L1855</f>
        <v>182</v>
      </c>
      <c r="O1855" s="168">
        <f t="shared" ref="O1855:O1857" si="638">M1855/31</f>
        <v>3.4516129032258065</v>
      </c>
      <c r="P1855" s="157">
        <f t="shared" ref="P1855:P1857" si="639">N1855/31</f>
        <v>5.870967741935484</v>
      </c>
    </row>
    <row r="1856" spans="1:16">
      <c r="A1856" s="474"/>
      <c r="B1856" s="127">
        <v>11</v>
      </c>
      <c r="C1856" s="367">
        <v>122</v>
      </c>
      <c r="D1856" s="367">
        <v>306</v>
      </c>
      <c r="E1856" s="367">
        <v>0</v>
      </c>
      <c r="F1856" s="367">
        <v>0</v>
      </c>
      <c r="G1856" s="367">
        <v>5</v>
      </c>
      <c r="H1856" s="367">
        <v>3</v>
      </c>
      <c r="I1856" s="367">
        <v>8</v>
      </c>
      <c r="J1856" s="367">
        <v>4</v>
      </c>
      <c r="K1856" s="367">
        <v>13</v>
      </c>
      <c r="L1856" s="368">
        <v>16</v>
      </c>
      <c r="M1856" s="154">
        <f t="shared" si="636"/>
        <v>148</v>
      </c>
      <c r="N1856" s="155">
        <f t="shared" si="637"/>
        <v>329</v>
      </c>
      <c r="O1856" s="168">
        <f t="shared" si="638"/>
        <v>4.774193548387097</v>
      </c>
      <c r="P1856" s="157">
        <f t="shared" si="639"/>
        <v>10.612903225806452</v>
      </c>
    </row>
    <row r="1857" spans="1:16" ht="14.25" thickBot="1">
      <c r="A1857" s="475"/>
      <c r="B1857" s="127">
        <v>12</v>
      </c>
      <c r="C1857" s="187">
        <v>88</v>
      </c>
      <c r="D1857" s="187">
        <v>358</v>
      </c>
      <c r="E1857" s="187">
        <v>0</v>
      </c>
      <c r="F1857" s="188">
        <v>0</v>
      </c>
      <c r="G1857" s="187">
        <v>5</v>
      </c>
      <c r="H1857" s="187">
        <v>7</v>
      </c>
      <c r="I1857" s="187">
        <v>11</v>
      </c>
      <c r="J1857" s="187">
        <v>6</v>
      </c>
      <c r="K1857" s="187">
        <v>21</v>
      </c>
      <c r="L1857" s="189">
        <v>65</v>
      </c>
      <c r="M1857" s="154">
        <f t="shared" si="636"/>
        <v>125</v>
      </c>
      <c r="N1857" s="155">
        <f t="shared" si="637"/>
        <v>436</v>
      </c>
      <c r="O1857" s="168">
        <f t="shared" si="638"/>
        <v>4.032258064516129</v>
      </c>
      <c r="P1857" s="157">
        <f t="shared" si="639"/>
        <v>14.064516129032258</v>
      </c>
    </row>
    <row r="1858" spans="1:16">
      <c r="A1858" s="473">
        <v>2020</v>
      </c>
      <c r="B1858" s="410">
        <v>1</v>
      </c>
      <c r="C1858" s="434">
        <v>85</v>
      </c>
      <c r="D1858" s="434">
        <v>267</v>
      </c>
      <c r="E1858" s="434">
        <v>0</v>
      </c>
      <c r="F1858" s="434">
        <v>0</v>
      </c>
      <c r="G1858" s="434">
        <v>4</v>
      </c>
      <c r="H1858" s="434">
        <v>21</v>
      </c>
      <c r="I1858" s="434">
        <v>17</v>
      </c>
      <c r="J1858" s="434">
        <v>44</v>
      </c>
      <c r="K1858" s="434">
        <v>26</v>
      </c>
      <c r="L1858" s="436">
        <v>100</v>
      </c>
      <c r="M1858" s="424">
        <f t="shared" ref="M1858:M1869" si="640">+C1858+E1858+G1858+I1858+K1858</f>
        <v>132</v>
      </c>
      <c r="N1858" s="425">
        <f t="shared" ref="N1858:N1869" si="641">+D1858+F1858+H1858+J1858+L1858</f>
        <v>432</v>
      </c>
      <c r="O1858" s="430">
        <f t="shared" si="631"/>
        <v>4.258064516129032</v>
      </c>
      <c r="P1858" s="427">
        <f t="shared" si="631"/>
        <v>13.935483870967742</v>
      </c>
    </row>
    <row r="1859" spans="1:16">
      <c r="A1859" s="474"/>
      <c r="B1859" s="127">
        <v>2</v>
      </c>
      <c r="C1859" s="147">
        <v>38</v>
      </c>
      <c r="D1859" s="147">
        <v>201</v>
      </c>
      <c r="E1859" s="147">
        <v>0</v>
      </c>
      <c r="F1859" s="147">
        <v>0</v>
      </c>
      <c r="G1859" s="147">
        <v>2</v>
      </c>
      <c r="H1859" s="147">
        <v>15</v>
      </c>
      <c r="I1859" s="147">
        <v>1</v>
      </c>
      <c r="J1859" s="147">
        <v>21</v>
      </c>
      <c r="K1859" s="147">
        <v>7</v>
      </c>
      <c r="L1859" s="148">
        <v>96</v>
      </c>
      <c r="M1859" s="149">
        <f t="shared" si="640"/>
        <v>48</v>
      </c>
      <c r="N1859" s="150">
        <f t="shared" si="641"/>
        <v>333</v>
      </c>
      <c r="O1859" s="167">
        <f t="shared" si="631"/>
        <v>1.5483870967741935</v>
      </c>
      <c r="P1859" s="152">
        <f t="shared" si="631"/>
        <v>10.741935483870968</v>
      </c>
    </row>
    <row r="1860" spans="1:16">
      <c r="A1860" s="474"/>
      <c r="B1860" s="127">
        <v>3</v>
      </c>
      <c r="C1860" s="147">
        <v>6</v>
      </c>
      <c r="D1860" s="147">
        <v>23</v>
      </c>
      <c r="E1860" s="147">
        <v>0</v>
      </c>
      <c r="F1860" s="147">
        <v>0</v>
      </c>
      <c r="G1860" s="147">
        <v>0</v>
      </c>
      <c r="H1860" s="147">
        <v>3</v>
      </c>
      <c r="I1860" s="147">
        <v>0</v>
      </c>
      <c r="J1860" s="147">
        <v>0</v>
      </c>
      <c r="K1860" s="147">
        <v>0</v>
      </c>
      <c r="L1860" s="148">
        <v>1</v>
      </c>
      <c r="M1860" s="149">
        <f t="shared" si="640"/>
        <v>6</v>
      </c>
      <c r="N1860" s="150">
        <f t="shared" si="641"/>
        <v>27</v>
      </c>
      <c r="O1860" s="167">
        <f t="shared" si="631"/>
        <v>0.19354838709677419</v>
      </c>
      <c r="P1860" s="152">
        <f t="shared" si="631"/>
        <v>0.87096774193548387</v>
      </c>
    </row>
    <row r="1861" spans="1:16">
      <c r="A1861" s="474"/>
      <c r="B1861" s="127">
        <v>4</v>
      </c>
      <c r="C1861" s="147">
        <v>0</v>
      </c>
      <c r="D1861" s="147">
        <v>0</v>
      </c>
      <c r="E1861" s="147">
        <v>0</v>
      </c>
      <c r="F1861" s="147">
        <v>0</v>
      </c>
      <c r="G1861" s="147">
        <v>0</v>
      </c>
      <c r="H1861" s="147">
        <v>0</v>
      </c>
      <c r="I1861" s="147">
        <v>0</v>
      </c>
      <c r="J1861" s="147">
        <v>0</v>
      </c>
      <c r="K1861" s="147">
        <v>0</v>
      </c>
      <c r="L1861" s="148">
        <v>0</v>
      </c>
      <c r="M1861" s="154">
        <f t="shared" si="640"/>
        <v>0</v>
      </c>
      <c r="N1861" s="155">
        <f t="shared" si="641"/>
        <v>0</v>
      </c>
      <c r="O1861" s="168">
        <f t="shared" si="631"/>
        <v>0</v>
      </c>
      <c r="P1861" s="157">
        <f t="shared" si="631"/>
        <v>0</v>
      </c>
    </row>
    <row r="1862" spans="1:16">
      <c r="A1862" s="474"/>
      <c r="B1862" s="127">
        <v>5</v>
      </c>
      <c r="C1862" s="147">
        <v>0</v>
      </c>
      <c r="D1862" s="147">
        <v>0</v>
      </c>
      <c r="E1862" s="147">
        <v>0</v>
      </c>
      <c r="F1862" s="147">
        <v>0</v>
      </c>
      <c r="G1862" s="147">
        <v>0</v>
      </c>
      <c r="H1862" s="147">
        <v>0</v>
      </c>
      <c r="I1862" s="147">
        <v>0</v>
      </c>
      <c r="J1862" s="147">
        <v>0</v>
      </c>
      <c r="K1862" s="147">
        <v>0</v>
      </c>
      <c r="L1862" s="148">
        <v>0</v>
      </c>
      <c r="M1862" s="154">
        <f t="shared" si="640"/>
        <v>0</v>
      </c>
      <c r="N1862" s="155">
        <f t="shared" si="641"/>
        <v>0</v>
      </c>
      <c r="O1862" s="168">
        <f t="shared" si="631"/>
        <v>0</v>
      </c>
      <c r="P1862" s="157">
        <f t="shared" si="631"/>
        <v>0</v>
      </c>
    </row>
    <row r="1863" spans="1:16">
      <c r="A1863" s="474"/>
      <c r="B1863" s="127">
        <v>6</v>
      </c>
      <c r="C1863" s="147">
        <f>集計用!C33</f>
        <v>0</v>
      </c>
      <c r="D1863" s="147">
        <f>集計用!S33</f>
        <v>0</v>
      </c>
      <c r="E1863" s="147">
        <f>集計用!E33</f>
        <v>0</v>
      </c>
      <c r="F1863" s="147">
        <f>集計用!U33</f>
        <v>0</v>
      </c>
      <c r="G1863" s="147">
        <f>集計用!G33</f>
        <v>0</v>
      </c>
      <c r="H1863" s="147">
        <f>集計用!W33</f>
        <v>0</v>
      </c>
      <c r="I1863" s="147">
        <f>集計用!I33</f>
        <v>0</v>
      </c>
      <c r="J1863" s="147">
        <f>集計用!Y33</f>
        <v>0</v>
      </c>
      <c r="K1863" s="147">
        <f>集計用!K33</f>
        <v>0</v>
      </c>
      <c r="L1863" s="148">
        <f>集計用!AA33</f>
        <v>0</v>
      </c>
      <c r="M1863" s="154">
        <f t="shared" si="640"/>
        <v>0</v>
      </c>
      <c r="N1863" s="155">
        <f t="shared" si="641"/>
        <v>0</v>
      </c>
      <c r="O1863" s="168">
        <f>M1863/30</f>
        <v>0</v>
      </c>
      <c r="P1863" s="157">
        <f>N1863/30</f>
        <v>0</v>
      </c>
    </row>
    <row r="1864" spans="1:16">
      <c r="A1864" s="474"/>
      <c r="B1864" s="127">
        <v>7</v>
      </c>
      <c r="C1864" s="158"/>
      <c r="D1864" s="158"/>
      <c r="E1864" s="158"/>
      <c r="F1864" s="158"/>
      <c r="G1864" s="158"/>
      <c r="H1864" s="158"/>
      <c r="I1864" s="158"/>
      <c r="J1864" s="158"/>
      <c r="K1864" s="158"/>
      <c r="L1864" s="158"/>
      <c r="M1864" s="154">
        <f t="shared" si="640"/>
        <v>0</v>
      </c>
      <c r="N1864" s="155">
        <f t="shared" si="641"/>
        <v>0</v>
      </c>
      <c r="O1864" s="168">
        <f t="shared" ref="O1864:O1869" si="642">M1864/31</f>
        <v>0</v>
      </c>
      <c r="P1864" s="157">
        <f t="shared" ref="P1864:P1869" si="643">N1864/31</f>
        <v>0</v>
      </c>
    </row>
    <row r="1865" spans="1:16">
      <c r="A1865" s="474"/>
      <c r="B1865" s="127">
        <v>8</v>
      </c>
      <c r="C1865" s="158"/>
      <c r="D1865" s="158"/>
      <c r="E1865" s="158"/>
      <c r="F1865" s="158"/>
      <c r="G1865" s="158"/>
      <c r="H1865" s="158"/>
      <c r="I1865" s="158"/>
      <c r="J1865" s="158"/>
      <c r="K1865" s="158"/>
      <c r="L1865" s="159"/>
      <c r="M1865" s="177">
        <f t="shared" si="640"/>
        <v>0</v>
      </c>
      <c r="N1865" s="158">
        <f t="shared" si="641"/>
        <v>0</v>
      </c>
      <c r="O1865" s="168">
        <f t="shared" si="642"/>
        <v>0</v>
      </c>
      <c r="P1865" s="157">
        <f t="shared" si="643"/>
        <v>0</v>
      </c>
    </row>
    <row r="1866" spans="1:16">
      <c r="A1866" s="474"/>
      <c r="B1866" s="127">
        <v>9</v>
      </c>
      <c r="C1866" s="147"/>
      <c r="D1866" s="147"/>
      <c r="E1866" s="147"/>
      <c r="F1866" s="147"/>
      <c r="G1866" s="147"/>
      <c r="H1866" s="147"/>
      <c r="I1866" s="147"/>
      <c r="J1866" s="147"/>
      <c r="K1866" s="147"/>
      <c r="L1866" s="147"/>
      <c r="M1866" s="177">
        <f t="shared" ref="M1866" si="644">+C1866+E1866+G1866+I1866+K1866</f>
        <v>0</v>
      </c>
      <c r="N1866" s="158">
        <f t="shared" ref="N1866" si="645">+D1866+F1866+H1866+J1866+L1866</f>
        <v>0</v>
      </c>
      <c r="O1866" s="168">
        <f>M1866/30</f>
        <v>0</v>
      </c>
      <c r="P1866" s="157">
        <f>N1866/30</f>
        <v>0</v>
      </c>
    </row>
    <row r="1867" spans="1:16">
      <c r="A1867" s="474"/>
      <c r="B1867" s="127">
        <v>10</v>
      </c>
      <c r="C1867" s="147"/>
      <c r="D1867" s="147"/>
      <c r="E1867" s="147"/>
      <c r="F1867" s="181"/>
      <c r="G1867" s="147"/>
      <c r="H1867" s="147"/>
      <c r="I1867" s="147"/>
      <c r="J1867" s="147"/>
      <c r="K1867" s="147"/>
      <c r="L1867" s="148"/>
      <c r="M1867" s="154">
        <f t="shared" ref="M1867" si="646">+C1867+E1867+G1867+I1867+K1867</f>
        <v>0</v>
      </c>
      <c r="N1867" s="155">
        <f t="shared" ref="N1867" si="647">+D1867+F1867+H1867+J1867+L1867</f>
        <v>0</v>
      </c>
      <c r="O1867" s="168">
        <f t="shared" ref="O1867" si="648">M1867/31</f>
        <v>0</v>
      </c>
      <c r="P1867" s="157">
        <f t="shared" ref="P1867" si="649">N1867/31</f>
        <v>0</v>
      </c>
    </row>
    <row r="1868" spans="1:16">
      <c r="A1868" s="474"/>
      <c r="B1868" s="127">
        <v>11</v>
      </c>
      <c r="C1868" s="367"/>
      <c r="D1868" s="367"/>
      <c r="E1868" s="367"/>
      <c r="F1868" s="367"/>
      <c r="G1868" s="367"/>
      <c r="H1868" s="367"/>
      <c r="I1868" s="367"/>
      <c r="J1868" s="367"/>
      <c r="K1868" s="367"/>
      <c r="L1868" s="368"/>
      <c r="M1868" s="154">
        <f t="shared" si="640"/>
        <v>0</v>
      </c>
      <c r="N1868" s="155">
        <f t="shared" si="641"/>
        <v>0</v>
      </c>
      <c r="O1868" s="168">
        <f t="shared" si="642"/>
        <v>0</v>
      </c>
      <c r="P1868" s="157">
        <f t="shared" si="643"/>
        <v>0</v>
      </c>
    </row>
    <row r="1869" spans="1:16" ht="14.25" thickBot="1">
      <c r="A1869" s="475"/>
      <c r="B1869" s="127">
        <v>12</v>
      </c>
      <c r="C1869" s="187"/>
      <c r="D1869" s="187"/>
      <c r="E1869" s="187"/>
      <c r="F1869" s="188"/>
      <c r="G1869" s="187"/>
      <c r="H1869" s="187"/>
      <c r="I1869" s="187"/>
      <c r="J1869" s="187"/>
      <c r="K1869" s="187"/>
      <c r="L1869" s="189"/>
      <c r="M1869" s="154">
        <f t="shared" si="640"/>
        <v>0</v>
      </c>
      <c r="N1869" s="155">
        <f t="shared" si="641"/>
        <v>0</v>
      </c>
      <c r="O1869" s="168">
        <f t="shared" si="642"/>
        <v>0</v>
      </c>
      <c r="P1869" s="157">
        <f t="shared" si="643"/>
        <v>0</v>
      </c>
    </row>
    <row r="1870" spans="1:16" ht="14.25" thickBot="1">
      <c r="A1870" s="180"/>
      <c r="B1870" s="160" t="s">
        <v>5</v>
      </c>
      <c r="C1870" s="161">
        <f>SUM(C1834:C1869)</f>
        <v>1375</v>
      </c>
      <c r="D1870" s="161">
        <f t="shared" ref="D1870:K1870" si="650">SUM(D1834:D1869)</f>
        <v>3606</v>
      </c>
      <c r="E1870" s="161">
        <f t="shared" si="650"/>
        <v>1</v>
      </c>
      <c r="F1870" s="161">
        <f t="shared" si="650"/>
        <v>2</v>
      </c>
      <c r="G1870" s="161">
        <f t="shared" si="650"/>
        <v>88</v>
      </c>
      <c r="H1870" s="161">
        <f t="shared" si="650"/>
        <v>237</v>
      </c>
      <c r="I1870" s="161">
        <f t="shared" si="650"/>
        <v>122</v>
      </c>
      <c r="J1870" s="161">
        <f t="shared" si="650"/>
        <v>288</v>
      </c>
      <c r="K1870" s="161">
        <f t="shared" si="650"/>
        <v>141</v>
      </c>
      <c r="L1870" s="161">
        <f>SUM(L1834:L1869)</f>
        <v>497</v>
      </c>
      <c r="M1870" s="162">
        <f>SUM(M1834:M1869)</f>
        <v>1727</v>
      </c>
      <c r="N1870" s="161">
        <f>SUM(N1834:N1869)</f>
        <v>4630</v>
      </c>
      <c r="O1870" s="161">
        <f>SUM(O1834:O1869)</f>
        <v>55.769892473118276</v>
      </c>
      <c r="P1870" s="161">
        <f>SUM(P1834:P1869)</f>
        <v>149.48924731182794</v>
      </c>
    </row>
    <row r="1872" spans="1:16">
      <c r="B1872" s="467" t="s">
        <v>150</v>
      </c>
      <c r="C1872" s="469" t="s">
        <v>29</v>
      </c>
      <c r="D1872" s="470"/>
      <c r="E1872" s="469" t="s">
        <v>30</v>
      </c>
      <c r="F1872" s="470"/>
      <c r="G1872" s="469" t="s">
        <v>31</v>
      </c>
      <c r="H1872" s="470"/>
      <c r="I1872" s="469" t="s">
        <v>58</v>
      </c>
      <c r="J1872" s="470"/>
      <c r="K1872" s="469" t="s">
        <v>57</v>
      </c>
      <c r="L1872" s="471"/>
      <c r="M1872" s="470" t="s">
        <v>5</v>
      </c>
      <c r="N1872" s="472"/>
      <c r="O1872" s="472" t="s">
        <v>33</v>
      </c>
      <c r="P1872" s="472"/>
    </row>
    <row r="1873" spans="1:16" ht="14.25" thickBot="1">
      <c r="B1873" s="468"/>
      <c r="C1873" s="13" t="s">
        <v>34</v>
      </c>
      <c r="D1873" s="13" t="s">
        <v>35</v>
      </c>
      <c r="E1873" s="13" t="s">
        <v>34</v>
      </c>
      <c r="F1873" s="13" t="s">
        <v>35</v>
      </c>
      <c r="G1873" s="13" t="s">
        <v>34</v>
      </c>
      <c r="H1873" s="13" t="s">
        <v>35</v>
      </c>
      <c r="I1873" s="13" t="s">
        <v>59</v>
      </c>
      <c r="J1873" s="13" t="s">
        <v>60</v>
      </c>
      <c r="K1873" s="13" t="s">
        <v>34</v>
      </c>
      <c r="L1873" s="14" t="s">
        <v>35</v>
      </c>
      <c r="M1873" s="15" t="s">
        <v>34</v>
      </c>
      <c r="N1873" s="13" t="s">
        <v>35</v>
      </c>
      <c r="O1873" s="163" t="s">
        <v>34</v>
      </c>
      <c r="P1873" s="163" t="s">
        <v>35</v>
      </c>
    </row>
    <row r="1874" spans="1:16">
      <c r="A1874" s="473">
        <v>2018</v>
      </c>
      <c r="B1874" s="410">
        <v>1</v>
      </c>
      <c r="C1874" s="422">
        <v>0</v>
      </c>
      <c r="D1874" s="422">
        <v>0</v>
      </c>
      <c r="E1874" s="422">
        <v>0</v>
      </c>
      <c r="F1874" s="422">
        <v>0</v>
      </c>
      <c r="G1874" s="422">
        <v>0</v>
      </c>
      <c r="H1874" s="422">
        <v>0</v>
      </c>
      <c r="I1874" s="422">
        <v>0</v>
      </c>
      <c r="J1874" s="422">
        <v>0</v>
      </c>
      <c r="K1874" s="422">
        <v>0</v>
      </c>
      <c r="L1874" s="432">
        <v>0</v>
      </c>
      <c r="M1874" s="424">
        <f t="shared" ref="M1874:M1893" si="651">+C1874+E1874+G1874+I1874+K1874</f>
        <v>0</v>
      </c>
      <c r="N1874" s="425">
        <f t="shared" ref="N1874:N1893" si="652">+D1874+F1874+H1874+J1874+L1874</f>
        <v>0</v>
      </c>
      <c r="O1874" s="430">
        <f t="shared" ref="O1874:P1878" si="653">M1874/31</f>
        <v>0</v>
      </c>
      <c r="P1874" s="427">
        <f t="shared" si="653"/>
        <v>0</v>
      </c>
    </row>
    <row r="1875" spans="1:16">
      <c r="A1875" s="474"/>
      <c r="B1875" s="127">
        <v>2</v>
      </c>
      <c r="C1875" s="147">
        <v>0</v>
      </c>
      <c r="D1875" s="147">
        <v>0</v>
      </c>
      <c r="E1875" s="147">
        <v>0</v>
      </c>
      <c r="F1875" s="147">
        <v>0</v>
      </c>
      <c r="G1875" s="147">
        <v>0</v>
      </c>
      <c r="H1875" s="147">
        <v>0</v>
      </c>
      <c r="I1875" s="147">
        <v>0</v>
      </c>
      <c r="J1875" s="147">
        <v>0</v>
      </c>
      <c r="K1875" s="147">
        <v>0</v>
      </c>
      <c r="L1875" s="174">
        <v>0</v>
      </c>
      <c r="M1875" s="149">
        <f t="shared" si="651"/>
        <v>0</v>
      </c>
      <c r="N1875" s="150">
        <f t="shared" si="652"/>
        <v>0</v>
      </c>
      <c r="O1875" s="167">
        <f t="shared" si="653"/>
        <v>0</v>
      </c>
      <c r="P1875" s="152">
        <f t="shared" si="653"/>
        <v>0</v>
      </c>
    </row>
    <row r="1876" spans="1:16">
      <c r="A1876" s="474"/>
      <c r="B1876" s="127">
        <v>3</v>
      </c>
      <c r="C1876" s="147">
        <v>0</v>
      </c>
      <c r="D1876" s="147">
        <v>0</v>
      </c>
      <c r="E1876" s="147">
        <v>0</v>
      </c>
      <c r="F1876" s="147">
        <v>0</v>
      </c>
      <c r="G1876" s="147">
        <v>0</v>
      </c>
      <c r="H1876" s="147">
        <v>0</v>
      </c>
      <c r="I1876" s="147">
        <v>0</v>
      </c>
      <c r="J1876" s="147">
        <v>0</v>
      </c>
      <c r="K1876" s="147">
        <v>0</v>
      </c>
      <c r="L1876" s="174">
        <v>0</v>
      </c>
      <c r="M1876" s="149">
        <f t="shared" si="651"/>
        <v>0</v>
      </c>
      <c r="N1876" s="150">
        <f t="shared" si="652"/>
        <v>0</v>
      </c>
      <c r="O1876" s="167">
        <f t="shared" si="653"/>
        <v>0</v>
      </c>
      <c r="P1876" s="152">
        <f t="shared" si="653"/>
        <v>0</v>
      </c>
    </row>
    <row r="1877" spans="1:16">
      <c r="A1877" s="474"/>
      <c r="B1877" s="127">
        <v>4</v>
      </c>
      <c r="C1877" s="158">
        <v>1</v>
      </c>
      <c r="D1877" s="158">
        <v>0</v>
      </c>
      <c r="E1877" s="158">
        <v>0</v>
      </c>
      <c r="F1877" s="158">
        <v>0</v>
      </c>
      <c r="G1877" s="158">
        <v>0</v>
      </c>
      <c r="H1877" s="158">
        <v>0</v>
      </c>
      <c r="I1877" s="158">
        <v>0</v>
      </c>
      <c r="J1877" s="158">
        <v>0</v>
      </c>
      <c r="K1877" s="158">
        <v>0</v>
      </c>
      <c r="L1877" s="159">
        <v>0</v>
      </c>
      <c r="M1877" s="154">
        <f t="shared" si="651"/>
        <v>1</v>
      </c>
      <c r="N1877" s="155">
        <f t="shared" si="652"/>
        <v>0</v>
      </c>
      <c r="O1877" s="168">
        <f t="shared" si="653"/>
        <v>3.2258064516129031E-2</v>
      </c>
      <c r="P1877" s="157">
        <f t="shared" si="653"/>
        <v>0</v>
      </c>
    </row>
    <row r="1878" spans="1:16">
      <c r="A1878" s="474"/>
      <c r="B1878" s="127">
        <v>5</v>
      </c>
      <c r="C1878" s="158">
        <v>3</v>
      </c>
      <c r="D1878" s="158">
        <v>6</v>
      </c>
      <c r="E1878" s="158">
        <v>2</v>
      </c>
      <c r="F1878" s="158">
        <v>1</v>
      </c>
      <c r="G1878" s="158">
        <v>4</v>
      </c>
      <c r="H1878" s="158">
        <v>10</v>
      </c>
      <c r="I1878" s="158">
        <v>0</v>
      </c>
      <c r="J1878" s="158">
        <v>0</v>
      </c>
      <c r="K1878" s="158">
        <v>0</v>
      </c>
      <c r="L1878" s="159">
        <v>0</v>
      </c>
      <c r="M1878" s="154">
        <f t="shared" si="651"/>
        <v>9</v>
      </c>
      <c r="N1878" s="155">
        <f t="shared" si="652"/>
        <v>17</v>
      </c>
      <c r="O1878" s="168">
        <f t="shared" si="653"/>
        <v>0.29032258064516131</v>
      </c>
      <c r="P1878" s="157">
        <f t="shared" si="653"/>
        <v>0.54838709677419351</v>
      </c>
    </row>
    <row r="1879" spans="1:16">
      <c r="A1879" s="474"/>
      <c r="B1879" s="127">
        <v>6</v>
      </c>
      <c r="C1879" s="158">
        <v>5</v>
      </c>
      <c r="D1879" s="158">
        <v>14</v>
      </c>
      <c r="E1879" s="158">
        <v>4</v>
      </c>
      <c r="F1879" s="158">
        <v>4</v>
      </c>
      <c r="G1879" s="158">
        <v>6</v>
      </c>
      <c r="H1879" s="158">
        <v>5</v>
      </c>
      <c r="I1879" s="158">
        <v>0</v>
      </c>
      <c r="J1879" s="158">
        <v>0</v>
      </c>
      <c r="K1879" s="158">
        <v>2</v>
      </c>
      <c r="L1879" s="158">
        <v>0</v>
      </c>
      <c r="M1879" s="154">
        <f t="shared" si="651"/>
        <v>17</v>
      </c>
      <c r="N1879" s="155">
        <f t="shared" si="652"/>
        <v>23</v>
      </c>
      <c r="O1879" s="168">
        <f>M1879/30</f>
        <v>0.56666666666666665</v>
      </c>
      <c r="P1879" s="157">
        <f>N1879/30</f>
        <v>0.76666666666666672</v>
      </c>
    </row>
    <row r="1880" spans="1:16">
      <c r="A1880" s="474"/>
      <c r="B1880" s="127">
        <v>7</v>
      </c>
      <c r="C1880" s="158">
        <v>1</v>
      </c>
      <c r="D1880" s="158">
        <v>3</v>
      </c>
      <c r="E1880" s="158">
        <v>4</v>
      </c>
      <c r="F1880" s="158">
        <v>10</v>
      </c>
      <c r="G1880" s="158">
        <v>0</v>
      </c>
      <c r="H1880" s="158">
        <v>9</v>
      </c>
      <c r="I1880" s="158">
        <v>0</v>
      </c>
      <c r="J1880" s="158">
        <v>0</v>
      </c>
      <c r="K1880" s="158">
        <v>0</v>
      </c>
      <c r="L1880" s="158">
        <v>6</v>
      </c>
      <c r="M1880" s="154">
        <f t="shared" si="651"/>
        <v>5</v>
      </c>
      <c r="N1880" s="155">
        <f t="shared" si="652"/>
        <v>28</v>
      </c>
      <c r="O1880" s="168">
        <f t="shared" ref="O1880:P1902" si="654">M1880/31</f>
        <v>0.16129032258064516</v>
      </c>
      <c r="P1880" s="157">
        <f t="shared" si="654"/>
        <v>0.90322580645161288</v>
      </c>
    </row>
    <row r="1881" spans="1:16">
      <c r="A1881" s="474"/>
      <c r="B1881" s="127">
        <v>8</v>
      </c>
      <c r="C1881" s="158">
        <v>5</v>
      </c>
      <c r="D1881" s="158">
        <v>5</v>
      </c>
      <c r="E1881" s="158">
        <v>1</v>
      </c>
      <c r="F1881" s="158">
        <v>2</v>
      </c>
      <c r="G1881" s="158">
        <v>3</v>
      </c>
      <c r="H1881" s="158">
        <v>3</v>
      </c>
      <c r="I1881" s="158">
        <v>0</v>
      </c>
      <c r="J1881" s="158">
        <v>0</v>
      </c>
      <c r="K1881" s="158">
        <v>1</v>
      </c>
      <c r="L1881" s="159">
        <v>2</v>
      </c>
      <c r="M1881" s="177">
        <f t="shared" si="651"/>
        <v>10</v>
      </c>
      <c r="N1881" s="158">
        <f t="shared" si="652"/>
        <v>12</v>
      </c>
      <c r="O1881" s="168">
        <f t="shared" si="654"/>
        <v>0.32258064516129031</v>
      </c>
      <c r="P1881" s="157">
        <f t="shared" si="654"/>
        <v>0.38709677419354838</v>
      </c>
    </row>
    <row r="1882" spans="1:16">
      <c r="A1882" s="474"/>
      <c r="B1882" s="127">
        <v>9</v>
      </c>
      <c r="C1882" s="147">
        <v>8</v>
      </c>
      <c r="D1882" s="147">
        <v>13</v>
      </c>
      <c r="E1882" s="147">
        <v>3</v>
      </c>
      <c r="F1882" s="147">
        <v>3</v>
      </c>
      <c r="G1882" s="147">
        <v>1</v>
      </c>
      <c r="H1882" s="147">
        <v>2</v>
      </c>
      <c r="I1882" s="147">
        <v>0</v>
      </c>
      <c r="J1882" s="147">
        <v>0</v>
      </c>
      <c r="K1882" s="147">
        <v>0</v>
      </c>
      <c r="L1882" s="147">
        <v>0</v>
      </c>
      <c r="M1882" s="177">
        <f t="shared" si="651"/>
        <v>12</v>
      </c>
      <c r="N1882" s="158">
        <f t="shared" si="652"/>
        <v>18</v>
      </c>
      <c r="O1882" s="168">
        <f t="shared" si="654"/>
        <v>0.38709677419354838</v>
      </c>
      <c r="P1882" s="157">
        <f t="shared" si="654"/>
        <v>0.58064516129032262</v>
      </c>
    </row>
    <row r="1883" spans="1:16">
      <c r="A1883" s="474"/>
      <c r="B1883" s="127">
        <v>10</v>
      </c>
      <c r="C1883" s="147">
        <v>10</v>
      </c>
      <c r="D1883" s="147">
        <v>9</v>
      </c>
      <c r="E1883" s="147">
        <v>3</v>
      </c>
      <c r="F1883" s="181">
        <v>1</v>
      </c>
      <c r="G1883" s="147">
        <v>2</v>
      </c>
      <c r="H1883" s="147">
        <v>0</v>
      </c>
      <c r="I1883" s="147">
        <v>0</v>
      </c>
      <c r="J1883" s="147">
        <v>0</v>
      </c>
      <c r="K1883" s="147">
        <v>0</v>
      </c>
      <c r="L1883" s="148">
        <v>0</v>
      </c>
      <c r="M1883" s="154">
        <f t="shared" si="651"/>
        <v>15</v>
      </c>
      <c r="N1883" s="155">
        <f t="shared" si="652"/>
        <v>10</v>
      </c>
      <c r="O1883" s="168">
        <f t="shared" si="654"/>
        <v>0.4838709677419355</v>
      </c>
      <c r="P1883" s="157">
        <f t="shared" si="654"/>
        <v>0.32258064516129031</v>
      </c>
    </row>
    <row r="1884" spans="1:16">
      <c r="A1884" s="474"/>
      <c r="B1884" s="127">
        <v>11</v>
      </c>
      <c r="C1884" s="367">
        <v>7</v>
      </c>
      <c r="D1884" s="367">
        <v>12</v>
      </c>
      <c r="E1884" s="367">
        <v>3</v>
      </c>
      <c r="F1884" s="367">
        <v>5</v>
      </c>
      <c r="G1884" s="367">
        <v>1</v>
      </c>
      <c r="H1884" s="367">
        <v>12</v>
      </c>
      <c r="I1884" s="367">
        <v>1</v>
      </c>
      <c r="J1884" s="367">
        <v>0</v>
      </c>
      <c r="K1884" s="367">
        <v>1</v>
      </c>
      <c r="L1884" s="368">
        <v>1</v>
      </c>
      <c r="M1884" s="154">
        <f t="shared" si="651"/>
        <v>13</v>
      </c>
      <c r="N1884" s="155">
        <f t="shared" si="652"/>
        <v>30</v>
      </c>
      <c r="O1884" s="168">
        <f t="shared" si="654"/>
        <v>0.41935483870967744</v>
      </c>
      <c r="P1884" s="157">
        <f t="shared" si="654"/>
        <v>0.967741935483871</v>
      </c>
    </row>
    <row r="1885" spans="1:16" ht="14.25" thickBot="1">
      <c r="A1885" s="475"/>
      <c r="B1885" s="127">
        <v>12</v>
      </c>
      <c r="C1885" s="187">
        <v>17</v>
      </c>
      <c r="D1885" s="187">
        <v>20</v>
      </c>
      <c r="E1885" s="187">
        <v>7</v>
      </c>
      <c r="F1885" s="188">
        <v>8</v>
      </c>
      <c r="G1885" s="187">
        <v>0</v>
      </c>
      <c r="H1885" s="187">
        <v>0</v>
      </c>
      <c r="I1885" s="187">
        <v>0</v>
      </c>
      <c r="J1885" s="187">
        <v>2</v>
      </c>
      <c r="K1885" s="187">
        <v>0</v>
      </c>
      <c r="L1885" s="189">
        <v>0</v>
      </c>
      <c r="M1885" s="154">
        <f t="shared" si="651"/>
        <v>24</v>
      </c>
      <c r="N1885" s="155">
        <f t="shared" si="652"/>
        <v>30</v>
      </c>
      <c r="O1885" s="168">
        <f t="shared" si="654"/>
        <v>0.77419354838709675</v>
      </c>
      <c r="P1885" s="157">
        <f t="shared" si="654"/>
        <v>0.967741935483871</v>
      </c>
    </row>
    <row r="1886" spans="1:16">
      <c r="A1886" s="473">
        <v>2019</v>
      </c>
      <c r="B1886" s="410">
        <v>1</v>
      </c>
      <c r="C1886" s="422">
        <v>7</v>
      </c>
      <c r="D1886" s="422">
        <v>16</v>
      </c>
      <c r="E1886" s="422">
        <v>8</v>
      </c>
      <c r="F1886" s="422">
        <v>12</v>
      </c>
      <c r="G1886" s="422">
        <v>0</v>
      </c>
      <c r="H1886" s="422">
        <v>0</v>
      </c>
      <c r="I1886" s="422">
        <v>0</v>
      </c>
      <c r="J1886" s="422">
        <v>0</v>
      </c>
      <c r="K1886" s="422">
        <v>0</v>
      </c>
      <c r="L1886" s="432">
        <v>0</v>
      </c>
      <c r="M1886" s="424">
        <f t="shared" si="651"/>
        <v>15</v>
      </c>
      <c r="N1886" s="425">
        <f t="shared" si="652"/>
        <v>28</v>
      </c>
      <c r="O1886" s="430">
        <f t="shared" ref="O1886:O1890" si="655">M1886/31</f>
        <v>0.4838709677419355</v>
      </c>
      <c r="P1886" s="427">
        <f t="shared" ref="P1886:P1890" si="656">N1886/31</f>
        <v>0.90322580645161288</v>
      </c>
    </row>
    <row r="1887" spans="1:16">
      <c r="A1887" s="474"/>
      <c r="B1887" s="127">
        <v>2</v>
      </c>
      <c r="C1887" s="147">
        <v>5</v>
      </c>
      <c r="D1887" s="147">
        <v>6</v>
      </c>
      <c r="E1887" s="147">
        <v>2</v>
      </c>
      <c r="F1887" s="147">
        <v>4</v>
      </c>
      <c r="G1887" s="147">
        <v>3</v>
      </c>
      <c r="H1887" s="147">
        <v>4</v>
      </c>
      <c r="I1887" s="147">
        <v>0</v>
      </c>
      <c r="J1887" s="147">
        <v>0</v>
      </c>
      <c r="K1887" s="147">
        <v>2</v>
      </c>
      <c r="L1887" s="174">
        <v>0</v>
      </c>
      <c r="M1887" s="149">
        <f t="shared" si="651"/>
        <v>12</v>
      </c>
      <c r="N1887" s="150">
        <f t="shared" si="652"/>
        <v>14</v>
      </c>
      <c r="O1887" s="167">
        <f t="shared" si="655"/>
        <v>0.38709677419354838</v>
      </c>
      <c r="P1887" s="152">
        <f t="shared" si="656"/>
        <v>0.45161290322580644</v>
      </c>
    </row>
    <row r="1888" spans="1:16">
      <c r="A1888" s="474"/>
      <c r="B1888" s="127">
        <v>3</v>
      </c>
      <c r="C1888" s="147">
        <v>8</v>
      </c>
      <c r="D1888" s="147">
        <v>7</v>
      </c>
      <c r="E1888" s="147">
        <v>0</v>
      </c>
      <c r="F1888" s="147">
        <v>0</v>
      </c>
      <c r="G1888" s="147">
        <v>3</v>
      </c>
      <c r="H1888" s="147">
        <v>8</v>
      </c>
      <c r="I1888" s="147">
        <v>3</v>
      </c>
      <c r="J1888" s="147">
        <v>1</v>
      </c>
      <c r="K1888" s="147">
        <v>1</v>
      </c>
      <c r="L1888" s="174">
        <v>4</v>
      </c>
      <c r="M1888" s="149">
        <f t="shared" si="651"/>
        <v>15</v>
      </c>
      <c r="N1888" s="150">
        <f t="shared" si="652"/>
        <v>20</v>
      </c>
      <c r="O1888" s="167">
        <f t="shared" si="655"/>
        <v>0.4838709677419355</v>
      </c>
      <c r="P1888" s="152">
        <f t="shared" si="656"/>
        <v>0.64516129032258063</v>
      </c>
    </row>
    <row r="1889" spans="1:16">
      <c r="A1889" s="474"/>
      <c r="B1889" s="127">
        <v>4</v>
      </c>
      <c r="C1889" s="158">
        <v>10</v>
      </c>
      <c r="D1889" s="158">
        <v>15</v>
      </c>
      <c r="E1889" s="158">
        <v>0</v>
      </c>
      <c r="F1889" s="158">
        <v>0</v>
      </c>
      <c r="G1889" s="158">
        <v>2</v>
      </c>
      <c r="H1889" s="158">
        <v>6</v>
      </c>
      <c r="I1889" s="158">
        <v>5</v>
      </c>
      <c r="J1889" s="158">
        <v>16</v>
      </c>
      <c r="K1889" s="158">
        <v>1</v>
      </c>
      <c r="L1889" s="159">
        <v>3</v>
      </c>
      <c r="M1889" s="154">
        <f t="shared" si="651"/>
        <v>18</v>
      </c>
      <c r="N1889" s="155">
        <f t="shared" si="652"/>
        <v>40</v>
      </c>
      <c r="O1889" s="168">
        <f t="shared" si="655"/>
        <v>0.58064516129032262</v>
      </c>
      <c r="P1889" s="157">
        <f t="shared" si="656"/>
        <v>1.2903225806451613</v>
      </c>
    </row>
    <row r="1890" spans="1:16">
      <c r="A1890" s="474"/>
      <c r="B1890" s="127">
        <v>5</v>
      </c>
      <c r="C1890" s="158">
        <v>17</v>
      </c>
      <c r="D1890" s="158">
        <v>27</v>
      </c>
      <c r="E1890" s="158">
        <v>3</v>
      </c>
      <c r="F1890" s="158">
        <v>6</v>
      </c>
      <c r="G1890" s="158">
        <v>1</v>
      </c>
      <c r="H1890" s="158">
        <v>6</v>
      </c>
      <c r="I1890" s="158">
        <v>0</v>
      </c>
      <c r="J1890" s="158">
        <v>1</v>
      </c>
      <c r="K1890" s="158">
        <v>0</v>
      </c>
      <c r="L1890" s="159">
        <v>0</v>
      </c>
      <c r="M1890" s="154">
        <f t="shared" si="651"/>
        <v>21</v>
      </c>
      <c r="N1890" s="155">
        <f t="shared" si="652"/>
        <v>40</v>
      </c>
      <c r="O1890" s="168">
        <f t="shared" si="655"/>
        <v>0.67741935483870963</v>
      </c>
      <c r="P1890" s="157">
        <f t="shared" si="656"/>
        <v>1.2903225806451613</v>
      </c>
    </row>
    <row r="1891" spans="1:16">
      <c r="A1891" s="474"/>
      <c r="B1891" s="127">
        <v>6</v>
      </c>
      <c r="C1891" s="158">
        <v>5</v>
      </c>
      <c r="D1891" s="158">
        <v>10</v>
      </c>
      <c r="E1891" s="158">
        <v>2</v>
      </c>
      <c r="F1891" s="158">
        <v>2</v>
      </c>
      <c r="G1891" s="158">
        <v>2</v>
      </c>
      <c r="H1891" s="158">
        <v>3</v>
      </c>
      <c r="I1891" s="158">
        <v>1</v>
      </c>
      <c r="J1891" s="158">
        <v>0</v>
      </c>
      <c r="K1891" s="158">
        <v>0</v>
      </c>
      <c r="L1891" s="158">
        <v>0</v>
      </c>
      <c r="M1891" s="154">
        <f t="shared" si="651"/>
        <v>10</v>
      </c>
      <c r="N1891" s="155">
        <f t="shared" si="652"/>
        <v>15</v>
      </c>
      <c r="O1891" s="168">
        <f>M1891/30</f>
        <v>0.33333333333333331</v>
      </c>
      <c r="P1891" s="157">
        <f>N1891/30</f>
        <v>0.5</v>
      </c>
    </row>
    <row r="1892" spans="1:16">
      <c r="A1892" s="474"/>
      <c r="B1892" s="127">
        <v>7</v>
      </c>
      <c r="C1892" s="158">
        <v>14</v>
      </c>
      <c r="D1892" s="158">
        <v>19</v>
      </c>
      <c r="E1892" s="158">
        <v>1</v>
      </c>
      <c r="F1892" s="158">
        <v>1</v>
      </c>
      <c r="G1892" s="158">
        <v>3</v>
      </c>
      <c r="H1892" s="158">
        <v>7</v>
      </c>
      <c r="I1892" s="158">
        <v>2</v>
      </c>
      <c r="J1892" s="158">
        <v>7</v>
      </c>
      <c r="K1892" s="158">
        <v>0</v>
      </c>
      <c r="L1892" s="158">
        <v>0</v>
      </c>
      <c r="M1892" s="154">
        <f t="shared" si="651"/>
        <v>20</v>
      </c>
      <c r="N1892" s="155">
        <f t="shared" si="652"/>
        <v>34</v>
      </c>
      <c r="O1892" s="168">
        <f t="shared" ref="O1892:O1893" si="657">M1892/31</f>
        <v>0.64516129032258063</v>
      </c>
      <c r="P1892" s="157">
        <f t="shared" ref="P1892:P1893" si="658">N1892/31</f>
        <v>1.096774193548387</v>
      </c>
    </row>
    <row r="1893" spans="1:16">
      <c r="A1893" s="474"/>
      <c r="B1893" s="127">
        <v>8</v>
      </c>
      <c r="C1893" s="158">
        <v>23</v>
      </c>
      <c r="D1893" s="158">
        <v>29</v>
      </c>
      <c r="E1893" s="158">
        <v>0</v>
      </c>
      <c r="F1893" s="158">
        <v>0</v>
      </c>
      <c r="G1893" s="158">
        <v>6</v>
      </c>
      <c r="H1893" s="158">
        <v>8</v>
      </c>
      <c r="I1893" s="158">
        <v>1</v>
      </c>
      <c r="J1893" s="158">
        <v>4</v>
      </c>
      <c r="K1893" s="158">
        <v>0</v>
      </c>
      <c r="L1893" s="159">
        <v>0</v>
      </c>
      <c r="M1893" s="177">
        <f t="shared" si="651"/>
        <v>30</v>
      </c>
      <c r="N1893" s="158">
        <f t="shared" si="652"/>
        <v>41</v>
      </c>
      <c r="O1893" s="168">
        <f t="shared" si="657"/>
        <v>0.967741935483871</v>
      </c>
      <c r="P1893" s="157">
        <f t="shared" si="658"/>
        <v>1.3225806451612903</v>
      </c>
    </row>
    <row r="1894" spans="1:16">
      <c r="A1894" s="474"/>
      <c r="B1894" s="127">
        <v>9</v>
      </c>
      <c r="C1894" s="147">
        <v>19</v>
      </c>
      <c r="D1894" s="147">
        <v>21</v>
      </c>
      <c r="E1894" s="147">
        <v>3</v>
      </c>
      <c r="F1894" s="147">
        <v>7</v>
      </c>
      <c r="G1894" s="147">
        <v>0</v>
      </c>
      <c r="H1894" s="147">
        <v>5</v>
      </c>
      <c r="I1894" s="147">
        <v>0</v>
      </c>
      <c r="J1894" s="147">
        <v>0</v>
      </c>
      <c r="K1894" s="147">
        <v>0</v>
      </c>
      <c r="L1894" s="147">
        <v>0</v>
      </c>
      <c r="M1894" s="177">
        <v>22</v>
      </c>
      <c r="N1894" s="158">
        <v>33</v>
      </c>
      <c r="O1894" s="168">
        <v>0.70967741935483875</v>
      </c>
      <c r="P1894" s="157">
        <v>1.064516129032258</v>
      </c>
    </row>
    <row r="1895" spans="1:16">
      <c r="A1895" s="474"/>
      <c r="B1895" s="127">
        <v>10</v>
      </c>
      <c r="C1895" s="147">
        <v>17</v>
      </c>
      <c r="D1895" s="147">
        <v>36</v>
      </c>
      <c r="E1895" s="147">
        <v>2</v>
      </c>
      <c r="F1895" s="181">
        <v>0</v>
      </c>
      <c r="G1895" s="147">
        <v>2</v>
      </c>
      <c r="H1895" s="147">
        <v>3</v>
      </c>
      <c r="I1895" s="147">
        <v>2</v>
      </c>
      <c r="J1895" s="147">
        <v>2</v>
      </c>
      <c r="K1895" s="147">
        <v>0</v>
      </c>
      <c r="L1895" s="148">
        <v>0</v>
      </c>
      <c r="M1895" s="154">
        <f t="shared" ref="M1895:M1897" si="659">+C1895+E1895+G1895+I1895+K1895</f>
        <v>23</v>
      </c>
      <c r="N1895" s="155">
        <f t="shared" ref="N1895:N1897" si="660">+D1895+F1895+H1895+J1895+L1895</f>
        <v>41</v>
      </c>
      <c r="O1895" s="168">
        <f t="shared" ref="O1895:O1897" si="661">M1895/31</f>
        <v>0.74193548387096775</v>
      </c>
      <c r="P1895" s="157">
        <f t="shared" ref="P1895:P1897" si="662">N1895/31</f>
        <v>1.3225806451612903</v>
      </c>
    </row>
    <row r="1896" spans="1:16">
      <c r="A1896" s="474"/>
      <c r="B1896" s="127">
        <v>11</v>
      </c>
      <c r="C1896" s="367">
        <v>18</v>
      </c>
      <c r="D1896" s="367">
        <v>23</v>
      </c>
      <c r="E1896" s="367">
        <v>2</v>
      </c>
      <c r="F1896" s="367">
        <v>8</v>
      </c>
      <c r="G1896" s="367">
        <v>4</v>
      </c>
      <c r="H1896" s="367">
        <v>0</v>
      </c>
      <c r="I1896" s="367">
        <v>4</v>
      </c>
      <c r="J1896" s="367">
        <v>9</v>
      </c>
      <c r="K1896" s="367">
        <v>3</v>
      </c>
      <c r="L1896" s="368">
        <v>0</v>
      </c>
      <c r="M1896" s="154">
        <f t="shared" si="659"/>
        <v>31</v>
      </c>
      <c r="N1896" s="155">
        <f t="shared" si="660"/>
        <v>40</v>
      </c>
      <c r="O1896" s="168">
        <f t="shared" si="661"/>
        <v>1</v>
      </c>
      <c r="P1896" s="157">
        <f t="shared" si="662"/>
        <v>1.2903225806451613</v>
      </c>
    </row>
    <row r="1897" spans="1:16" ht="14.25" thickBot="1">
      <c r="A1897" s="475"/>
      <c r="B1897" s="127">
        <v>12</v>
      </c>
      <c r="C1897" s="187">
        <v>17</v>
      </c>
      <c r="D1897" s="187">
        <v>35</v>
      </c>
      <c r="E1897" s="187">
        <v>2</v>
      </c>
      <c r="F1897" s="188">
        <v>3</v>
      </c>
      <c r="G1897" s="187">
        <v>1</v>
      </c>
      <c r="H1897" s="187">
        <v>11</v>
      </c>
      <c r="I1897" s="187">
        <v>3</v>
      </c>
      <c r="J1897" s="187">
        <v>0</v>
      </c>
      <c r="K1897" s="187">
        <v>0</v>
      </c>
      <c r="L1897" s="189">
        <v>7</v>
      </c>
      <c r="M1897" s="154">
        <f t="shared" si="659"/>
        <v>23</v>
      </c>
      <c r="N1897" s="155">
        <f t="shared" si="660"/>
        <v>56</v>
      </c>
      <c r="O1897" s="168">
        <f t="shared" si="661"/>
        <v>0.74193548387096775</v>
      </c>
      <c r="P1897" s="157">
        <f t="shared" si="662"/>
        <v>1.8064516129032258</v>
      </c>
    </row>
    <row r="1898" spans="1:16">
      <c r="A1898" s="473">
        <v>2020</v>
      </c>
      <c r="B1898" s="410">
        <v>1</v>
      </c>
      <c r="C1898" s="434">
        <v>14</v>
      </c>
      <c r="D1898" s="434">
        <v>17</v>
      </c>
      <c r="E1898" s="434">
        <v>2</v>
      </c>
      <c r="F1898" s="434">
        <v>2</v>
      </c>
      <c r="G1898" s="434">
        <v>2</v>
      </c>
      <c r="H1898" s="434">
        <v>3</v>
      </c>
      <c r="I1898" s="434">
        <v>0</v>
      </c>
      <c r="J1898" s="434">
        <v>6</v>
      </c>
      <c r="K1898" s="434">
        <v>1</v>
      </c>
      <c r="L1898" s="436">
        <v>0</v>
      </c>
      <c r="M1898" s="424">
        <f t="shared" ref="M1898:M1909" si="663">+C1898+E1898+G1898+I1898+K1898</f>
        <v>19</v>
      </c>
      <c r="N1898" s="425">
        <f t="shared" ref="N1898:N1909" si="664">+D1898+F1898+H1898+J1898+L1898</f>
        <v>28</v>
      </c>
      <c r="O1898" s="430">
        <f t="shared" si="654"/>
        <v>0.61290322580645162</v>
      </c>
      <c r="P1898" s="427">
        <f t="shared" si="654"/>
        <v>0.90322580645161288</v>
      </c>
    </row>
    <row r="1899" spans="1:16">
      <c r="A1899" s="474"/>
      <c r="B1899" s="127">
        <v>2</v>
      </c>
      <c r="C1899" s="147">
        <v>7</v>
      </c>
      <c r="D1899" s="147">
        <v>14</v>
      </c>
      <c r="E1899" s="147">
        <v>0</v>
      </c>
      <c r="F1899" s="147">
        <v>0</v>
      </c>
      <c r="G1899" s="147">
        <v>0</v>
      </c>
      <c r="H1899" s="147">
        <v>1</v>
      </c>
      <c r="I1899" s="147">
        <v>0</v>
      </c>
      <c r="J1899" s="147">
        <v>0</v>
      </c>
      <c r="K1899" s="147">
        <v>0</v>
      </c>
      <c r="L1899" s="148">
        <v>1</v>
      </c>
      <c r="M1899" s="149">
        <f t="shared" si="663"/>
        <v>7</v>
      </c>
      <c r="N1899" s="150">
        <f t="shared" si="664"/>
        <v>16</v>
      </c>
      <c r="O1899" s="167">
        <f t="shared" si="654"/>
        <v>0.22580645161290322</v>
      </c>
      <c r="P1899" s="152">
        <f t="shared" si="654"/>
        <v>0.5161290322580645</v>
      </c>
    </row>
    <row r="1900" spans="1:16">
      <c r="A1900" s="474"/>
      <c r="B1900" s="127">
        <v>3</v>
      </c>
      <c r="C1900" s="147">
        <v>8</v>
      </c>
      <c r="D1900" s="147">
        <v>11</v>
      </c>
      <c r="E1900" s="147">
        <v>1</v>
      </c>
      <c r="F1900" s="147">
        <v>1</v>
      </c>
      <c r="G1900" s="147">
        <v>0</v>
      </c>
      <c r="H1900" s="147">
        <v>0</v>
      </c>
      <c r="I1900" s="147">
        <v>0</v>
      </c>
      <c r="J1900" s="147">
        <v>0</v>
      </c>
      <c r="K1900" s="147">
        <v>0</v>
      </c>
      <c r="L1900" s="148">
        <v>0</v>
      </c>
      <c r="M1900" s="149">
        <f t="shared" si="663"/>
        <v>9</v>
      </c>
      <c r="N1900" s="150">
        <f t="shared" si="664"/>
        <v>12</v>
      </c>
      <c r="O1900" s="167">
        <f t="shared" si="654"/>
        <v>0.29032258064516131</v>
      </c>
      <c r="P1900" s="152">
        <f t="shared" si="654"/>
        <v>0.38709677419354838</v>
      </c>
    </row>
    <row r="1901" spans="1:16">
      <c r="A1901" s="474"/>
      <c r="B1901" s="127">
        <v>4</v>
      </c>
      <c r="C1901" s="147">
        <v>2</v>
      </c>
      <c r="D1901" s="147">
        <v>2</v>
      </c>
      <c r="E1901" s="147">
        <v>0</v>
      </c>
      <c r="F1901" s="147">
        <v>0</v>
      </c>
      <c r="G1901" s="147">
        <v>0</v>
      </c>
      <c r="H1901" s="147">
        <v>0</v>
      </c>
      <c r="I1901" s="147">
        <v>0</v>
      </c>
      <c r="J1901" s="147">
        <v>0</v>
      </c>
      <c r="K1901" s="147">
        <v>0</v>
      </c>
      <c r="L1901" s="148">
        <v>0</v>
      </c>
      <c r="M1901" s="154">
        <f t="shared" si="663"/>
        <v>2</v>
      </c>
      <c r="N1901" s="155">
        <f t="shared" si="664"/>
        <v>2</v>
      </c>
      <c r="O1901" s="168">
        <f t="shared" si="654"/>
        <v>6.4516129032258063E-2</v>
      </c>
      <c r="P1901" s="157">
        <f t="shared" si="654"/>
        <v>6.4516129032258063E-2</v>
      </c>
    </row>
    <row r="1902" spans="1:16">
      <c r="A1902" s="474"/>
      <c r="B1902" s="127">
        <v>5</v>
      </c>
      <c r="C1902" s="147">
        <v>0</v>
      </c>
      <c r="D1902" s="147">
        <v>0</v>
      </c>
      <c r="E1902" s="147">
        <v>0</v>
      </c>
      <c r="F1902" s="147">
        <v>0</v>
      </c>
      <c r="G1902" s="147">
        <v>0</v>
      </c>
      <c r="H1902" s="147">
        <v>0</v>
      </c>
      <c r="I1902" s="147">
        <v>0</v>
      </c>
      <c r="J1902" s="147">
        <v>0</v>
      </c>
      <c r="K1902" s="147">
        <v>0</v>
      </c>
      <c r="L1902" s="148">
        <v>0</v>
      </c>
      <c r="M1902" s="154">
        <f t="shared" si="663"/>
        <v>0</v>
      </c>
      <c r="N1902" s="155">
        <f t="shared" si="664"/>
        <v>0</v>
      </c>
      <c r="O1902" s="168">
        <f t="shared" si="654"/>
        <v>0</v>
      </c>
      <c r="P1902" s="157">
        <f t="shared" si="654"/>
        <v>0</v>
      </c>
    </row>
    <row r="1903" spans="1:16">
      <c r="A1903" s="474"/>
      <c r="B1903" s="127">
        <v>6</v>
      </c>
      <c r="C1903" s="147">
        <f>集計用!C84</f>
        <v>0</v>
      </c>
      <c r="D1903" s="147">
        <f>集計用!S84</f>
        <v>0</v>
      </c>
      <c r="E1903" s="147">
        <f>集計用!E84</f>
        <v>0</v>
      </c>
      <c r="F1903" s="147">
        <f>集計用!U84</f>
        <v>0</v>
      </c>
      <c r="G1903" s="147">
        <f>集計用!G84</f>
        <v>0</v>
      </c>
      <c r="H1903" s="147">
        <f>集計用!W84</f>
        <v>0</v>
      </c>
      <c r="I1903" s="147">
        <f>集計用!I84</f>
        <v>0</v>
      </c>
      <c r="J1903" s="147">
        <f>集計用!Y84</f>
        <v>0</v>
      </c>
      <c r="K1903" s="147">
        <f>集計用!K84</f>
        <v>0</v>
      </c>
      <c r="L1903" s="148">
        <f>集計用!AA84</f>
        <v>0</v>
      </c>
      <c r="M1903" s="154">
        <f t="shared" si="663"/>
        <v>0</v>
      </c>
      <c r="N1903" s="155">
        <f t="shared" si="664"/>
        <v>0</v>
      </c>
      <c r="O1903" s="168">
        <f>M1903/30</f>
        <v>0</v>
      </c>
      <c r="P1903" s="157">
        <f>N1903/30</f>
        <v>0</v>
      </c>
    </row>
    <row r="1904" spans="1:16">
      <c r="A1904" s="474"/>
      <c r="B1904" s="127">
        <v>7</v>
      </c>
      <c r="C1904" s="158"/>
      <c r="D1904" s="158"/>
      <c r="E1904" s="158"/>
      <c r="F1904" s="158"/>
      <c r="G1904" s="158"/>
      <c r="H1904" s="158"/>
      <c r="I1904" s="158"/>
      <c r="J1904" s="158"/>
      <c r="K1904" s="158"/>
      <c r="L1904" s="158"/>
      <c r="M1904" s="154">
        <f t="shared" si="663"/>
        <v>0</v>
      </c>
      <c r="N1904" s="155">
        <f t="shared" si="664"/>
        <v>0</v>
      </c>
      <c r="O1904" s="168">
        <f t="shared" ref="O1904:O1909" si="665">M1904/31</f>
        <v>0</v>
      </c>
      <c r="P1904" s="157">
        <f t="shared" ref="P1904:P1909" si="666">N1904/31</f>
        <v>0</v>
      </c>
    </row>
    <row r="1905" spans="1:16">
      <c r="A1905" s="474"/>
      <c r="B1905" s="127">
        <v>8</v>
      </c>
      <c r="C1905" s="158"/>
      <c r="D1905" s="158"/>
      <c r="E1905" s="158"/>
      <c r="F1905" s="158"/>
      <c r="G1905" s="158"/>
      <c r="H1905" s="158"/>
      <c r="I1905" s="158"/>
      <c r="J1905" s="158"/>
      <c r="K1905" s="158"/>
      <c r="L1905" s="159"/>
      <c r="M1905" s="177">
        <f t="shared" si="663"/>
        <v>0</v>
      </c>
      <c r="N1905" s="158">
        <f t="shared" si="664"/>
        <v>0</v>
      </c>
      <c r="O1905" s="168">
        <f t="shared" si="665"/>
        <v>0</v>
      </c>
      <c r="P1905" s="157">
        <f t="shared" si="666"/>
        <v>0</v>
      </c>
    </row>
    <row r="1906" spans="1:16">
      <c r="A1906" s="474"/>
      <c r="B1906" s="127">
        <v>9</v>
      </c>
      <c r="C1906" s="147"/>
      <c r="D1906" s="147"/>
      <c r="E1906" s="147"/>
      <c r="F1906" s="147"/>
      <c r="G1906" s="147"/>
      <c r="H1906" s="147"/>
      <c r="I1906" s="147"/>
      <c r="J1906" s="147"/>
      <c r="K1906" s="147"/>
      <c r="L1906" s="147"/>
      <c r="M1906" s="177">
        <f t="shared" ref="M1906" si="667">+C1906+E1906+G1906+I1906+K1906</f>
        <v>0</v>
      </c>
      <c r="N1906" s="158">
        <f t="shared" ref="N1906" si="668">+D1906+F1906+H1906+J1906+L1906</f>
        <v>0</v>
      </c>
      <c r="O1906" s="168">
        <f>M1906/30</f>
        <v>0</v>
      </c>
      <c r="P1906" s="157">
        <f>N1906/30</f>
        <v>0</v>
      </c>
    </row>
    <row r="1907" spans="1:16">
      <c r="A1907" s="474"/>
      <c r="B1907" s="127">
        <v>10</v>
      </c>
      <c r="C1907" s="147"/>
      <c r="D1907" s="147"/>
      <c r="E1907" s="147"/>
      <c r="F1907" s="181"/>
      <c r="G1907" s="147"/>
      <c r="H1907" s="147"/>
      <c r="I1907" s="147"/>
      <c r="J1907" s="147"/>
      <c r="K1907" s="147"/>
      <c r="L1907" s="148"/>
      <c r="M1907" s="154">
        <f t="shared" ref="M1907" si="669">+C1907+E1907+G1907+I1907+K1907</f>
        <v>0</v>
      </c>
      <c r="N1907" s="155">
        <f t="shared" ref="N1907" si="670">+D1907+F1907+H1907+J1907+L1907</f>
        <v>0</v>
      </c>
      <c r="O1907" s="168">
        <f t="shared" ref="O1907" si="671">M1907/31</f>
        <v>0</v>
      </c>
      <c r="P1907" s="157">
        <f t="shared" ref="P1907" si="672">N1907/31</f>
        <v>0</v>
      </c>
    </row>
    <row r="1908" spans="1:16">
      <c r="A1908" s="474"/>
      <c r="B1908" s="127">
        <v>11</v>
      </c>
      <c r="C1908" s="367"/>
      <c r="D1908" s="367"/>
      <c r="E1908" s="367"/>
      <c r="F1908" s="367"/>
      <c r="G1908" s="367"/>
      <c r="H1908" s="367"/>
      <c r="I1908" s="367"/>
      <c r="J1908" s="367"/>
      <c r="K1908" s="367"/>
      <c r="L1908" s="368"/>
      <c r="M1908" s="154">
        <f t="shared" si="663"/>
        <v>0</v>
      </c>
      <c r="N1908" s="155">
        <f t="shared" si="664"/>
        <v>0</v>
      </c>
      <c r="O1908" s="168">
        <f t="shared" si="665"/>
        <v>0</v>
      </c>
      <c r="P1908" s="157">
        <f t="shared" si="666"/>
        <v>0</v>
      </c>
    </row>
    <row r="1909" spans="1:16" ht="14.25" thickBot="1">
      <c r="A1909" s="475"/>
      <c r="B1909" s="127">
        <v>12</v>
      </c>
      <c r="C1909" s="187"/>
      <c r="D1909" s="187"/>
      <c r="E1909" s="187"/>
      <c r="F1909" s="188"/>
      <c r="G1909" s="187"/>
      <c r="H1909" s="187"/>
      <c r="I1909" s="187"/>
      <c r="J1909" s="187"/>
      <c r="K1909" s="187"/>
      <c r="L1909" s="189"/>
      <c r="M1909" s="154">
        <f t="shared" si="663"/>
        <v>0</v>
      </c>
      <c r="N1909" s="155">
        <f t="shared" si="664"/>
        <v>0</v>
      </c>
      <c r="O1909" s="168">
        <f t="shared" si="665"/>
        <v>0</v>
      </c>
      <c r="P1909" s="157">
        <f t="shared" si="666"/>
        <v>0</v>
      </c>
    </row>
    <row r="1910" spans="1:16" ht="14.25" thickBot="1">
      <c r="A1910" s="180"/>
      <c r="B1910" s="160" t="s">
        <v>5</v>
      </c>
      <c r="C1910" s="161">
        <f>SUM(C1874:C1909)</f>
        <v>248</v>
      </c>
      <c r="D1910" s="161">
        <f t="shared" ref="D1910:J1910" si="673">SUM(D1874:D1909)</f>
        <v>370</v>
      </c>
      <c r="E1910" s="161">
        <f t="shared" si="673"/>
        <v>55</v>
      </c>
      <c r="F1910" s="161">
        <f t="shared" si="673"/>
        <v>80</v>
      </c>
      <c r="G1910" s="161">
        <f t="shared" si="673"/>
        <v>46</v>
      </c>
      <c r="H1910" s="161">
        <f t="shared" si="673"/>
        <v>106</v>
      </c>
      <c r="I1910" s="161">
        <f t="shared" si="673"/>
        <v>22</v>
      </c>
      <c r="J1910" s="161">
        <f t="shared" si="673"/>
        <v>48</v>
      </c>
      <c r="K1910" s="161">
        <f t="shared" ref="K1910:P1910" si="674">SUM(K1874:K1909)</f>
        <v>12</v>
      </c>
      <c r="L1910" s="161">
        <f t="shared" si="674"/>
        <v>24</v>
      </c>
      <c r="M1910" s="162">
        <f t="shared" si="674"/>
        <v>383</v>
      </c>
      <c r="N1910" s="161">
        <f t="shared" si="674"/>
        <v>628</v>
      </c>
      <c r="O1910" s="161">
        <f t="shared" si="674"/>
        <v>12.383870967741938</v>
      </c>
      <c r="P1910" s="161">
        <f t="shared" si="674"/>
        <v>20.298924731182794</v>
      </c>
    </row>
    <row r="1912" spans="1:16">
      <c r="B1912" s="467" t="s">
        <v>151</v>
      </c>
      <c r="C1912" s="469" t="s">
        <v>29</v>
      </c>
      <c r="D1912" s="470"/>
      <c r="E1912" s="469" t="s">
        <v>30</v>
      </c>
      <c r="F1912" s="470"/>
      <c r="G1912" s="469" t="s">
        <v>31</v>
      </c>
      <c r="H1912" s="470"/>
      <c r="I1912" s="469" t="s">
        <v>58</v>
      </c>
      <c r="J1912" s="470"/>
      <c r="K1912" s="469" t="s">
        <v>57</v>
      </c>
      <c r="L1912" s="471"/>
      <c r="M1912" s="470" t="s">
        <v>5</v>
      </c>
      <c r="N1912" s="472"/>
      <c r="O1912" s="472" t="s">
        <v>33</v>
      </c>
      <c r="P1912" s="472"/>
    </row>
    <row r="1913" spans="1:16" ht="14.25" thickBot="1">
      <c r="B1913" s="468"/>
      <c r="C1913" s="13" t="s">
        <v>34</v>
      </c>
      <c r="D1913" s="13" t="s">
        <v>35</v>
      </c>
      <c r="E1913" s="13" t="s">
        <v>34</v>
      </c>
      <c r="F1913" s="13" t="s">
        <v>35</v>
      </c>
      <c r="G1913" s="13" t="s">
        <v>34</v>
      </c>
      <c r="H1913" s="13" t="s">
        <v>35</v>
      </c>
      <c r="I1913" s="13" t="s">
        <v>59</v>
      </c>
      <c r="J1913" s="13" t="s">
        <v>60</v>
      </c>
      <c r="K1913" s="13" t="s">
        <v>34</v>
      </c>
      <c r="L1913" s="14" t="s">
        <v>35</v>
      </c>
      <c r="M1913" s="15" t="s">
        <v>34</v>
      </c>
      <c r="N1913" s="13" t="s">
        <v>35</v>
      </c>
      <c r="O1913" s="163" t="s">
        <v>34</v>
      </c>
      <c r="P1913" s="163" t="s">
        <v>35</v>
      </c>
    </row>
    <row r="1914" spans="1:16">
      <c r="A1914" s="473">
        <v>2018</v>
      </c>
      <c r="B1914" s="410">
        <v>1</v>
      </c>
      <c r="C1914" s="422">
        <v>0</v>
      </c>
      <c r="D1914" s="422">
        <v>0</v>
      </c>
      <c r="E1914" s="422">
        <v>0</v>
      </c>
      <c r="F1914" s="422">
        <v>0</v>
      </c>
      <c r="G1914" s="422">
        <v>0</v>
      </c>
      <c r="H1914" s="422">
        <v>0</v>
      </c>
      <c r="I1914" s="422">
        <v>0</v>
      </c>
      <c r="J1914" s="422">
        <v>0</v>
      </c>
      <c r="K1914" s="422">
        <v>0</v>
      </c>
      <c r="L1914" s="432">
        <v>0</v>
      </c>
      <c r="M1914" s="424">
        <f t="shared" ref="M1914:M1933" si="675">+C1914+E1914+G1914+I1914+K1914</f>
        <v>0</v>
      </c>
      <c r="N1914" s="425">
        <f t="shared" ref="N1914:N1933" si="676">+D1914+F1914+H1914+J1914+L1914</f>
        <v>0</v>
      </c>
      <c r="O1914" s="430">
        <f t="shared" ref="O1914:P1918" si="677">M1914/31</f>
        <v>0</v>
      </c>
      <c r="P1914" s="427">
        <f t="shared" si="677"/>
        <v>0</v>
      </c>
    </row>
    <row r="1915" spans="1:16">
      <c r="A1915" s="474"/>
      <c r="B1915" s="127">
        <v>2</v>
      </c>
      <c r="C1915" s="147">
        <v>0</v>
      </c>
      <c r="D1915" s="147">
        <v>0</v>
      </c>
      <c r="E1915" s="147">
        <v>0</v>
      </c>
      <c r="F1915" s="147">
        <v>0</v>
      </c>
      <c r="G1915" s="147">
        <v>0</v>
      </c>
      <c r="H1915" s="147">
        <v>0</v>
      </c>
      <c r="I1915" s="147">
        <v>0</v>
      </c>
      <c r="J1915" s="147">
        <v>0</v>
      </c>
      <c r="K1915" s="147">
        <v>0</v>
      </c>
      <c r="L1915" s="174">
        <v>0</v>
      </c>
      <c r="M1915" s="149">
        <f t="shared" si="675"/>
        <v>0</v>
      </c>
      <c r="N1915" s="150">
        <f t="shared" si="676"/>
        <v>0</v>
      </c>
      <c r="O1915" s="167">
        <f t="shared" si="677"/>
        <v>0</v>
      </c>
      <c r="P1915" s="152">
        <f t="shared" si="677"/>
        <v>0</v>
      </c>
    </row>
    <row r="1916" spans="1:16">
      <c r="A1916" s="474"/>
      <c r="B1916" s="127">
        <v>3</v>
      </c>
      <c r="C1916" s="147">
        <v>0</v>
      </c>
      <c r="D1916" s="147">
        <v>0</v>
      </c>
      <c r="E1916" s="147">
        <v>0</v>
      </c>
      <c r="F1916" s="147">
        <v>0</v>
      </c>
      <c r="G1916" s="147">
        <v>0</v>
      </c>
      <c r="H1916" s="147">
        <v>0</v>
      </c>
      <c r="I1916" s="147">
        <v>0</v>
      </c>
      <c r="J1916" s="147">
        <v>0</v>
      </c>
      <c r="K1916" s="147">
        <v>0</v>
      </c>
      <c r="L1916" s="174">
        <v>0</v>
      </c>
      <c r="M1916" s="149">
        <f t="shared" si="675"/>
        <v>0</v>
      </c>
      <c r="N1916" s="150">
        <f t="shared" si="676"/>
        <v>0</v>
      </c>
      <c r="O1916" s="167">
        <f t="shared" si="677"/>
        <v>0</v>
      </c>
      <c r="P1916" s="152">
        <f t="shared" si="677"/>
        <v>0</v>
      </c>
    </row>
    <row r="1917" spans="1:16">
      <c r="A1917" s="474"/>
      <c r="B1917" s="127">
        <v>4</v>
      </c>
      <c r="C1917" s="158">
        <v>3</v>
      </c>
      <c r="D1917" s="158">
        <v>2</v>
      </c>
      <c r="E1917" s="158">
        <v>0</v>
      </c>
      <c r="F1917" s="158">
        <v>0</v>
      </c>
      <c r="G1917" s="158">
        <v>0</v>
      </c>
      <c r="H1917" s="158">
        <v>0</v>
      </c>
      <c r="I1917" s="158">
        <v>0</v>
      </c>
      <c r="J1917" s="158">
        <v>0</v>
      </c>
      <c r="K1917" s="158">
        <v>0</v>
      </c>
      <c r="L1917" s="159">
        <v>0</v>
      </c>
      <c r="M1917" s="154">
        <f t="shared" si="675"/>
        <v>3</v>
      </c>
      <c r="N1917" s="155">
        <f t="shared" si="676"/>
        <v>2</v>
      </c>
      <c r="O1917" s="168">
        <f t="shared" si="677"/>
        <v>9.6774193548387094E-2</v>
      </c>
      <c r="P1917" s="157">
        <f t="shared" si="677"/>
        <v>6.4516129032258063E-2</v>
      </c>
    </row>
    <row r="1918" spans="1:16">
      <c r="A1918" s="474"/>
      <c r="B1918" s="127">
        <v>5</v>
      </c>
      <c r="C1918" s="158">
        <v>0</v>
      </c>
      <c r="D1918" s="158">
        <v>1</v>
      </c>
      <c r="E1918" s="158">
        <v>0</v>
      </c>
      <c r="F1918" s="158">
        <v>0</v>
      </c>
      <c r="G1918" s="158">
        <v>0</v>
      </c>
      <c r="H1918" s="158">
        <v>0</v>
      </c>
      <c r="I1918" s="158">
        <v>0</v>
      </c>
      <c r="J1918" s="158">
        <v>0</v>
      </c>
      <c r="K1918" s="158">
        <v>0</v>
      </c>
      <c r="L1918" s="159">
        <v>0</v>
      </c>
      <c r="M1918" s="154">
        <f t="shared" si="675"/>
        <v>0</v>
      </c>
      <c r="N1918" s="155">
        <f t="shared" si="676"/>
        <v>1</v>
      </c>
      <c r="O1918" s="168">
        <f t="shared" si="677"/>
        <v>0</v>
      </c>
      <c r="P1918" s="157">
        <f t="shared" si="677"/>
        <v>3.2258064516129031E-2</v>
      </c>
    </row>
    <row r="1919" spans="1:16">
      <c r="A1919" s="474"/>
      <c r="B1919" s="127">
        <v>6</v>
      </c>
      <c r="C1919" s="158">
        <v>3</v>
      </c>
      <c r="D1919" s="158">
        <v>3</v>
      </c>
      <c r="E1919" s="158">
        <v>0</v>
      </c>
      <c r="F1919" s="158">
        <v>0</v>
      </c>
      <c r="G1919" s="158">
        <v>0</v>
      </c>
      <c r="H1919" s="158">
        <v>0</v>
      </c>
      <c r="I1919" s="158">
        <v>0</v>
      </c>
      <c r="J1919" s="158">
        <v>0</v>
      </c>
      <c r="K1919" s="158">
        <v>0</v>
      </c>
      <c r="L1919" s="158">
        <v>0</v>
      </c>
      <c r="M1919" s="154">
        <f t="shared" si="675"/>
        <v>3</v>
      </c>
      <c r="N1919" s="155">
        <f t="shared" si="676"/>
        <v>3</v>
      </c>
      <c r="O1919" s="168">
        <f>M1919/30</f>
        <v>0.1</v>
      </c>
      <c r="P1919" s="157">
        <f>N1919/30</f>
        <v>0.1</v>
      </c>
    </row>
    <row r="1920" spans="1:16">
      <c r="A1920" s="474"/>
      <c r="B1920" s="127">
        <v>7</v>
      </c>
      <c r="C1920" s="158">
        <v>0</v>
      </c>
      <c r="D1920" s="158">
        <v>0</v>
      </c>
      <c r="E1920" s="158">
        <v>0</v>
      </c>
      <c r="F1920" s="158">
        <v>0</v>
      </c>
      <c r="G1920" s="158">
        <v>0</v>
      </c>
      <c r="H1920" s="158">
        <v>0</v>
      </c>
      <c r="I1920" s="158">
        <v>0</v>
      </c>
      <c r="J1920" s="158">
        <v>0</v>
      </c>
      <c r="K1920" s="158">
        <v>0</v>
      </c>
      <c r="L1920" s="158">
        <v>0</v>
      </c>
      <c r="M1920" s="154">
        <f t="shared" si="675"/>
        <v>0</v>
      </c>
      <c r="N1920" s="155">
        <f t="shared" si="676"/>
        <v>0</v>
      </c>
      <c r="O1920" s="168">
        <f t="shared" ref="O1920:P1942" si="678">M1920/31</f>
        <v>0</v>
      </c>
      <c r="P1920" s="157">
        <f t="shared" si="678"/>
        <v>0</v>
      </c>
    </row>
    <row r="1921" spans="1:16">
      <c r="A1921" s="474"/>
      <c r="B1921" s="127">
        <v>8</v>
      </c>
      <c r="C1921" s="158">
        <v>0</v>
      </c>
      <c r="D1921" s="158">
        <v>0</v>
      </c>
      <c r="E1921" s="158">
        <v>0</v>
      </c>
      <c r="F1921" s="158">
        <v>0</v>
      </c>
      <c r="G1921" s="158">
        <v>0</v>
      </c>
      <c r="H1921" s="158">
        <v>0</v>
      </c>
      <c r="I1921" s="158">
        <v>0</v>
      </c>
      <c r="J1921" s="158">
        <v>0</v>
      </c>
      <c r="K1921" s="158">
        <v>0</v>
      </c>
      <c r="L1921" s="159">
        <v>0</v>
      </c>
      <c r="M1921" s="177">
        <f t="shared" si="675"/>
        <v>0</v>
      </c>
      <c r="N1921" s="158">
        <f t="shared" si="676"/>
        <v>0</v>
      </c>
      <c r="O1921" s="168">
        <f t="shared" si="678"/>
        <v>0</v>
      </c>
      <c r="P1921" s="157">
        <f t="shared" si="678"/>
        <v>0</v>
      </c>
    </row>
    <row r="1922" spans="1:16">
      <c r="A1922" s="474"/>
      <c r="B1922" s="127">
        <v>9</v>
      </c>
      <c r="C1922" s="147">
        <v>0</v>
      </c>
      <c r="D1922" s="147">
        <v>0</v>
      </c>
      <c r="E1922" s="147">
        <v>0</v>
      </c>
      <c r="F1922" s="147">
        <v>0</v>
      </c>
      <c r="G1922" s="147">
        <v>0</v>
      </c>
      <c r="H1922" s="147">
        <v>0</v>
      </c>
      <c r="I1922" s="147">
        <v>0</v>
      </c>
      <c r="J1922" s="147">
        <v>0</v>
      </c>
      <c r="K1922" s="147">
        <v>0</v>
      </c>
      <c r="L1922" s="147">
        <v>0</v>
      </c>
      <c r="M1922" s="177">
        <f t="shared" si="675"/>
        <v>0</v>
      </c>
      <c r="N1922" s="158">
        <f t="shared" si="676"/>
        <v>0</v>
      </c>
      <c r="O1922" s="168">
        <f t="shared" si="678"/>
        <v>0</v>
      </c>
      <c r="P1922" s="157">
        <f t="shared" si="678"/>
        <v>0</v>
      </c>
    </row>
    <row r="1923" spans="1:16">
      <c r="A1923" s="474"/>
      <c r="B1923" s="127">
        <v>10</v>
      </c>
      <c r="C1923" s="147">
        <v>1</v>
      </c>
      <c r="D1923" s="147">
        <v>1</v>
      </c>
      <c r="E1923" s="147">
        <v>0</v>
      </c>
      <c r="F1923" s="181">
        <v>0</v>
      </c>
      <c r="G1923" s="147">
        <v>0</v>
      </c>
      <c r="H1923" s="147">
        <v>0</v>
      </c>
      <c r="I1923" s="147">
        <v>0</v>
      </c>
      <c r="J1923" s="147">
        <v>0</v>
      </c>
      <c r="K1923" s="147">
        <v>0</v>
      </c>
      <c r="L1923" s="148">
        <v>0</v>
      </c>
      <c r="M1923" s="154">
        <f t="shared" si="675"/>
        <v>1</v>
      </c>
      <c r="N1923" s="155">
        <f t="shared" si="676"/>
        <v>1</v>
      </c>
      <c r="O1923" s="168">
        <f t="shared" si="678"/>
        <v>3.2258064516129031E-2</v>
      </c>
      <c r="P1923" s="157">
        <f t="shared" si="678"/>
        <v>3.2258064516129031E-2</v>
      </c>
    </row>
    <row r="1924" spans="1:16">
      <c r="A1924" s="474"/>
      <c r="B1924" s="127">
        <v>11</v>
      </c>
      <c r="C1924" s="367">
        <v>1</v>
      </c>
      <c r="D1924" s="367">
        <v>2</v>
      </c>
      <c r="E1924" s="367">
        <v>0</v>
      </c>
      <c r="F1924" s="367">
        <v>0</v>
      </c>
      <c r="G1924" s="367">
        <v>0</v>
      </c>
      <c r="H1924" s="367">
        <v>0</v>
      </c>
      <c r="I1924" s="367">
        <v>0</v>
      </c>
      <c r="J1924" s="367">
        <v>0</v>
      </c>
      <c r="K1924" s="367">
        <v>0</v>
      </c>
      <c r="L1924" s="368">
        <v>0</v>
      </c>
      <c r="M1924" s="154">
        <f t="shared" si="675"/>
        <v>1</v>
      </c>
      <c r="N1924" s="155">
        <f t="shared" si="676"/>
        <v>2</v>
      </c>
      <c r="O1924" s="168">
        <f t="shared" si="678"/>
        <v>3.2258064516129031E-2</v>
      </c>
      <c r="P1924" s="157">
        <f t="shared" si="678"/>
        <v>6.4516129032258063E-2</v>
      </c>
    </row>
    <row r="1925" spans="1:16" ht="14.25" thickBot="1">
      <c r="A1925" s="475"/>
      <c r="B1925" s="127">
        <v>12</v>
      </c>
      <c r="C1925" s="187">
        <v>0</v>
      </c>
      <c r="D1925" s="187">
        <v>0</v>
      </c>
      <c r="E1925" s="187">
        <v>0</v>
      </c>
      <c r="F1925" s="188">
        <v>0</v>
      </c>
      <c r="G1925" s="187">
        <v>0</v>
      </c>
      <c r="H1925" s="187">
        <v>0</v>
      </c>
      <c r="I1925" s="187">
        <v>0</v>
      </c>
      <c r="J1925" s="187">
        <v>0</v>
      </c>
      <c r="K1925" s="187">
        <v>0</v>
      </c>
      <c r="L1925" s="189">
        <v>0</v>
      </c>
      <c r="M1925" s="154">
        <f t="shared" si="675"/>
        <v>0</v>
      </c>
      <c r="N1925" s="155">
        <f t="shared" si="676"/>
        <v>0</v>
      </c>
      <c r="O1925" s="168">
        <f t="shared" si="678"/>
        <v>0</v>
      </c>
      <c r="P1925" s="157">
        <f t="shared" si="678"/>
        <v>0</v>
      </c>
    </row>
    <row r="1926" spans="1:16">
      <c r="A1926" s="473">
        <v>2019</v>
      </c>
      <c r="B1926" s="410">
        <v>1</v>
      </c>
      <c r="C1926" s="422">
        <v>0</v>
      </c>
      <c r="D1926" s="422">
        <v>0</v>
      </c>
      <c r="E1926" s="422">
        <v>0</v>
      </c>
      <c r="F1926" s="422">
        <v>0</v>
      </c>
      <c r="G1926" s="422">
        <v>0</v>
      </c>
      <c r="H1926" s="422">
        <v>0</v>
      </c>
      <c r="I1926" s="422">
        <v>0</v>
      </c>
      <c r="J1926" s="422">
        <v>0</v>
      </c>
      <c r="K1926" s="422">
        <v>0</v>
      </c>
      <c r="L1926" s="432">
        <v>0</v>
      </c>
      <c r="M1926" s="424">
        <f t="shared" si="675"/>
        <v>0</v>
      </c>
      <c r="N1926" s="425">
        <f t="shared" si="676"/>
        <v>0</v>
      </c>
      <c r="O1926" s="430">
        <f t="shared" ref="O1926:O1930" si="679">M1926/31</f>
        <v>0</v>
      </c>
      <c r="P1926" s="427">
        <f t="shared" ref="P1926:P1930" si="680">N1926/31</f>
        <v>0</v>
      </c>
    </row>
    <row r="1927" spans="1:16">
      <c r="A1927" s="474"/>
      <c r="B1927" s="127">
        <v>2</v>
      </c>
      <c r="C1927" s="147">
        <v>0</v>
      </c>
      <c r="D1927" s="147">
        <v>0</v>
      </c>
      <c r="E1927" s="147">
        <v>0</v>
      </c>
      <c r="F1927" s="147">
        <v>0</v>
      </c>
      <c r="G1927" s="147">
        <v>0</v>
      </c>
      <c r="H1927" s="147">
        <v>0</v>
      </c>
      <c r="I1927" s="147">
        <v>0</v>
      </c>
      <c r="J1927" s="147">
        <v>0</v>
      </c>
      <c r="K1927" s="147">
        <v>0</v>
      </c>
      <c r="L1927" s="174">
        <v>0</v>
      </c>
      <c r="M1927" s="149">
        <f t="shared" si="675"/>
        <v>0</v>
      </c>
      <c r="N1927" s="150">
        <f t="shared" si="676"/>
        <v>0</v>
      </c>
      <c r="O1927" s="167">
        <f t="shared" si="679"/>
        <v>0</v>
      </c>
      <c r="P1927" s="152">
        <f t="shared" si="680"/>
        <v>0</v>
      </c>
    </row>
    <row r="1928" spans="1:16">
      <c r="A1928" s="474"/>
      <c r="B1928" s="127">
        <v>3</v>
      </c>
      <c r="C1928" s="147">
        <v>1</v>
      </c>
      <c r="D1928" s="147">
        <v>0</v>
      </c>
      <c r="E1928" s="147">
        <v>0</v>
      </c>
      <c r="F1928" s="147">
        <v>0</v>
      </c>
      <c r="G1928" s="147">
        <v>0</v>
      </c>
      <c r="H1928" s="147">
        <v>0</v>
      </c>
      <c r="I1928" s="147">
        <v>0</v>
      </c>
      <c r="J1928" s="147">
        <v>0</v>
      </c>
      <c r="K1928" s="147">
        <v>0</v>
      </c>
      <c r="L1928" s="174">
        <v>0</v>
      </c>
      <c r="M1928" s="149">
        <f t="shared" si="675"/>
        <v>1</v>
      </c>
      <c r="N1928" s="150">
        <f t="shared" si="676"/>
        <v>0</v>
      </c>
      <c r="O1928" s="167">
        <f t="shared" si="679"/>
        <v>3.2258064516129031E-2</v>
      </c>
      <c r="P1928" s="152">
        <f t="shared" si="680"/>
        <v>0</v>
      </c>
    </row>
    <row r="1929" spans="1:16">
      <c r="A1929" s="474"/>
      <c r="B1929" s="127">
        <v>4</v>
      </c>
      <c r="C1929" s="158">
        <v>2</v>
      </c>
      <c r="D1929" s="158">
        <v>2</v>
      </c>
      <c r="E1929" s="158">
        <v>0</v>
      </c>
      <c r="F1929" s="158">
        <v>0</v>
      </c>
      <c r="G1929" s="158">
        <v>0</v>
      </c>
      <c r="H1929" s="158">
        <v>0</v>
      </c>
      <c r="I1929" s="158">
        <v>0</v>
      </c>
      <c r="J1929" s="158">
        <v>0</v>
      </c>
      <c r="K1929" s="158">
        <v>0</v>
      </c>
      <c r="L1929" s="159">
        <v>0</v>
      </c>
      <c r="M1929" s="154">
        <f t="shared" si="675"/>
        <v>2</v>
      </c>
      <c r="N1929" s="155">
        <f t="shared" si="676"/>
        <v>2</v>
      </c>
      <c r="O1929" s="168">
        <f t="shared" si="679"/>
        <v>6.4516129032258063E-2</v>
      </c>
      <c r="P1929" s="157">
        <f t="shared" si="680"/>
        <v>6.4516129032258063E-2</v>
      </c>
    </row>
    <row r="1930" spans="1:16">
      <c r="A1930" s="474"/>
      <c r="B1930" s="127">
        <v>5</v>
      </c>
      <c r="C1930" s="158">
        <v>0</v>
      </c>
      <c r="D1930" s="158">
        <v>1</v>
      </c>
      <c r="E1930" s="158">
        <v>0</v>
      </c>
      <c r="F1930" s="158">
        <v>0</v>
      </c>
      <c r="G1930" s="158">
        <v>0</v>
      </c>
      <c r="H1930" s="158">
        <v>0</v>
      </c>
      <c r="I1930" s="158">
        <v>0</v>
      </c>
      <c r="J1930" s="158">
        <v>0</v>
      </c>
      <c r="K1930" s="158">
        <v>0</v>
      </c>
      <c r="L1930" s="159">
        <v>0</v>
      </c>
      <c r="M1930" s="154">
        <f t="shared" si="675"/>
        <v>0</v>
      </c>
      <c r="N1930" s="155">
        <f t="shared" si="676"/>
        <v>1</v>
      </c>
      <c r="O1930" s="168">
        <f t="shared" si="679"/>
        <v>0</v>
      </c>
      <c r="P1930" s="157">
        <f t="shared" si="680"/>
        <v>3.2258064516129031E-2</v>
      </c>
    </row>
    <row r="1931" spans="1:16">
      <c r="A1931" s="474"/>
      <c r="B1931" s="127">
        <v>6</v>
      </c>
      <c r="C1931" s="158">
        <v>0</v>
      </c>
      <c r="D1931" s="158">
        <v>0</v>
      </c>
      <c r="E1931" s="158">
        <v>0</v>
      </c>
      <c r="F1931" s="158">
        <v>0</v>
      </c>
      <c r="G1931" s="158">
        <v>0</v>
      </c>
      <c r="H1931" s="158">
        <v>0</v>
      </c>
      <c r="I1931" s="158">
        <v>0</v>
      </c>
      <c r="J1931" s="158">
        <v>0</v>
      </c>
      <c r="K1931" s="158">
        <v>0</v>
      </c>
      <c r="L1931" s="158">
        <v>0</v>
      </c>
      <c r="M1931" s="154">
        <f t="shared" si="675"/>
        <v>0</v>
      </c>
      <c r="N1931" s="155">
        <f t="shared" si="676"/>
        <v>0</v>
      </c>
      <c r="O1931" s="168">
        <f>M1931/30</f>
        <v>0</v>
      </c>
      <c r="P1931" s="157">
        <f>N1931/30</f>
        <v>0</v>
      </c>
    </row>
    <row r="1932" spans="1:16">
      <c r="A1932" s="474"/>
      <c r="B1932" s="127">
        <v>7</v>
      </c>
      <c r="C1932" s="158">
        <v>0</v>
      </c>
      <c r="D1932" s="158">
        <v>0</v>
      </c>
      <c r="E1932" s="158">
        <v>0</v>
      </c>
      <c r="F1932" s="158">
        <v>0</v>
      </c>
      <c r="G1932" s="158">
        <v>0</v>
      </c>
      <c r="H1932" s="158">
        <v>0</v>
      </c>
      <c r="I1932" s="158">
        <v>0</v>
      </c>
      <c r="J1932" s="158">
        <v>0</v>
      </c>
      <c r="K1932" s="158">
        <v>0</v>
      </c>
      <c r="L1932" s="158">
        <v>0</v>
      </c>
      <c r="M1932" s="154">
        <f t="shared" si="675"/>
        <v>0</v>
      </c>
      <c r="N1932" s="155">
        <f t="shared" si="676"/>
        <v>0</v>
      </c>
      <c r="O1932" s="168">
        <f t="shared" ref="O1932:O1933" si="681">M1932/31</f>
        <v>0</v>
      </c>
      <c r="P1932" s="157">
        <f t="shared" ref="P1932:P1933" si="682">N1932/31</f>
        <v>0</v>
      </c>
    </row>
    <row r="1933" spans="1:16">
      <c r="A1933" s="474"/>
      <c r="B1933" s="127">
        <v>8</v>
      </c>
      <c r="C1933" s="158">
        <v>0</v>
      </c>
      <c r="D1933" s="158">
        <v>0</v>
      </c>
      <c r="E1933" s="158">
        <v>0</v>
      </c>
      <c r="F1933" s="158">
        <v>0</v>
      </c>
      <c r="G1933" s="158">
        <v>0</v>
      </c>
      <c r="H1933" s="158">
        <v>0</v>
      </c>
      <c r="I1933" s="158">
        <v>0</v>
      </c>
      <c r="J1933" s="158">
        <v>0</v>
      </c>
      <c r="K1933" s="158">
        <v>0</v>
      </c>
      <c r="L1933" s="159">
        <v>0</v>
      </c>
      <c r="M1933" s="177">
        <f t="shared" si="675"/>
        <v>0</v>
      </c>
      <c r="N1933" s="158">
        <f t="shared" si="676"/>
        <v>0</v>
      </c>
      <c r="O1933" s="168">
        <f t="shared" si="681"/>
        <v>0</v>
      </c>
      <c r="P1933" s="157">
        <f t="shared" si="682"/>
        <v>0</v>
      </c>
    </row>
    <row r="1934" spans="1:16">
      <c r="A1934" s="474"/>
      <c r="B1934" s="127">
        <v>9</v>
      </c>
      <c r="C1934" s="147">
        <v>0</v>
      </c>
      <c r="D1934" s="147">
        <v>0</v>
      </c>
      <c r="E1934" s="147">
        <v>0</v>
      </c>
      <c r="F1934" s="147">
        <v>0</v>
      </c>
      <c r="G1934" s="147">
        <v>0</v>
      </c>
      <c r="H1934" s="147">
        <v>0</v>
      </c>
      <c r="I1934" s="147">
        <v>0</v>
      </c>
      <c r="J1934" s="147">
        <v>0</v>
      </c>
      <c r="K1934" s="147">
        <v>0</v>
      </c>
      <c r="L1934" s="147">
        <v>0</v>
      </c>
      <c r="M1934" s="177">
        <v>0</v>
      </c>
      <c r="N1934" s="158">
        <v>0</v>
      </c>
      <c r="O1934" s="168">
        <v>0</v>
      </c>
      <c r="P1934" s="157">
        <v>0</v>
      </c>
    </row>
    <row r="1935" spans="1:16">
      <c r="A1935" s="474"/>
      <c r="B1935" s="127">
        <v>10</v>
      </c>
      <c r="C1935" s="147">
        <v>0</v>
      </c>
      <c r="D1935" s="147">
        <v>0</v>
      </c>
      <c r="E1935" s="147">
        <v>0</v>
      </c>
      <c r="F1935" s="181">
        <v>0</v>
      </c>
      <c r="G1935" s="147">
        <v>0</v>
      </c>
      <c r="H1935" s="147">
        <v>0</v>
      </c>
      <c r="I1935" s="147">
        <v>0</v>
      </c>
      <c r="J1935" s="147">
        <v>0</v>
      </c>
      <c r="K1935" s="147">
        <v>0</v>
      </c>
      <c r="L1935" s="148">
        <v>0</v>
      </c>
      <c r="M1935" s="154">
        <f t="shared" ref="M1935:M1937" si="683">+C1935+E1935+G1935+I1935+K1935</f>
        <v>0</v>
      </c>
      <c r="N1935" s="155">
        <f t="shared" ref="N1935:N1937" si="684">+D1935+F1935+H1935+J1935+L1935</f>
        <v>0</v>
      </c>
      <c r="O1935" s="168">
        <f t="shared" ref="O1935:O1937" si="685">M1935/31</f>
        <v>0</v>
      </c>
      <c r="P1935" s="157">
        <f t="shared" ref="P1935:P1937" si="686">N1935/31</f>
        <v>0</v>
      </c>
    </row>
    <row r="1936" spans="1:16">
      <c r="A1936" s="474"/>
      <c r="B1936" s="127">
        <v>11</v>
      </c>
      <c r="C1936" s="367">
        <v>1</v>
      </c>
      <c r="D1936" s="367">
        <v>0</v>
      </c>
      <c r="E1936" s="367">
        <v>0</v>
      </c>
      <c r="F1936" s="367">
        <v>0</v>
      </c>
      <c r="G1936" s="367">
        <v>0</v>
      </c>
      <c r="H1936" s="367">
        <v>0</v>
      </c>
      <c r="I1936" s="367">
        <v>0</v>
      </c>
      <c r="J1936" s="367">
        <v>0</v>
      </c>
      <c r="K1936" s="367">
        <v>0</v>
      </c>
      <c r="L1936" s="368">
        <v>0</v>
      </c>
      <c r="M1936" s="154">
        <f t="shared" si="683"/>
        <v>1</v>
      </c>
      <c r="N1936" s="155">
        <f t="shared" si="684"/>
        <v>0</v>
      </c>
      <c r="O1936" s="168">
        <f t="shared" si="685"/>
        <v>3.2258064516129031E-2</v>
      </c>
      <c r="P1936" s="157">
        <f t="shared" si="686"/>
        <v>0</v>
      </c>
    </row>
    <row r="1937" spans="1:16" ht="14.25" thickBot="1">
      <c r="A1937" s="475"/>
      <c r="B1937" s="127">
        <v>12</v>
      </c>
      <c r="C1937" s="187">
        <v>0</v>
      </c>
      <c r="D1937" s="187">
        <v>1</v>
      </c>
      <c r="E1937" s="187">
        <v>0</v>
      </c>
      <c r="F1937" s="188">
        <v>0</v>
      </c>
      <c r="G1937" s="187">
        <v>0</v>
      </c>
      <c r="H1937" s="187">
        <v>0</v>
      </c>
      <c r="I1937" s="187">
        <v>0</v>
      </c>
      <c r="J1937" s="187">
        <v>0</v>
      </c>
      <c r="K1937" s="187">
        <v>0</v>
      </c>
      <c r="L1937" s="189">
        <v>0</v>
      </c>
      <c r="M1937" s="154">
        <f t="shared" si="683"/>
        <v>0</v>
      </c>
      <c r="N1937" s="155">
        <f t="shared" si="684"/>
        <v>1</v>
      </c>
      <c r="O1937" s="168">
        <f t="shared" si="685"/>
        <v>0</v>
      </c>
      <c r="P1937" s="157">
        <f t="shared" si="686"/>
        <v>3.2258064516129031E-2</v>
      </c>
    </row>
    <row r="1938" spans="1:16">
      <c r="A1938" s="473">
        <v>2020</v>
      </c>
      <c r="B1938" s="410">
        <v>1</v>
      </c>
      <c r="C1938" s="434">
        <v>0</v>
      </c>
      <c r="D1938" s="434">
        <v>0</v>
      </c>
      <c r="E1938" s="434">
        <v>0</v>
      </c>
      <c r="F1938" s="434">
        <v>0</v>
      </c>
      <c r="G1938" s="434">
        <v>0</v>
      </c>
      <c r="H1938" s="434">
        <v>0</v>
      </c>
      <c r="I1938" s="434">
        <v>0</v>
      </c>
      <c r="J1938" s="434">
        <v>0</v>
      </c>
      <c r="K1938" s="434">
        <v>0</v>
      </c>
      <c r="L1938" s="436">
        <v>0</v>
      </c>
      <c r="M1938" s="424">
        <f t="shared" ref="M1938:M1949" si="687">+C1938+E1938+G1938+I1938+K1938</f>
        <v>0</v>
      </c>
      <c r="N1938" s="425">
        <f t="shared" ref="N1938:N1949" si="688">+D1938+F1938+H1938+J1938+L1938</f>
        <v>0</v>
      </c>
      <c r="O1938" s="430">
        <f t="shared" si="678"/>
        <v>0</v>
      </c>
      <c r="P1938" s="427">
        <f t="shared" si="678"/>
        <v>0</v>
      </c>
    </row>
    <row r="1939" spans="1:16">
      <c r="A1939" s="474"/>
      <c r="B1939" s="127">
        <v>2</v>
      </c>
      <c r="C1939" s="147">
        <v>0</v>
      </c>
      <c r="D1939" s="147">
        <v>0</v>
      </c>
      <c r="E1939" s="147">
        <v>0</v>
      </c>
      <c r="F1939" s="147">
        <v>0</v>
      </c>
      <c r="G1939" s="147">
        <v>0</v>
      </c>
      <c r="H1939" s="147">
        <v>0</v>
      </c>
      <c r="I1939" s="147">
        <v>0</v>
      </c>
      <c r="J1939" s="147">
        <v>0</v>
      </c>
      <c r="K1939" s="147">
        <v>0</v>
      </c>
      <c r="L1939" s="148">
        <v>0</v>
      </c>
      <c r="M1939" s="149">
        <f t="shared" si="687"/>
        <v>0</v>
      </c>
      <c r="N1939" s="150">
        <f t="shared" si="688"/>
        <v>0</v>
      </c>
      <c r="O1939" s="167">
        <f t="shared" si="678"/>
        <v>0</v>
      </c>
      <c r="P1939" s="152">
        <f t="shared" si="678"/>
        <v>0</v>
      </c>
    </row>
    <row r="1940" spans="1:16">
      <c r="A1940" s="474"/>
      <c r="B1940" s="127">
        <v>3</v>
      </c>
      <c r="C1940" s="147">
        <v>0</v>
      </c>
      <c r="D1940" s="147">
        <v>0</v>
      </c>
      <c r="E1940" s="147">
        <v>0</v>
      </c>
      <c r="F1940" s="147">
        <v>0</v>
      </c>
      <c r="G1940" s="147">
        <v>0</v>
      </c>
      <c r="H1940" s="147">
        <v>0</v>
      </c>
      <c r="I1940" s="147">
        <v>0</v>
      </c>
      <c r="J1940" s="147">
        <v>0</v>
      </c>
      <c r="K1940" s="147">
        <v>0</v>
      </c>
      <c r="L1940" s="148">
        <v>0</v>
      </c>
      <c r="M1940" s="149">
        <f t="shared" si="687"/>
        <v>0</v>
      </c>
      <c r="N1940" s="150">
        <f t="shared" si="688"/>
        <v>0</v>
      </c>
      <c r="O1940" s="167">
        <f t="shared" si="678"/>
        <v>0</v>
      </c>
      <c r="P1940" s="152">
        <f t="shared" si="678"/>
        <v>0</v>
      </c>
    </row>
    <row r="1941" spans="1:16">
      <c r="A1941" s="474"/>
      <c r="B1941" s="127">
        <v>4</v>
      </c>
      <c r="C1941" s="147">
        <v>0</v>
      </c>
      <c r="D1941" s="147">
        <v>0</v>
      </c>
      <c r="E1941" s="147">
        <v>0</v>
      </c>
      <c r="F1941" s="147">
        <v>0</v>
      </c>
      <c r="G1941" s="147">
        <v>0</v>
      </c>
      <c r="H1941" s="147">
        <v>0</v>
      </c>
      <c r="I1941" s="147">
        <v>0</v>
      </c>
      <c r="J1941" s="147">
        <v>0</v>
      </c>
      <c r="K1941" s="147">
        <v>0</v>
      </c>
      <c r="L1941" s="148">
        <v>0</v>
      </c>
      <c r="M1941" s="154">
        <f t="shared" si="687"/>
        <v>0</v>
      </c>
      <c r="N1941" s="155">
        <f t="shared" si="688"/>
        <v>0</v>
      </c>
      <c r="O1941" s="168">
        <f t="shared" si="678"/>
        <v>0</v>
      </c>
      <c r="P1941" s="157">
        <f t="shared" si="678"/>
        <v>0</v>
      </c>
    </row>
    <row r="1942" spans="1:16">
      <c r="A1942" s="474"/>
      <c r="B1942" s="127">
        <v>5</v>
      </c>
      <c r="C1942" s="147">
        <v>0</v>
      </c>
      <c r="D1942" s="147">
        <v>0</v>
      </c>
      <c r="E1942" s="147">
        <v>0</v>
      </c>
      <c r="F1942" s="147">
        <v>0</v>
      </c>
      <c r="G1942" s="147">
        <v>0</v>
      </c>
      <c r="H1942" s="147">
        <v>0</v>
      </c>
      <c r="I1942" s="147">
        <v>0</v>
      </c>
      <c r="J1942" s="147">
        <v>0</v>
      </c>
      <c r="K1942" s="147">
        <v>0</v>
      </c>
      <c r="L1942" s="148">
        <v>0</v>
      </c>
      <c r="M1942" s="154">
        <f t="shared" si="687"/>
        <v>0</v>
      </c>
      <c r="N1942" s="155">
        <f t="shared" si="688"/>
        <v>0</v>
      </c>
      <c r="O1942" s="168">
        <f t="shared" si="678"/>
        <v>0</v>
      </c>
      <c r="P1942" s="157">
        <f t="shared" si="678"/>
        <v>0</v>
      </c>
    </row>
    <row r="1943" spans="1:16">
      <c r="A1943" s="474"/>
      <c r="B1943" s="127">
        <v>6</v>
      </c>
      <c r="C1943" s="147">
        <f>集計用!C70</f>
        <v>0</v>
      </c>
      <c r="D1943" s="147">
        <f>集計用!S70</f>
        <v>0</v>
      </c>
      <c r="E1943" s="147">
        <f>集計用!E70</f>
        <v>0</v>
      </c>
      <c r="F1943" s="147">
        <f>集計用!U70</f>
        <v>0</v>
      </c>
      <c r="G1943" s="147">
        <f>集計用!G70</f>
        <v>0</v>
      </c>
      <c r="H1943" s="147">
        <f>集計用!W70</f>
        <v>0</v>
      </c>
      <c r="I1943" s="147">
        <f>集計用!I70</f>
        <v>0</v>
      </c>
      <c r="J1943" s="147">
        <f>集計用!Y70</f>
        <v>0</v>
      </c>
      <c r="K1943" s="147">
        <f>集計用!K70</f>
        <v>0</v>
      </c>
      <c r="L1943" s="148">
        <f>集計用!AA70</f>
        <v>0</v>
      </c>
      <c r="M1943" s="154">
        <f t="shared" si="687"/>
        <v>0</v>
      </c>
      <c r="N1943" s="155">
        <f t="shared" si="688"/>
        <v>0</v>
      </c>
      <c r="O1943" s="168">
        <f>M1943/30</f>
        <v>0</v>
      </c>
      <c r="P1943" s="157">
        <f>N1943/30</f>
        <v>0</v>
      </c>
    </row>
    <row r="1944" spans="1:16">
      <c r="A1944" s="474"/>
      <c r="B1944" s="127">
        <v>7</v>
      </c>
      <c r="C1944" s="158"/>
      <c r="D1944" s="158"/>
      <c r="E1944" s="158"/>
      <c r="F1944" s="158"/>
      <c r="G1944" s="158"/>
      <c r="H1944" s="158"/>
      <c r="I1944" s="158"/>
      <c r="J1944" s="158"/>
      <c r="K1944" s="158"/>
      <c r="L1944" s="158"/>
      <c r="M1944" s="154">
        <f t="shared" si="687"/>
        <v>0</v>
      </c>
      <c r="N1944" s="155">
        <f t="shared" si="688"/>
        <v>0</v>
      </c>
      <c r="O1944" s="168">
        <f t="shared" ref="O1944:O1949" si="689">M1944/31</f>
        <v>0</v>
      </c>
      <c r="P1944" s="157">
        <f t="shared" ref="P1944:P1949" si="690">N1944/31</f>
        <v>0</v>
      </c>
    </row>
    <row r="1945" spans="1:16">
      <c r="A1945" s="474"/>
      <c r="B1945" s="127">
        <v>8</v>
      </c>
      <c r="C1945" s="158"/>
      <c r="D1945" s="158"/>
      <c r="E1945" s="158"/>
      <c r="F1945" s="158"/>
      <c r="G1945" s="158"/>
      <c r="H1945" s="158"/>
      <c r="I1945" s="158"/>
      <c r="J1945" s="158"/>
      <c r="K1945" s="158"/>
      <c r="L1945" s="159"/>
      <c r="M1945" s="177">
        <f t="shared" si="687"/>
        <v>0</v>
      </c>
      <c r="N1945" s="158">
        <f t="shared" si="688"/>
        <v>0</v>
      </c>
      <c r="O1945" s="168">
        <f t="shared" si="689"/>
        <v>0</v>
      </c>
      <c r="P1945" s="157">
        <f t="shared" si="690"/>
        <v>0</v>
      </c>
    </row>
    <row r="1946" spans="1:16">
      <c r="A1946" s="474"/>
      <c r="B1946" s="127">
        <v>9</v>
      </c>
      <c r="C1946" s="147"/>
      <c r="D1946" s="147"/>
      <c r="E1946" s="147"/>
      <c r="F1946" s="147"/>
      <c r="G1946" s="147"/>
      <c r="H1946" s="147"/>
      <c r="I1946" s="147"/>
      <c r="J1946" s="147"/>
      <c r="K1946" s="147"/>
      <c r="L1946" s="147"/>
      <c r="M1946" s="177">
        <f t="shared" ref="M1946" si="691">+C1946+E1946+G1946+I1946+K1946</f>
        <v>0</v>
      </c>
      <c r="N1946" s="158">
        <f t="shared" ref="N1946" si="692">+D1946+F1946+H1946+J1946+L1946</f>
        <v>0</v>
      </c>
      <c r="O1946" s="168">
        <f>M1946/30</f>
        <v>0</v>
      </c>
      <c r="P1946" s="157">
        <f>N1946/30</f>
        <v>0</v>
      </c>
    </row>
    <row r="1947" spans="1:16">
      <c r="A1947" s="474"/>
      <c r="B1947" s="127">
        <v>10</v>
      </c>
      <c r="C1947" s="147"/>
      <c r="D1947" s="147"/>
      <c r="E1947" s="147"/>
      <c r="F1947" s="181"/>
      <c r="G1947" s="147"/>
      <c r="H1947" s="147"/>
      <c r="I1947" s="147"/>
      <c r="J1947" s="147"/>
      <c r="K1947" s="147"/>
      <c r="L1947" s="148"/>
      <c r="M1947" s="154">
        <f t="shared" ref="M1947" si="693">+C1947+E1947+G1947+I1947+K1947</f>
        <v>0</v>
      </c>
      <c r="N1947" s="155">
        <f t="shared" ref="N1947" si="694">+D1947+F1947+H1947+J1947+L1947</f>
        <v>0</v>
      </c>
      <c r="O1947" s="168">
        <f t="shared" ref="O1947" si="695">M1947/31</f>
        <v>0</v>
      </c>
      <c r="P1947" s="157">
        <f t="shared" ref="P1947" si="696">N1947/31</f>
        <v>0</v>
      </c>
    </row>
    <row r="1948" spans="1:16">
      <c r="A1948" s="474"/>
      <c r="B1948" s="127">
        <v>11</v>
      </c>
      <c r="C1948" s="367"/>
      <c r="D1948" s="367"/>
      <c r="E1948" s="367"/>
      <c r="F1948" s="367"/>
      <c r="G1948" s="367"/>
      <c r="H1948" s="367"/>
      <c r="I1948" s="367"/>
      <c r="J1948" s="367"/>
      <c r="K1948" s="367"/>
      <c r="L1948" s="368"/>
      <c r="M1948" s="154">
        <f t="shared" si="687"/>
        <v>0</v>
      </c>
      <c r="N1948" s="155">
        <f t="shared" si="688"/>
        <v>0</v>
      </c>
      <c r="O1948" s="168">
        <f t="shared" si="689"/>
        <v>0</v>
      </c>
      <c r="P1948" s="157">
        <f t="shared" si="690"/>
        <v>0</v>
      </c>
    </row>
    <row r="1949" spans="1:16" ht="14.25" thickBot="1">
      <c r="A1949" s="475"/>
      <c r="B1949" s="127">
        <v>12</v>
      </c>
      <c r="C1949" s="187"/>
      <c r="D1949" s="187"/>
      <c r="E1949" s="187"/>
      <c r="F1949" s="188"/>
      <c r="G1949" s="187"/>
      <c r="H1949" s="187"/>
      <c r="I1949" s="187"/>
      <c r="J1949" s="187"/>
      <c r="K1949" s="187"/>
      <c r="L1949" s="189"/>
      <c r="M1949" s="154">
        <f t="shared" si="687"/>
        <v>0</v>
      </c>
      <c r="N1949" s="155">
        <f t="shared" si="688"/>
        <v>0</v>
      </c>
      <c r="O1949" s="168">
        <f t="shared" si="689"/>
        <v>0</v>
      </c>
      <c r="P1949" s="157">
        <f t="shared" si="690"/>
        <v>0</v>
      </c>
    </row>
    <row r="1950" spans="1:16" ht="14.25" thickBot="1">
      <c r="A1950" s="180"/>
      <c r="B1950" s="160" t="s">
        <v>5</v>
      </c>
      <c r="C1950" s="161">
        <f>SUM(C1914:C1949)</f>
        <v>12</v>
      </c>
      <c r="D1950" s="161">
        <f t="shared" ref="D1950:K1950" si="697">SUM(D1914:D1949)</f>
        <v>13</v>
      </c>
      <c r="E1950" s="161">
        <f t="shared" si="697"/>
        <v>0</v>
      </c>
      <c r="F1950" s="161">
        <f t="shared" si="697"/>
        <v>0</v>
      </c>
      <c r="G1950" s="161">
        <f t="shared" si="697"/>
        <v>0</v>
      </c>
      <c r="H1950" s="161">
        <f t="shared" si="697"/>
        <v>0</v>
      </c>
      <c r="I1950" s="161">
        <f t="shared" si="697"/>
        <v>0</v>
      </c>
      <c r="J1950" s="161">
        <f t="shared" si="697"/>
        <v>0</v>
      </c>
      <c r="K1950" s="161">
        <f t="shared" si="697"/>
        <v>0</v>
      </c>
      <c r="L1950" s="161">
        <f>SUM(L1914:L1949)</f>
        <v>0</v>
      </c>
      <c r="M1950" s="162">
        <f>SUM(M1914:M1949)</f>
        <v>12</v>
      </c>
      <c r="N1950" s="161">
        <f>SUM(N1914:N1949)</f>
        <v>13</v>
      </c>
      <c r="O1950" s="161">
        <f>SUM(O1914:O1949)</f>
        <v>0.39032258064516134</v>
      </c>
      <c r="P1950" s="161">
        <f>SUM(P1914:P1949)</f>
        <v>0.42258064516129035</v>
      </c>
    </row>
    <row r="1959" spans="1:16" s="2" customFormat="1" ht="15" customHeight="1">
      <c r="B1959" s="172" t="s">
        <v>25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73">
        <f>P1</f>
        <v>44022</v>
      </c>
    </row>
    <row r="1960" spans="1:16" s="2" customFormat="1" ht="7.5" customHeight="1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124"/>
    </row>
    <row r="1961" spans="1:16" ht="10.5" customHeight="1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25" t="s">
        <v>26</v>
      </c>
    </row>
    <row r="1962" spans="1:16" ht="9.75" customHeight="1">
      <c r="B1962" s="11" t="s">
        <v>55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26" t="s">
        <v>27</v>
      </c>
    </row>
    <row r="1963" spans="1:16" ht="9.75" customHeight="1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26"/>
    </row>
    <row r="1964" spans="1:16">
      <c r="B1964" s="467" t="s">
        <v>266</v>
      </c>
      <c r="C1964" s="469" t="s">
        <v>29</v>
      </c>
      <c r="D1964" s="470"/>
      <c r="E1964" s="469" t="s">
        <v>30</v>
      </c>
      <c r="F1964" s="470"/>
      <c r="G1964" s="469" t="s">
        <v>31</v>
      </c>
      <c r="H1964" s="470"/>
      <c r="I1964" s="469" t="s">
        <v>58</v>
      </c>
      <c r="J1964" s="470"/>
      <c r="K1964" s="469" t="s">
        <v>57</v>
      </c>
      <c r="L1964" s="471"/>
      <c r="M1964" s="478" t="s">
        <v>5</v>
      </c>
      <c r="N1964" s="470"/>
      <c r="O1964" s="469" t="s">
        <v>33</v>
      </c>
      <c r="P1964" s="470"/>
    </row>
    <row r="1965" spans="1:16" ht="14.25" thickBot="1">
      <c r="B1965" s="477"/>
      <c r="C1965" s="13" t="s">
        <v>34</v>
      </c>
      <c r="D1965" s="13" t="s">
        <v>35</v>
      </c>
      <c r="E1965" s="13" t="s">
        <v>34</v>
      </c>
      <c r="F1965" s="13" t="s">
        <v>35</v>
      </c>
      <c r="G1965" s="13" t="s">
        <v>34</v>
      </c>
      <c r="H1965" s="13" t="s">
        <v>35</v>
      </c>
      <c r="I1965" s="13" t="s">
        <v>59</v>
      </c>
      <c r="J1965" s="13" t="s">
        <v>60</v>
      </c>
      <c r="K1965" s="13" t="s">
        <v>34</v>
      </c>
      <c r="L1965" s="14" t="s">
        <v>35</v>
      </c>
      <c r="M1965" s="15" t="s">
        <v>34</v>
      </c>
      <c r="N1965" s="13" t="s">
        <v>35</v>
      </c>
      <c r="O1965" s="163" t="s">
        <v>34</v>
      </c>
      <c r="P1965" s="163" t="s">
        <v>35</v>
      </c>
    </row>
    <row r="1966" spans="1:16">
      <c r="A1966" s="473">
        <v>2018</v>
      </c>
      <c r="B1966" s="410">
        <v>1</v>
      </c>
      <c r="C1966" s="422">
        <v>0</v>
      </c>
      <c r="D1966" s="422">
        <v>0</v>
      </c>
      <c r="E1966" s="422">
        <v>0</v>
      </c>
      <c r="F1966" s="422">
        <v>0</v>
      </c>
      <c r="G1966" s="422">
        <v>0</v>
      </c>
      <c r="H1966" s="422">
        <v>0</v>
      </c>
      <c r="I1966" s="422">
        <v>0</v>
      </c>
      <c r="J1966" s="422">
        <v>0</v>
      </c>
      <c r="K1966" s="422">
        <v>0</v>
      </c>
      <c r="L1966" s="432">
        <v>0</v>
      </c>
      <c r="M1966" s="424">
        <f t="shared" ref="M1966:M1985" si="698">+C1966+E1966+G1966+I1966+K1966</f>
        <v>0</v>
      </c>
      <c r="N1966" s="425">
        <f t="shared" ref="N1966:N1985" si="699">+D1966+F1966+H1966+J1966+L1966</f>
        <v>0</v>
      </c>
      <c r="O1966" s="430">
        <f t="shared" ref="O1966:P1970" si="700">M1966/31</f>
        <v>0</v>
      </c>
      <c r="P1966" s="427">
        <f t="shared" si="700"/>
        <v>0</v>
      </c>
    </row>
    <row r="1967" spans="1:16">
      <c r="A1967" s="474"/>
      <c r="B1967" s="127">
        <v>2</v>
      </c>
      <c r="C1967" s="147">
        <v>0</v>
      </c>
      <c r="D1967" s="147">
        <v>0</v>
      </c>
      <c r="E1967" s="147">
        <v>0</v>
      </c>
      <c r="F1967" s="147">
        <v>0</v>
      </c>
      <c r="G1967" s="147">
        <v>0</v>
      </c>
      <c r="H1967" s="147">
        <v>0</v>
      </c>
      <c r="I1967" s="147">
        <v>0</v>
      </c>
      <c r="J1967" s="147">
        <v>0</v>
      </c>
      <c r="K1967" s="147">
        <v>0</v>
      </c>
      <c r="L1967" s="174">
        <v>0</v>
      </c>
      <c r="M1967" s="149">
        <f t="shared" si="698"/>
        <v>0</v>
      </c>
      <c r="N1967" s="150">
        <f t="shared" si="699"/>
        <v>0</v>
      </c>
      <c r="O1967" s="167">
        <f t="shared" si="700"/>
        <v>0</v>
      </c>
      <c r="P1967" s="152">
        <f t="shared" si="700"/>
        <v>0</v>
      </c>
    </row>
    <row r="1968" spans="1:16">
      <c r="A1968" s="474"/>
      <c r="B1968" s="127">
        <v>3</v>
      </c>
      <c r="C1968" s="147">
        <v>0</v>
      </c>
      <c r="D1968" s="147">
        <v>0</v>
      </c>
      <c r="E1968" s="147">
        <v>0</v>
      </c>
      <c r="F1968" s="147">
        <v>0</v>
      </c>
      <c r="G1968" s="147">
        <v>0</v>
      </c>
      <c r="H1968" s="147">
        <v>0</v>
      </c>
      <c r="I1968" s="147">
        <v>0</v>
      </c>
      <c r="J1968" s="147">
        <v>0</v>
      </c>
      <c r="K1968" s="147">
        <v>0</v>
      </c>
      <c r="L1968" s="174">
        <v>0</v>
      </c>
      <c r="M1968" s="149">
        <f t="shared" si="698"/>
        <v>0</v>
      </c>
      <c r="N1968" s="150">
        <f t="shared" si="699"/>
        <v>0</v>
      </c>
      <c r="O1968" s="167">
        <f t="shared" si="700"/>
        <v>0</v>
      </c>
      <c r="P1968" s="152">
        <f t="shared" si="700"/>
        <v>0</v>
      </c>
    </row>
    <row r="1969" spans="1:16">
      <c r="A1969" s="474"/>
      <c r="B1969" s="127">
        <v>4</v>
      </c>
      <c r="C1969" s="158">
        <v>0</v>
      </c>
      <c r="D1969" s="158">
        <v>0</v>
      </c>
      <c r="E1969" s="158">
        <v>2</v>
      </c>
      <c r="F1969" s="158">
        <v>1</v>
      </c>
      <c r="G1969" s="158">
        <v>0</v>
      </c>
      <c r="H1969" s="158">
        <v>0</v>
      </c>
      <c r="I1969" s="158">
        <v>0</v>
      </c>
      <c r="J1969" s="158">
        <v>0</v>
      </c>
      <c r="K1969" s="158">
        <v>0</v>
      </c>
      <c r="L1969" s="159">
        <v>0</v>
      </c>
      <c r="M1969" s="154">
        <f t="shared" si="698"/>
        <v>2</v>
      </c>
      <c r="N1969" s="155">
        <f t="shared" si="699"/>
        <v>1</v>
      </c>
      <c r="O1969" s="168">
        <f t="shared" si="700"/>
        <v>6.4516129032258063E-2</v>
      </c>
      <c r="P1969" s="157">
        <f t="shared" si="700"/>
        <v>3.2258064516129031E-2</v>
      </c>
    </row>
    <row r="1970" spans="1:16">
      <c r="A1970" s="474"/>
      <c r="B1970" s="127">
        <v>5</v>
      </c>
      <c r="C1970" s="158">
        <v>0</v>
      </c>
      <c r="D1970" s="158">
        <v>0</v>
      </c>
      <c r="E1970" s="158">
        <v>0</v>
      </c>
      <c r="F1970" s="158">
        <v>1</v>
      </c>
      <c r="G1970" s="158">
        <v>0</v>
      </c>
      <c r="H1970" s="158">
        <v>0</v>
      </c>
      <c r="I1970" s="158">
        <v>0</v>
      </c>
      <c r="J1970" s="158">
        <v>0</v>
      </c>
      <c r="K1970" s="158">
        <v>0</v>
      </c>
      <c r="L1970" s="159">
        <v>0</v>
      </c>
      <c r="M1970" s="154">
        <f t="shared" si="698"/>
        <v>0</v>
      </c>
      <c r="N1970" s="155">
        <f t="shared" si="699"/>
        <v>1</v>
      </c>
      <c r="O1970" s="168">
        <f t="shared" si="700"/>
        <v>0</v>
      </c>
      <c r="P1970" s="157">
        <f t="shared" si="700"/>
        <v>3.2258064516129031E-2</v>
      </c>
    </row>
    <row r="1971" spans="1:16">
      <c r="A1971" s="474"/>
      <c r="B1971" s="127">
        <v>6</v>
      </c>
      <c r="C1971" s="158">
        <v>0</v>
      </c>
      <c r="D1971" s="158">
        <v>0</v>
      </c>
      <c r="E1971" s="158">
        <v>0</v>
      </c>
      <c r="F1971" s="158">
        <v>0</v>
      </c>
      <c r="G1971" s="158">
        <v>0</v>
      </c>
      <c r="H1971" s="158">
        <v>0</v>
      </c>
      <c r="I1971" s="158">
        <v>0</v>
      </c>
      <c r="J1971" s="158">
        <v>0</v>
      </c>
      <c r="K1971" s="158">
        <v>0</v>
      </c>
      <c r="L1971" s="158">
        <v>0</v>
      </c>
      <c r="M1971" s="154">
        <f t="shared" si="698"/>
        <v>0</v>
      </c>
      <c r="N1971" s="155">
        <f t="shared" si="699"/>
        <v>0</v>
      </c>
      <c r="O1971" s="168">
        <f>M1971/30</f>
        <v>0</v>
      </c>
      <c r="P1971" s="157">
        <f>N1971/30</f>
        <v>0</v>
      </c>
    </row>
    <row r="1972" spans="1:16">
      <c r="A1972" s="474"/>
      <c r="B1972" s="127">
        <v>7</v>
      </c>
      <c r="C1972" s="158">
        <v>4</v>
      </c>
      <c r="D1972" s="158">
        <v>5</v>
      </c>
      <c r="E1972" s="158">
        <v>0</v>
      </c>
      <c r="F1972" s="158">
        <v>0</v>
      </c>
      <c r="G1972" s="158">
        <v>0</v>
      </c>
      <c r="H1972" s="158">
        <v>0</v>
      </c>
      <c r="I1972" s="158">
        <v>0</v>
      </c>
      <c r="J1972" s="158">
        <v>0</v>
      </c>
      <c r="K1972" s="158">
        <v>0</v>
      </c>
      <c r="L1972" s="158">
        <v>0</v>
      </c>
      <c r="M1972" s="154">
        <f t="shared" si="698"/>
        <v>4</v>
      </c>
      <c r="N1972" s="155">
        <f t="shared" si="699"/>
        <v>5</v>
      </c>
      <c r="O1972" s="168">
        <f t="shared" ref="O1972:P1994" si="701">M1972/31</f>
        <v>0.12903225806451613</v>
      </c>
      <c r="P1972" s="157">
        <f t="shared" si="701"/>
        <v>0.16129032258064516</v>
      </c>
    </row>
    <row r="1973" spans="1:16">
      <c r="A1973" s="474"/>
      <c r="B1973" s="127">
        <v>8</v>
      </c>
      <c r="C1973" s="158">
        <v>0</v>
      </c>
      <c r="D1973" s="158">
        <v>0</v>
      </c>
      <c r="E1973" s="158">
        <v>0</v>
      </c>
      <c r="F1973" s="158">
        <v>0</v>
      </c>
      <c r="G1973" s="158">
        <v>0</v>
      </c>
      <c r="H1973" s="158">
        <v>0</v>
      </c>
      <c r="I1973" s="158">
        <v>0</v>
      </c>
      <c r="J1973" s="158">
        <v>0</v>
      </c>
      <c r="K1973" s="158">
        <v>0</v>
      </c>
      <c r="L1973" s="159">
        <v>0</v>
      </c>
      <c r="M1973" s="177">
        <f t="shared" si="698"/>
        <v>0</v>
      </c>
      <c r="N1973" s="158">
        <f t="shared" si="699"/>
        <v>0</v>
      </c>
      <c r="O1973" s="168">
        <f t="shared" si="701"/>
        <v>0</v>
      </c>
      <c r="P1973" s="157">
        <f t="shared" si="701"/>
        <v>0</v>
      </c>
    </row>
    <row r="1974" spans="1:16">
      <c r="A1974" s="474"/>
      <c r="B1974" s="127">
        <v>9</v>
      </c>
      <c r="C1974" s="147">
        <v>0</v>
      </c>
      <c r="D1974" s="147">
        <v>0</v>
      </c>
      <c r="E1974" s="147">
        <v>0</v>
      </c>
      <c r="F1974" s="147">
        <v>0</v>
      </c>
      <c r="G1974" s="147">
        <v>0</v>
      </c>
      <c r="H1974" s="147">
        <v>0</v>
      </c>
      <c r="I1974" s="147">
        <v>0</v>
      </c>
      <c r="J1974" s="147">
        <v>0</v>
      </c>
      <c r="K1974" s="147">
        <v>0</v>
      </c>
      <c r="L1974" s="147">
        <v>0</v>
      </c>
      <c r="M1974" s="177">
        <f t="shared" si="698"/>
        <v>0</v>
      </c>
      <c r="N1974" s="158">
        <f t="shared" si="699"/>
        <v>0</v>
      </c>
      <c r="O1974" s="168">
        <f t="shared" si="701"/>
        <v>0</v>
      </c>
      <c r="P1974" s="157">
        <f t="shared" si="701"/>
        <v>0</v>
      </c>
    </row>
    <row r="1975" spans="1:16">
      <c r="A1975" s="474"/>
      <c r="B1975" s="127">
        <v>10</v>
      </c>
      <c r="C1975" s="147">
        <v>0</v>
      </c>
      <c r="D1975" s="147">
        <v>0</v>
      </c>
      <c r="E1975" s="147">
        <v>2</v>
      </c>
      <c r="F1975" s="181">
        <v>0</v>
      </c>
      <c r="G1975" s="147">
        <v>0</v>
      </c>
      <c r="H1975" s="147">
        <v>0</v>
      </c>
      <c r="I1975" s="147">
        <v>0</v>
      </c>
      <c r="J1975" s="147">
        <v>0</v>
      </c>
      <c r="K1975" s="147">
        <v>0</v>
      </c>
      <c r="L1975" s="148">
        <v>0</v>
      </c>
      <c r="M1975" s="154">
        <f t="shared" si="698"/>
        <v>2</v>
      </c>
      <c r="N1975" s="155">
        <f t="shared" si="699"/>
        <v>0</v>
      </c>
      <c r="O1975" s="168">
        <f t="shared" si="701"/>
        <v>6.4516129032258063E-2</v>
      </c>
      <c r="P1975" s="157">
        <f t="shared" si="701"/>
        <v>0</v>
      </c>
    </row>
    <row r="1976" spans="1:16">
      <c r="A1976" s="474"/>
      <c r="B1976" s="127">
        <v>11</v>
      </c>
      <c r="C1976" s="367">
        <v>2</v>
      </c>
      <c r="D1976" s="367">
        <v>2</v>
      </c>
      <c r="E1976" s="367">
        <v>0</v>
      </c>
      <c r="F1976" s="367">
        <v>2</v>
      </c>
      <c r="G1976" s="367">
        <v>0</v>
      </c>
      <c r="H1976" s="367">
        <v>0</v>
      </c>
      <c r="I1976" s="367">
        <v>0</v>
      </c>
      <c r="J1976" s="367">
        <v>0</v>
      </c>
      <c r="K1976" s="367">
        <v>0</v>
      </c>
      <c r="L1976" s="368">
        <v>0</v>
      </c>
      <c r="M1976" s="154">
        <f t="shared" si="698"/>
        <v>2</v>
      </c>
      <c r="N1976" s="155">
        <f t="shared" si="699"/>
        <v>4</v>
      </c>
      <c r="O1976" s="168">
        <f t="shared" si="701"/>
        <v>6.4516129032258063E-2</v>
      </c>
      <c r="P1976" s="157">
        <f t="shared" si="701"/>
        <v>0.12903225806451613</v>
      </c>
    </row>
    <row r="1977" spans="1:16" ht="14.25" thickBot="1">
      <c r="A1977" s="475"/>
      <c r="B1977" s="127">
        <v>12</v>
      </c>
      <c r="C1977" s="187">
        <v>1</v>
      </c>
      <c r="D1977" s="187">
        <v>2</v>
      </c>
      <c r="E1977" s="187">
        <v>0</v>
      </c>
      <c r="F1977" s="188">
        <v>0</v>
      </c>
      <c r="G1977" s="187">
        <v>0</v>
      </c>
      <c r="H1977" s="187">
        <v>0</v>
      </c>
      <c r="I1977" s="187">
        <v>0</v>
      </c>
      <c r="J1977" s="187">
        <v>0</v>
      </c>
      <c r="K1977" s="187">
        <v>0</v>
      </c>
      <c r="L1977" s="189">
        <v>0</v>
      </c>
      <c r="M1977" s="154">
        <f t="shared" si="698"/>
        <v>1</v>
      </c>
      <c r="N1977" s="155">
        <f t="shared" si="699"/>
        <v>2</v>
      </c>
      <c r="O1977" s="168">
        <f t="shared" si="701"/>
        <v>3.2258064516129031E-2</v>
      </c>
      <c r="P1977" s="157">
        <f t="shared" si="701"/>
        <v>6.4516129032258063E-2</v>
      </c>
    </row>
    <row r="1978" spans="1:16">
      <c r="A1978" s="473">
        <v>2019</v>
      </c>
      <c r="B1978" s="410">
        <v>1</v>
      </c>
      <c r="C1978" s="422">
        <v>1</v>
      </c>
      <c r="D1978" s="422">
        <v>2</v>
      </c>
      <c r="E1978" s="422">
        <v>0</v>
      </c>
      <c r="F1978" s="422">
        <v>0</v>
      </c>
      <c r="G1978" s="422">
        <v>0</v>
      </c>
      <c r="H1978" s="422">
        <v>0</v>
      </c>
      <c r="I1978" s="422">
        <v>0</v>
      </c>
      <c r="J1978" s="422">
        <v>0</v>
      </c>
      <c r="K1978" s="422">
        <v>0</v>
      </c>
      <c r="L1978" s="432">
        <v>0</v>
      </c>
      <c r="M1978" s="424">
        <f t="shared" si="698"/>
        <v>1</v>
      </c>
      <c r="N1978" s="425">
        <f t="shared" si="699"/>
        <v>2</v>
      </c>
      <c r="O1978" s="430">
        <f t="shared" ref="O1978:O1982" si="702">M1978/31</f>
        <v>3.2258064516129031E-2</v>
      </c>
      <c r="P1978" s="427">
        <f t="shared" ref="P1978:P1982" si="703">N1978/31</f>
        <v>6.4516129032258063E-2</v>
      </c>
    </row>
    <row r="1979" spans="1:16">
      <c r="A1979" s="474"/>
      <c r="B1979" s="127">
        <v>2</v>
      </c>
      <c r="C1979" s="147">
        <v>1</v>
      </c>
      <c r="D1979" s="147">
        <v>2</v>
      </c>
      <c r="E1979" s="147">
        <v>0</v>
      </c>
      <c r="F1979" s="147">
        <v>0</v>
      </c>
      <c r="G1979" s="147">
        <v>0</v>
      </c>
      <c r="H1979" s="147">
        <v>0</v>
      </c>
      <c r="I1979" s="147">
        <v>0</v>
      </c>
      <c r="J1979" s="147">
        <v>0</v>
      </c>
      <c r="K1979" s="147">
        <v>0</v>
      </c>
      <c r="L1979" s="174">
        <v>0</v>
      </c>
      <c r="M1979" s="149">
        <f t="shared" si="698"/>
        <v>1</v>
      </c>
      <c r="N1979" s="150">
        <f t="shared" si="699"/>
        <v>2</v>
      </c>
      <c r="O1979" s="167">
        <f t="shared" si="702"/>
        <v>3.2258064516129031E-2</v>
      </c>
      <c r="P1979" s="152">
        <f t="shared" si="703"/>
        <v>6.4516129032258063E-2</v>
      </c>
    </row>
    <row r="1980" spans="1:16">
      <c r="A1980" s="474"/>
      <c r="B1980" s="127">
        <v>3</v>
      </c>
      <c r="C1980" s="147">
        <v>1</v>
      </c>
      <c r="D1980" s="147">
        <v>1</v>
      </c>
      <c r="E1980" s="147">
        <v>0</v>
      </c>
      <c r="F1980" s="147">
        <v>0</v>
      </c>
      <c r="G1980" s="147">
        <v>0</v>
      </c>
      <c r="H1980" s="147">
        <v>0</v>
      </c>
      <c r="I1980" s="147">
        <v>0</v>
      </c>
      <c r="J1980" s="147">
        <v>0</v>
      </c>
      <c r="K1980" s="147">
        <v>0</v>
      </c>
      <c r="L1980" s="174">
        <v>0</v>
      </c>
      <c r="M1980" s="149">
        <f t="shared" si="698"/>
        <v>1</v>
      </c>
      <c r="N1980" s="150">
        <f t="shared" si="699"/>
        <v>1</v>
      </c>
      <c r="O1980" s="167">
        <f t="shared" si="702"/>
        <v>3.2258064516129031E-2</v>
      </c>
      <c r="P1980" s="152">
        <f t="shared" si="703"/>
        <v>3.2258064516129031E-2</v>
      </c>
    </row>
    <row r="1981" spans="1:16">
      <c r="A1981" s="474"/>
      <c r="B1981" s="127">
        <v>4</v>
      </c>
      <c r="C1981" s="158">
        <v>0</v>
      </c>
      <c r="D1981" s="158">
        <v>0</v>
      </c>
      <c r="E1981" s="158">
        <v>0</v>
      </c>
      <c r="F1981" s="158">
        <v>0</v>
      </c>
      <c r="G1981" s="158">
        <v>0</v>
      </c>
      <c r="H1981" s="158">
        <v>0</v>
      </c>
      <c r="I1981" s="158">
        <v>0</v>
      </c>
      <c r="J1981" s="158">
        <v>0</v>
      </c>
      <c r="K1981" s="158">
        <v>0</v>
      </c>
      <c r="L1981" s="159">
        <v>0</v>
      </c>
      <c r="M1981" s="154">
        <f t="shared" si="698"/>
        <v>0</v>
      </c>
      <c r="N1981" s="155">
        <f t="shared" si="699"/>
        <v>0</v>
      </c>
      <c r="O1981" s="168">
        <f t="shared" si="702"/>
        <v>0</v>
      </c>
      <c r="P1981" s="157">
        <f t="shared" si="703"/>
        <v>0</v>
      </c>
    </row>
    <row r="1982" spans="1:16">
      <c r="A1982" s="474"/>
      <c r="B1982" s="127">
        <v>5</v>
      </c>
      <c r="C1982" s="158">
        <v>1</v>
      </c>
      <c r="D1982" s="158">
        <v>2</v>
      </c>
      <c r="E1982" s="158">
        <v>0</v>
      </c>
      <c r="F1982" s="158">
        <v>0</v>
      </c>
      <c r="G1982" s="158">
        <v>0</v>
      </c>
      <c r="H1982" s="158">
        <v>0</v>
      </c>
      <c r="I1982" s="158">
        <v>0</v>
      </c>
      <c r="J1982" s="158">
        <v>0</v>
      </c>
      <c r="K1982" s="158">
        <v>0</v>
      </c>
      <c r="L1982" s="159">
        <v>0</v>
      </c>
      <c r="M1982" s="154">
        <f t="shared" si="698"/>
        <v>1</v>
      </c>
      <c r="N1982" s="155">
        <f t="shared" si="699"/>
        <v>2</v>
      </c>
      <c r="O1982" s="168">
        <f t="shared" si="702"/>
        <v>3.2258064516129031E-2</v>
      </c>
      <c r="P1982" s="157">
        <f t="shared" si="703"/>
        <v>6.4516129032258063E-2</v>
      </c>
    </row>
    <row r="1983" spans="1:16">
      <c r="A1983" s="474"/>
      <c r="B1983" s="127">
        <v>6</v>
      </c>
      <c r="C1983" s="158">
        <v>0</v>
      </c>
      <c r="D1983" s="158">
        <v>0</v>
      </c>
      <c r="E1983" s="158">
        <v>0</v>
      </c>
      <c r="F1983" s="158">
        <v>0</v>
      </c>
      <c r="G1983" s="158">
        <v>0</v>
      </c>
      <c r="H1983" s="158">
        <v>0</v>
      </c>
      <c r="I1983" s="158">
        <v>0</v>
      </c>
      <c r="J1983" s="158">
        <v>0</v>
      </c>
      <c r="K1983" s="158">
        <v>0</v>
      </c>
      <c r="L1983" s="158">
        <v>0</v>
      </c>
      <c r="M1983" s="154">
        <f t="shared" si="698"/>
        <v>0</v>
      </c>
      <c r="N1983" s="155">
        <f t="shared" si="699"/>
        <v>0</v>
      </c>
      <c r="O1983" s="168">
        <f>M1983/30</f>
        <v>0</v>
      </c>
      <c r="P1983" s="157">
        <f>N1983/30</f>
        <v>0</v>
      </c>
    </row>
    <row r="1984" spans="1:16">
      <c r="A1984" s="474"/>
      <c r="B1984" s="127">
        <v>7</v>
      </c>
      <c r="C1984" s="158">
        <v>0</v>
      </c>
      <c r="D1984" s="158">
        <v>0</v>
      </c>
      <c r="E1984" s="158">
        <v>2</v>
      </c>
      <c r="F1984" s="158">
        <v>4</v>
      </c>
      <c r="G1984" s="158">
        <v>0</v>
      </c>
      <c r="H1984" s="158">
        <v>0</v>
      </c>
      <c r="I1984" s="158">
        <v>0</v>
      </c>
      <c r="J1984" s="158">
        <v>0</v>
      </c>
      <c r="K1984" s="158">
        <v>0</v>
      </c>
      <c r="L1984" s="158">
        <v>0</v>
      </c>
      <c r="M1984" s="154">
        <f t="shared" si="698"/>
        <v>2</v>
      </c>
      <c r="N1984" s="155">
        <f t="shared" si="699"/>
        <v>4</v>
      </c>
      <c r="O1984" s="168">
        <f t="shared" ref="O1984:O1985" si="704">M1984/31</f>
        <v>6.4516129032258063E-2</v>
      </c>
      <c r="P1984" s="157">
        <f t="shared" ref="P1984:P1985" si="705">N1984/31</f>
        <v>0.12903225806451613</v>
      </c>
    </row>
    <row r="1985" spans="1:16">
      <c r="A1985" s="474"/>
      <c r="B1985" s="127">
        <v>8</v>
      </c>
      <c r="C1985" s="158">
        <v>2</v>
      </c>
      <c r="D1985" s="158">
        <v>3</v>
      </c>
      <c r="E1985" s="158">
        <v>0</v>
      </c>
      <c r="F1985" s="158">
        <v>0</v>
      </c>
      <c r="G1985" s="158">
        <v>0</v>
      </c>
      <c r="H1985" s="158">
        <v>0</v>
      </c>
      <c r="I1985" s="158">
        <v>0</v>
      </c>
      <c r="J1985" s="158">
        <v>0</v>
      </c>
      <c r="K1985" s="158">
        <v>0</v>
      </c>
      <c r="L1985" s="159">
        <v>0</v>
      </c>
      <c r="M1985" s="177">
        <f t="shared" si="698"/>
        <v>2</v>
      </c>
      <c r="N1985" s="158">
        <f t="shared" si="699"/>
        <v>3</v>
      </c>
      <c r="O1985" s="168">
        <f t="shared" si="704"/>
        <v>6.4516129032258063E-2</v>
      </c>
      <c r="P1985" s="157">
        <f t="shared" si="705"/>
        <v>9.6774193548387094E-2</v>
      </c>
    </row>
    <row r="1986" spans="1:16">
      <c r="A1986" s="474"/>
      <c r="B1986" s="127">
        <v>9</v>
      </c>
      <c r="C1986" s="147">
        <v>1</v>
      </c>
      <c r="D1986" s="147">
        <v>0</v>
      </c>
      <c r="E1986" s="147">
        <v>0</v>
      </c>
      <c r="F1986" s="147">
        <v>0</v>
      </c>
      <c r="G1986" s="147">
        <v>0</v>
      </c>
      <c r="H1986" s="147">
        <v>0</v>
      </c>
      <c r="I1986" s="147">
        <v>0</v>
      </c>
      <c r="J1986" s="147">
        <v>0</v>
      </c>
      <c r="K1986" s="147">
        <v>0</v>
      </c>
      <c r="L1986" s="147">
        <v>0</v>
      </c>
      <c r="M1986" s="177">
        <f t="shared" ref="M1986" si="706">+C1986+E1986+G1986+I1986+K1986</f>
        <v>1</v>
      </c>
      <c r="N1986" s="158">
        <f t="shared" ref="N1986" si="707">+D1986+F1986+H1986+J1986+L1986</f>
        <v>0</v>
      </c>
      <c r="O1986" s="168">
        <f>M1986/30</f>
        <v>3.3333333333333333E-2</v>
      </c>
      <c r="P1986" s="157">
        <f>N1986/30</f>
        <v>0</v>
      </c>
    </row>
    <row r="1987" spans="1:16">
      <c r="A1987" s="474"/>
      <c r="B1987" s="127">
        <v>10</v>
      </c>
      <c r="C1987" s="147">
        <v>3</v>
      </c>
      <c r="D1987" s="147">
        <v>6</v>
      </c>
      <c r="E1987" s="147">
        <v>0</v>
      </c>
      <c r="F1987" s="181">
        <v>0</v>
      </c>
      <c r="G1987" s="147">
        <v>0</v>
      </c>
      <c r="H1987" s="147">
        <v>0</v>
      </c>
      <c r="I1987" s="147">
        <v>0</v>
      </c>
      <c r="J1987" s="147">
        <v>0</v>
      </c>
      <c r="K1987" s="147">
        <v>0</v>
      </c>
      <c r="L1987" s="148">
        <v>0</v>
      </c>
      <c r="M1987" s="154">
        <f t="shared" ref="M1987:M1989" si="708">+C1987+E1987+G1987+I1987+K1987</f>
        <v>3</v>
      </c>
      <c r="N1987" s="155">
        <f t="shared" ref="N1987:N1989" si="709">+D1987+F1987+H1987+J1987+L1987</f>
        <v>6</v>
      </c>
      <c r="O1987" s="168">
        <f t="shared" ref="O1987:O1989" si="710">M1987/31</f>
        <v>9.6774193548387094E-2</v>
      </c>
      <c r="P1987" s="157">
        <f t="shared" ref="P1987:P1989" si="711">N1987/31</f>
        <v>0.19354838709677419</v>
      </c>
    </row>
    <row r="1988" spans="1:16">
      <c r="A1988" s="474"/>
      <c r="B1988" s="127">
        <v>11</v>
      </c>
      <c r="C1988" s="367">
        <v>1</v>
      </c>
      <c r="D1988" s="367">
        <v>2</v>
      </c>
      <c r="E1988" s="367">
        <v>0</v>
      </c>
      <c r="F1988" s="367">
        <v>0</v>
      </c>
      <c r="G1988" s="367">
        <v>0</v>
      </c>
      <c r="H1988" s="367">
        <v>0</v>
      </c>
      <c r="I1988" s="367">
        <v>0</v>
      </c>
      <c r="J1988" s="367">
        <v>0</v>
      </c>
      <c r="K1988" s="367">
        <v>0</v>
      </c>
      <c r="L1988" s="368">
        <v>0</v>
      </c>
      <c r="M1988" s="154">
        <f t="shared" si="708"/>
        <v>1</v>
      </c>
      <c r="N1988" s="155">
        <f t="shared" si="709"/>
        <v>2</v>
      </c>
      <c r="O1988" s="168">
        <f t="shared" si="710"/>
        <v>3.2258064516129031E-2</v>
      </c>
      <c r="P1988" s="157">
        <f t="shared" si="711"/>
        <v>6.4516129032258063E-2</v>
      </c>
    </row>
    <row r="1989" spans="1:16" ht="14.25" thickBot="1">
      <c r="A1989" s="475"/>
      <c r="B1989" s="127">
        <v>12</v>
      </c>
      <c r="C1989" s="187">
        <v>1</v>
      </c>
      <c r="D1989" s="187">
        <v>2</v>
      </c>
      <c r="E1989" s="187">
        <v>0</v>
      </c>
      <c r="F1989" s="188">
        <v>0</v>
      </c>
      <c r="G1989" s="187">
        <v>0</v>
      </c>
      <c r="H1989" s="187">
        <v>0</v>
      </c>
      <c r="I1989" s="187">
        <v>0</v>
      </c>
      <c r="J1989" s="187">
        <v>0</v>
      </c>
      <c r="K1989" s="187">
        <v>0</v>
      </c>
      <c r="L1989" s="189">
        <v>0</v>
      </c>
      <c r="M1989" s="154">
        <f t="shared" si="708"/>
        <v>1</v>
      </c>
      <c r="N1989" s="155">
        <f t="shared" si="709"/>
        <v>2</v>
      </c>
      <c r="O1989" s="168">
        <f t="shared" si="710"/>
        <v>3.2258064516129031E-2</v>
      </c>
      <c r="P1989" s="157">
        <f t="shared" si="711"/>
        <v>6.4516129032258063E-2</v>
      </c>
    </row>
    <row r="1990" spans="1:16">
      <c r="A1990" s="473">
        <v>2020</v>
      </c>
      <c r="B1990" s="410">
        <v>1</v>
      </c>
      <c r="C1990" s="434">
        <v>1</v>
      </c>
      <c r="D1990" s="434">
        <v>2</v>
      </c>
      <c r="E1990" s="434">
        <v>0</v>
      </c>
      <c r="F1990" s="434">
        <v>0</v>
      </c>
      <c r="G1990" s="434">
        <v>0</v>
      </c>
      <c r="H1990" s="434">
        <v>0</v>
      </c>
      <c r="I1990" s="434">
        <v>0</v>
      </c>
      <c r="J1990" s="434">
        <v>0</v>
      </c>
      <c r="K1990" s="434">
        <v>0</v>
      </c>
      <c r="L1990" s="436">
        <v>0</v>
      </c>
      <c r="M1990" s="424">
        <f t="shared" ref="M1990:M2001" si="712">+C1990+E1990+G1990+I1990+K1990</f>
        <v>1</v>
      </c>
      <c r="N1990" s="425">
        <f t="shared" ref="N1990:N2001" si="713">+D1990+F1990+H1990+J1990+L1990</f>
        <v>2</v>
      </c>
      <c r="O1990" s="430">
        <f t="shared" si="701"/>
        <v>3.2258064516129031E-2</v>
      </c>
      <c r="P1990" s="427">
        <f t="shared" si="701"/>
        <v>6.4516129032258063E-2</v>
      </c>
    </row>
    <row r="1991" spans="1:16">
      <c r="A1991" s="474"/>
      <c r="B1991" s="127">
        <v>2</v>
      </c>
      <c r="C1991" s="147">
        <v>0</v>
      </c>
      <c r="D1991" s="147">
        <v>0</v>
      </c>
      <c r="E1991" s="147">
        <v>0</v>
      </c>
      <c r="F1991" s="147">
        <v>0</v>
      </c>
      <c r="G1991" s="147">
        <v>0</v>
      </c>
      <c r="H1991" s="147">
        <v>0</v>
      </c>
      <c r="I1991" s="147">
        <v>0</v>
      </c>
      <c r="J1991" s="147">
        <v>0</v>
      </c>
      <c r="K1991" s="147">
        <v>0</v>
      </c>
      <c r="L1991" s="148">
        <v>0</v>
      </c>
      <c r="M1991" s="149">
        <f t="shared" si="712"/>
        <v>0</v>
      </c>
      <c r="N1991" s="150">
        <f t="shared" si="713"/>
        <v>0</v>
      </c>
      <c r="O1991" s="167">
        <f t="shared" si="701"/>
        <v>0</v>
      </c>
      <c r="P1991" s="152">
        <f t="shared" si="701"/>
        <v>0</v>
      </c>
    </row>
    <row r="1992" spans="1:16">
      <c r="A1992" s="474"/>
      <c r="B1992" s="127">
        <v>3</v>
      </c>
      <c r="C1992" s="147">
        <v>0</v>
      </c>
      <c r="D1992" s="147">
        <v>0</v>
      </c>
      <c r="E1992" s="147">
        <v>0</v>
      </c>
      <c r="F1992" s="147">
        <v>0</v>
      </c>
      <c r="G1992" s="147">
        <v>0</v>
      </c>
      <c r="H1992" s="147">
        <v>0</v>
      </c>
      <c r="I1992" s="147">
        <v>0</v>
      </c>
      <c r="J1992" s="147">
        <v>0</v>
      </c>
      <c r="K1992" s="147">
        <v>0</v>
      </c>
      <c r="L1992" s="148">
        <v>0</v>
      </c>
      <c r="M1992" s="149">
        <f t="shared" si="712"/>
        <v>0</v>
      </c>
      <c r="N1992" s="150">
        <f t="shared" si="713"/>
        <v>0</v>
      </c>
      <c r="O1992" s="167">
        <f t="shared" si="701"/>
        <v>0</v>
      </c>
      <c r="P1992" s="152">
        <f t="shared" si="701"/>
        <v>0</v>
      </c>
    </row>
    <row r="1993" spans="1:16">
      <c r="A1993" s="474"/>
      <c r="B1993" s="127">
        <v>4</v>
      </c>
      <c r="C1993" s="147">
        <v>0</v>
      </c>
      <c r="D1993" s="147">
        <v>0</v>
      </c>
      <c r="E1993" s="147">
        <v>0</v>
      </c>
      <c r="F1993" s="147">
        <v>0</v>
      </c>
      <c r="G1993" s="147">
        <v>0</v>
      </c>
      <c r="H1993" s="147">
        <v>0</v>
      </c>
      <c r="I1993" s="147">
        <v>0</v>
      </c>
      <c r="J1993" s="147">
        <v>0</v>
      </c>
      <c r="K1993" s="147">
        <v>0</v>
      </c>
      <c r="L1993" s="148">
        <v>0</v>
      </c>
      <c r="M1993" s="154">
        <f t="shared" si="712"/>
        <v>0</v>
      </c>
      <c r="N1993" s="155">
        <f t="shared" si="713"/>
        <v>0</v>
      </c>
      <c r="O1993" s="168">
        <f t="shared" si="701"/>
        <v>0</v>
      </c>
      <c r="P1993" s="157">
        <f t="shared" si="701"/>
        <v>0</v>
      </c>
    </row>
    <row r="1994" spans="1:16">
      <c r="A1994" s="474"/>
      <c r="B1994" s="127">
        <v>5</v>
      </c>
      <c r="C1994" s="147">
        <v>0</v>
      </c>
      <c r="D1994" s="147">
        <v>0</v>
      </c>
      <c r="E1994" s="147">
        <v>0</v>
      </c>
      <c r="F1994" s="147">
        <v>0</v>
      </c>
      <c r="G1994" s="147">
        <v>0</v>
      </c>
      <c r="H1994" s="147">
        <v>0</v>
      </c>
      <c r="I1994" s="147">
        <v>0</v>
      </c>
      <c r="J1994" s="147">
        <v>0</v>
      </c>
      <c r="K1994" s="147">
        <v>0</v>
      </c>
      <c r="L1994" s="148">
        <v>0</v>
      </c>
      <c r="M1994" s="154">
        <f t="shared" si="712"/>
        <v>0</v>
      </c>
      <c r="N1994" s="155">
        <f t="shared" si="713"/>
        <v>0</v>
      </c>
      <c r="O1994" s="168">
        <f t="shared" si="701"/>
        <v>0</v>
      </c>
      <c r="P1994" s="157">
        <f t="shared" si="701"/>
        <v>0</v>
      </c>
    </row>
    <row r="1995" spans="1:16">
      <c r="A1995" s="474"/>
      <c r="B1995" s="127">
        <v>6</v>
      </c>
      <c r="C1995" s="147">
        <f>集計用!C86</f>
        <v>2</v>
      </c>
      <c r="D1995" s="147">
        <f>集計用!S86</f>
        <v>2</v>
      </c>
      <c r="E1995" s="147">
        <f>集計用!E86</f>
        <v>0</v>
      </c>
      <c r="F1995" s="147">
        <f>集計用!U86</f>
        <v>0</v>
      </c>
      <c r="G1995" s="147">
        <f>集計用!G86</f>
        <v>0</v>
      </c>
      <c r="H1995" s="147">
        <f>集計用!W86</f>
        <v>0</v>
      </c>
      <c r="I1995" s="147">
        <f>集計用!I86</f>
        <v>0</v>
      </c>
      <c r="J1995" s="147">
        <f>集計用!Y86</f>
        <v>0</v>
      </c>
      <c r="K1995" s="147">
        <f>集計用!K86</f>
        <v>0</v>
      </c>
      <c r="L1995" s="148">
        <f>集計用!AA86</f>
        <v>0</v>
      </c>
      <c r="M1995" s="154">
        <f t="shared" si="712"/>
        <v>2</v>
      </c>
      <c r="N1995" s="155">
        <f t="shared" si="713"/>
        <v>2</v>
      </c>
      <c r="O1995" s="168">
        <f>M1995/30</f>
        <v>6.6666666666666666E-2</v>
      </c>
      <c r="P1995" s="157">
        <f>N1995/30</f>
        <v>6.6666666666666666E-2</v>
      </c>
    </row>
    <row r="1996" spans="1:16">
      <c r="A1996" s="474"/>
      <c r="B1996" s="127">
        <v>7</v>
      </c>
      <c r="C1996" s="158"/>
      <c r="D1996" s="158"/>
      <c r="E1996" s="158"/>
      <c r="F1996" s="158"/>
      <c r="G1996" s="158"/>
      <c r="H1996" s="158"/>
      <c r="I1996" s="158"/>
      <c r="J1996" s="158"/>
      <c r="K1996" s="158"/>
      <c r="L1996" s="158"/>
      <c r="M1996" s="154">
        <f t="shared" si="712"/>
        <v>0</v>
      </c>
      <c r="N1996" s="155">
        <f t="shared" si="713"/>
        <v>0</v>
      </c>
      <c r="O1996" s="168">
        <f t="shared" ref="O1996:O2001" si="714">M1996/31</f>
        <v>0</v>
      </c>
      <c r="P1996" s="157">
        <f t="shared" ref="P1996:P2001" si="715">N1996/31</f>
        <v>0</v>
      </c>
    </row>
    <row r="1997" spans="1:16">
      <c r="A1997" s="474"/>
      <c r="B1997" s="127">
        <v>8</v>
      </c>
      <c r="C1997" s="158"/>
      <c r="D1997" s="158"/>
      <c r="E1997" s="158"/>
      <c r="F1997" s="158"/>
      <c r="G1997" s="158"/>
      <c r="H1997" s="158"/>
      <c r="I1997" s="158"/>
      <c r="J1997" s="158"/>
      <c r="K1997" s="158"/>
      <c r="L1997" s="159"/>
      <c r="M1997" s="177">
        <f t="shared" si="712"/>
        <v>0</v>
      </c>
      <c r="N1997" s="158">
        <f t="shared" si="713"/>
        <v>0</v>
      </c>
      <c r="O1997" s="168">
        <f t="shared" si="714"/>
        <v>0</v>
      </c>
      <c r="P1997" s="157">
        <f t="shared" si="715"/>
        <v>0</v>
      </c>
    </row>
    <row r="1998" spans="1:16">
      <c r="A1998" s="474"/>
      <c r="B1998" s="127">
        <v>9</v>
      </c>
      <c r="C1998" s="147"/>
      <c r="D1998" s="147"/>
      <c r="E1998" s="147"/>
      <c r="F1998" s="147"/>
      <c r="G1998" s="147"/>
      <c r="H1998" s="147"/>
      <c r="I1998" s="147"/>
      <c r="J1998" s="147"/>
      <c r="K1998" s="147"/>
      <c r="L1998" s="147"/>
      <c r="M1998" s="177">
        <f t="shared" ref="M1998" si="716">+C1998+E1998+G1998+I1998+K1998</f>
        <v>0</v>
      </c>
      <c r="N1998" s="158">
        <f t="shared" ref="N1998" si="717">+D1998+F1998+H1998+J1998+L1998</f>
        <v>0</v>
      </c>
      <c r="O1998" s="168">
        <f>M1998/30</f>
        <v>0</v>
      </c>
      <c r="P1998" s="157">
        <f>N1998/30</f>
        <v>0</v>
      </c>
    </row>
    <row r="1999" spans="1:16">
      <c r="A1999" s="474"/>
      <c r="B1999" s="127">
        <v>10</v>
      </c>
      <c r="C1999" s="147"/>
      <c r="D1999" s="147"/>
      <c r="E1999" s="147"/>
      <c r="F1999" s="181"/>
      <c r="G1999" s="147"/>
      <c r="H1999" s="147"/>
      <c r="I1999" s="147"/>
      <c r="J1999" s="147"/>
      <c r="K1999" s="147"/>
      <c r="L1999" s="148"/>
      <c r="M1999" s="154">
        <f t="shared" ref="M1999" si="718">+C1999+E1999+G1999+I1999+K1999</f>
        <v>0</v>
      </c>
      <c r="N1999" s="155">
        <f t="shared" ref="N1999" si="719">+D1999+F1999+H1999+J1999+L1999</f>
        <v>0</v>
      </c>
      <c r="O1999" s="168">
        <f t="shared" ref="O1999" si="720">M1999/31</f>
        <v>0</v>
      </c>
      <c r="P1999" s="157">
        <f t="shared" ref="P1999" si="721">N1999/31</f>
        <v>0</v>
      </c>
    </row>
    <row r="2000" spans="1:16">
      <c r="A2000" s="474"/>
      <c r="B2000" s="127">
        <v>11</v>
      </c>
      <c r="C2000" s="367"/>
      <c r="D2000" s="367"/>
      <c r="E2000" s="367"/>
      <c r="F2000" s="367"/>
      <c r="G2000" s="367"/>
      <c r="H2000" s="367"/>
      <c r="I2000" s="367"/>
      <c r="J2000" s="367"/>
      <c r="K2000" s="367"/>
      <c r="L2000" s="368"/>
      <c r="M2000" s="154">
        <f t="shared" si="712"/>
        <v>0</v>
      </c>
      <c r="N2000" s="155">
        <f t="shared" si="713"/>
        <v>0</v>
      </c>
      <c r="O2000" s="168">
        <f t="shared" si="714"/>
        <v>0</v>
      </c>
      <c r="P2000" s="157">
        <f t="shared" si="715"/>
        <v>0</v>
      </c>
    </row>
    <row r="2001" spans="1:16" ht="14.25" thickBot="1">
      <c r="A2001" s="475"/>
      <c r="B2001" s="127">
        <v>12</v>
      </c>
      <c r="C2001" s="187"/>
      <c r="D2001" s="187"/>
      <c r="E2001" s="187"/>
      <c r="F2001" s="188"/>
      <c r="G2001" s="187"/>
      <c r="H2001" s="187"/>
      <c r="I2001" s="187"/>
      <c r="J2001" s="187"/>
      <c r="K2001" s="187"/>
      <c r="L2001" s="189"/>
      <c r="M2001" s="154">
        <f t="shared" si="712"/>
        <v>0</v>
      </c>
      <c r="N2001" s="155">
        <f t="shared" si="713"/>
        <v>0</v>
      </c>
      <c r="O2001" s="168">
        <f t="shared" si="714"/>
        <v>0</v>
      </c>
      <c r="P2001" s="157">
        <f t="shared" si="715"/>
        <v>0</v>
      </c>
    </row>
    <row r="2002" spans="1:16" ht="14.25" thickBot="1">
      <c r="A2002" s="180"/>
      <c r="B2002" s="160" t="s">
        <v>5</v>
      </c>
      <c r="C2002" s="161">
        <f>SUM(C1966:C2001)</f>
        <v>22</v>
      </c>
      <c r="D2002" s="161">
        <f t="shared" ref="D2002:K2002" si="722">SUM(D1966:D2001)</f>
        <v>33</v>
      </c>
      <c r="E2002" s="161">
        <f t="shared" si="722"/>
        <v>6</v>
      </c>
      <c r="F2002" s="161">
        <f t="shared" si="722"/>
        <v>8</v>
      </c>
      <c r="G2002" s="161">
        <f t="shared" si="722"/>
        <v>0</v>
      </c>
      <c r="H2002" s="161">
        <f t="shared" si="722"/>
        <v>0</v>
      </c>
      <c r="I2002" s="161">
        <f t="shared" si="722"/>
        <v>0</v>
      </c>
      <c r="J2002" s="161">
        <f t="shared" si="722"/>
        <v>0</v>
      </c>
      <c r="K2002" s="161">
        <f t="shared" si="722"/>
        <v>0</v>
      </c>
      <c r="L2002" s="161">
        <f>SUM(L1966:L2001)</f>
        <v>0</v>
      </c>
      <c r="M2002" s="162">
        <f>SUM(M1966:M2001)</f>
        <v>28</v>
      </c>
      <c r="N2002" s="161">
        <f>SUM(N1966:N2001)</f>
        <v>41</v>
      </c>
      <c r="O2002" s="161">
        <f>SUM(O1966:O2001)</f>
        <v>0.90645161290322562</v>
      </c>
      <c r="P2002" s="161">
        <f>SUM(P1966:P2001)</f>
        <v>1.3247311827956987</v>
      </c>
    </row>
    <row r="2004" spans="1:16">
      <c r="B2004" s="467" t="s">
        <v>153</v>
      </c>
      <c r="C2004" s="469" t="s">
        <v>29</v>
      </c>
      <c r="D2004" s="470"/>
      <c r="E2004" s="469" t="s">
        <v>30</v>
      </c>
      <c r="F2004" s="470"/>
      <c r="G2004" s="469" t="s">
        <v>31</v>
      </c>
      <c r="H2004" s="470"/>
      <c r="I2004" s="469" t="s">
        <v>58</v>
      </c>
      <c r="J2004" s="470"/>
      <c r="K2004" s="469" t="s">
        <v>57</v>
      </c>
      <c r="L2004" s="471"/>
      <c r="M2004" s="470" t="s">
        <v>5</v>
      </c>
      <c r="N2004" s="472"/>
      <c r="O2004" s="472" t="s">
        <v>33</v>
      </c>
      <c r="P2004" s="472"/>
    </row>
    <row r="2005" spans="1:16" ht="14.25" thickBot="1">
      <c r="B2005" s="468"/>
      <c r="C2005" s="13" t="s">
        <v>34</v>
      </c>
      <c r="D2005" s="13" t="s">
        <v>35</v>
      </c>
      <c r="E2005" s="13" t="s">
        <v>34</v>
      </c>
      <c r="F2005" s="13" t="s">
        <v>35</v>
      </c>
      <c r="G2005" s="13" t="s">
        <v>34</v>
      </c>
      <c r="H2005" s="13" t="s">
        <v>35</v>
      </c>
      <c r="I2005" s="13" t="s">
        <v>59</v>
      </c>
      <c r="J2005" s="13" t="s">
        <v>60</v>
      </c>
      <c r="K2005" s="13" t="s">
        <v>34</v>
      </c>
      <c r="L2005" s="14" t="s">
        <v>35</v>
      </c>
      <c r="M2005" s="15" t="s">
        <v>34</v>
      </c>
      <c r="N2005" s="13" t="s">
        <v>35</v>
      </c>
      <c r="O2005" s="163" t="s">
        <v>34</v>
      </c>
      <c r="P2005" s="163" t="s">
        <v>35</v>
      </c>
    </row>
    <row r="2006" spans="1:16">
      <c r="A2006" s="473">
        <v>2018</v>
      </c>
      <c r="B2006" s="410">
        <v>1</v>
      </c>
      <c r="C2006" s="422">
        <v>0</v>
      </c>
      <c r="D2006" s="422">
        <v>0</v>
      </c>
      <c r="E2006" s="422">
        <v>0</v>
      </c>
      <c r="F2006" s="422">
        <v>0</v>
      </c>
      <c r="G2006" s="422">
        <v>0</v>
      </c>
      <c r="H2006" s="422">
        <v>0</v>
      </c>
      <c r="I2006" s="422">
        <v>0</v>
      </c>
      <c r="J2006" s="422">
        <v>0</v>
      </c>
      <c r="K2006" s="422">
        <v>0</v>
      </c>
      <c r="L2006" s="432">
        <v>0</v>
      </c>
      <c r="M2006" s="424">
        <f t="shared" ref="M2006:M2025" si="723">+C2006+E2006+G2006+I2006+K2006</f>
        <v>0</v>
      </c>
      <c r="N2006" s="425">
        <f t="shared" ref="N2006:N2025" si="724">+D2006+F2006+H2006+J2006+L2006</f>
        <v>0</v>
      </c>
      <c r="O2006" s="430">
        <f t="shared" ref="O2006:P2010" si="725">M2006/31</f>
        <v>0</v>
      </c>
      <c r="P2006" s="427">
        <f t="shared" si="725"/>
        <v>0</v>
      </c>
    </row>
    <row r="2007" spans="1:16">
      <c r="A2007" s="474"/>
      <c r="B2007" s="127">
        <v>2</v>
      </c>
      <c r="C2007" s="147">
        <v>0</v>
      </c>
      <c r="D2007" s="147">
        <v>0</v>
      </c>
      <c r="E2007" s="147">
        <v>0</v>
      </c>
      <c r="F2007" s="147">
        <v>0</v>
      </c>
      <c r="G2007" s="147">
        <v>0</v>
      </c>
      <c r="H2007" s="147">
        <v>0</v>
      </c>
      <c r="I2007" s="147">
        <v>0</v>
      </c>
      <c r="J2007" s="147">
        <v>0</v>
      </c>
      <c r="K2007" s="147">
        <v>0</v>
      </c>
      <c r="L2007" s="174">
        <v>0</v>
      </c>
      <c r="M2007" s="149">
        <f t="shared" si="723"/>
        <v>0</v>
      </c>
      <c r="N2007" s="150">
        <f t="shared" si="724"/>
        <v>0</v>
      </c>
      <c r="O2007" s="167">
        <f t="shared" si="725"/>
        <v>0</v>
      </c>
      <c r="P2007" s="152">
        <f t="shared" si="725"/>
        <v>0</v>
      </c>
    </row>
    <row r="2008" spans="1:16">
      <c r="A2008" s="474"/>
      <c r="B2008" s="127">
        <v>3</v>
      </c>
      <c r="C2008" s="147">
        <v>0</v>
      </c>
      <c r="D2008" s="147">
        <v>0</v>
      </c>
      <c r="E2008" s="147">
        <v>0</v>
      </c>
      <c r="F2008" s="147">
        <v>0</v>
      </c>
      <c r="G2008" s="147">
        <v>0</v>
      </c>
      <c r="H2008" s="147">
        <v>0</v>
      </c>
      <c r="I2008" s="147">
        <v>0</v>
      </c>
      <c r="J2008" s="147">
        <v>0</v>
      </c>
      <c r="K2008" s="147">
        <v>0</v>
      </c>
      <c r="L2008" s="174">
        <v>0</v>
      </c>
      <c r="M2008" s="149">
        <f t="shared" si="723"/>
        <v>0</v>
      </c>
      <c r="N2008" s="150">
        <f t="shared" si="724"/>
        <v>0</v>
      </c>
      <c r="O2008" s="167">
        <f t="shared" si="725"/>
        <v>0</v>
      </c>
      <c r="P2008" s="152">
        <f t="shared" si="725"/>
        <v>0</v>
      </c>
    </row>
    <row r="2009" spans="1:16">
      <c r="A2009" s="474"/>
      <c r="B2009" s="127">
        <v>4</v>
      </c>
      <c r="C2009" s="158">
        <v>0</v>
      </c>
      <c r="D2009" s="158">
        <v>0</v>
      </c>
      <c r="E2009" s="158">
        <v>0</v>
      </c>
      <c r="F2009" s="158">
        <v>0</v>
      </c>
      <c r="G2009" s="158">
        <v>1</v>
      </c>
      <c r="H2009" s="158">
        <v>0</v>
      </c>
      <c r="I2009" s="158">
        <v>0</v>
      </c>
      <c r="J2009" s="158">
        <v>0</v>
      </c>
      <c r="K2009" s="158">
        <v>0</v>
      </c>
      <c r="L2009" s="159">
        <v>0</v>
      </c>
      <c r="M2009" s="154">
        <f t="shared" si="723"/>
        <v>1</v>
      </c>
      <c r="N2009" s="155">
        <f t="shared" si="724"/>
        <v>0</v>
      </c>
      <c r="O2009" s="168">
        <f t="shared" si="725"/>
        <v>3.2258064516129031E-2</v>
      </c>
      <c r="P2009" s="157">
        <f t="shared" si="725"/>
        <v>0</v>
      </c>
    </row>
    <row r="2010" spans="1:16">
      <c r="A2010" s="474"/>
      <c r="B2010" s="127">
        <v>5</v>
      </c>
      <c r="C2010" s="158">
        <v>1</v>
      </c>
      <c r="D2010" s="158">
        <v>0</v>
      </c>
      <c r="E2010" s="158">
        <v>0</v>
      </c>
      <c r="F2010" s="158">
        <v>0</v>
      </c>
      <c r="G2010" s="158">
        <v>0</v>
      </c>
      <c r="H2010" s="158">
        <v>9</v>
      </c>
      <c r="I2010" s="158">
        <v>0</v>
      </c>
      <c r="J2010" s="158">
        <v>0</v>
      </c>
      <c r="K2010" s="158">
        <v>0</v>
      </c>
      <c r="L2010" s="159">
        <v>0</v>
      </c>
      <c r="M2010" s="154">
        <f t="shared" si="723"/>
        <v>1</v>
      </c>
      <c r="N2010" s="155">
        <f t="shared" si="724"/>
        <v>9</v>
      </c>
      <c r="O2010" s="168">
        <f t="shared" si="725"/>
        <v>3.2258064516129031E-2</v>
      </c>
      <c r="P2010" s="157">
        <f t="shared" si="725"/>
        <v>0.29032258064516131</v>
      </c>
    </row>
    <row r="2011" spans="1:16">
      <c r="A2011" s="474"/>
      <c r="B2011" s="127">
        <v>6</v>
      </c>
      <c r="C2011" s="158">
        <v>0</v>
      </c>
      <c r="D2011" s="158">
        <v>0</v>
      </c>
      <c r="E2011" s="158">
        <v>0</v>
      </c>
      <c r="F2011" s="158">
        <v>0</v>
      </c>
      <c r="G2011" s="158">
        <v>0</v>
      </c>
      <c r="H2011" s="158">
        <v>0</v>
      </c>
      <c r="I2011" s="158">
        <v>0</v>
      </c>
      <c r="J2011" s="158">
        <v>0</v>
      </c>
      <c r="K2011" s="158">
        <v>0</v>
      </c>
      <c r="L2011" s="158">
        <v>0</v>
      </c>
      <c r="M2011" s="154">
        <f t="shared" si="723"/>
        <v>0</v>
      </c>
      <c r="N2011" s="155">
        <f t="shared" si="724"/>
        <v>0</v>
      </c>
      <c r="O2011" s="168">
        <f>M2011/30</f>
        <v>0</v>
      </c>
      <c r="P2011" s="157">
        <f>N2011/30</f>
        <v>0</v>
      </c>
    </row>
    <row r="2012" spans="1:16">
      <c r="A2012" s="474"/>
      <c r="B2012" s="127">
        <v>7</v>
      </c>
      <c r="C2012" s="158">
        <v>0</v>
      </c>
      <c r="D2012" s="158">
        <v>0</v>
      </c>
      <c r="E2012" s="158">
        <v>0</v>
      </c>
      <c r="F2012" s="158">
        <v>0</v>
      </c>
      <c r="G2012" s="158">
        <v>2</v>
      </c>
      <c r="H2012" s="158">
        <v>2</v>
      </c>
      <c r="I2012" s="158">
        <v>0</v>
      </c>
      <c r="J2012" s="158">
        <v>0</v>
      </c>
      <c r="K2012" s="158">
        <v>0</v>
      </c>
      <c r="L2012" s="158">
        <v>0</v>
      </c>
      <c r="M2012" s="154">
        <f t="shared" si="723"/>
        <v>2</v>
      </c>
      <c r="N2012" s="155">
        <f t="shared" si="724"/>
        <v>2</v>
      </c>
      <c r="O2012" s="168">
        <f t="shared" ref="O2012:P2034" si="726">M2012/31</f>
        <v>6.4516129032258063E-2</v>
      </c>
      <c r="P2012" s="157">
        <f t="shared" si="726"/>
        <v>6.4516129032258063E-2</v>
      </c>
    </row>
    <row r="2013" spans="1:16">
      <c r="A2013" s="474"/>
      <c r="B2013" s="127">
        <v>8</v>
      </c>
      <c r="C2013" s="158">
        <v>1</v>
      </c>
      <c r="D2013" s="158">
        <v>0</v>
      </c>
      <c r="E2013" s="158">
        <v>0</v>
      </c>
      <c r="F2013" s="158">
        <v>0</v>
      </c>
      <c r="G2013" s="158">
        <v>2</v>
      </c>
      <c r="H2013" s="158">
        <v>2</v>
      </c>
      <c r="I2013" s="158">
        <v>0</v>
      </c>
      <c r="J2013" s="158">
        <v>0</v>
      </c>
      <c r="K2013" s="158">
        <v>0</v>
      </c>
      <c r="L2013" s="159">
        <v>0</v>
      </c>
      <c r="M2013" s="177">
        <f t="shared" si="723"/>
        <v>3</v>
      </c>
      <c r="N2013" s="158">
        <f t="shared" si="724"/>
        <v>2</v>
      </c>
      <c r="O2013" s="168">
        <f t="shared" si="726"/>
        <v>9.6774193548387094E-2</v>
      </c>
      <c r="P2013" s="157">
        <f t="shared" si="726"/>
        <v>6.4516129032258063E-2</v>
      </c>
    </row>
    <row r="2014" spans="1:16">
      <c r="A2014" s="474"/>
      <c r="B2014" s="127">
        <v>9</v>
      </c>
      <c r="C2014" s="147">
        <v>0</v>
      </c>
      <c r="D2014" s="147">
        <v>0</v>
      </c>
      <c r="E2014" s="147">
        <v>0</v>
      </c>
      <c r="F2014" s="147">
        <v>0</v>
      </c>
      <c r="G2014" s="147">
        <v>2</v>
      </c>
      <c r="H2014" s="147">
        <v>0</v>
      </c>
      <c r="I2014" s="147">
        <v>1</v>
      </c>
      <c r="J2014" s="147">
        <v>0</v>
      </c>
      <c r="K2014" s="147">
        <v>0</v>
      </c>
      <c r="L2014" s="147">
        <v>0</v>
      </c>
      <c r="M2014" s="177">
        <f t="shared" si="723"/>
        <v>3</v>
      </c>
      <c r="N2014" s="158">
        <f t="shared" si="724"/>
        <v>0</v>
      </c>
      <c r="O2014" s="168">
        <f t="shared" si="726"/>
        <v>9.6774193548387094E-2</v>
      </c>
      <c r="P2014" s="157">
        <f t="shared" si="726"/>
        <v>0</v>
      </c>
    </row>
    <row r="2015" spans="1:16">
      <c r="A2015" s="474"/>
      <c r="B2015" s="127">
        <v>10</v>
      </c>
      <c r="C2015" s="147">
        <v>0</v>
      </c>
      <c r="D2015" s="147">
        <v>0</v>
      </c>
      <c r="E2015" s="147">
        <v>0</v>
      </c>
      <c r="F2015" s="181">
        <v>0</v>
      </c>
      <c r="G2015" s="147">
        <v>0</v>
      </c>
      <c r="H2015" s="147">
        <v>5</v>
      </c>
      <c r="I2015" s="147">
        <v>1</v>
      </c>
      <c r="J2015" s="147">
        <v>6</v>
      </c>
      <c r="K2015" s="147">
        <v>0</v>
      </c>
      <c r="L2015" s="148">
        <v>0</v>
      </c>
      <c r="M2015" s="154">
        <f t="shared" si="723"/>
        <v>1</v>
      </c>
      <c r="N2015" s="155">
        <f t="shared" si="724"/>
        <v>11</v>
      </c>
      <c r="O2015" s="168">
        <f t="shared" si="726"/>
        <v>3.2258064516129031E-2</v>
      </c>
      <c r="P2015" s="157">
        <f t="shared" si="726"/>
        <v>0.35483870967741937</v>
      </c>
    </row>
    <row r="2016" spans="1:16">
      <c r="A2016" s="474"/>
      <c r="B2016" s="127">
        <v>11</v>
      </c>
      <c r="C2016" s="367">
        <v>0</v>
      </c>
      <c r="D2016" s="367">
        <v>0</v>
      </c>
      <c r="E2016" s="367">
        <v>0</v>
      </c>
      <c r="F2016" s="367">
        <v>0</v>
      </c>
      <c r="G2016" s="367">
        <v>0</v>
      </c>
      <c r="H2016" s="367">
        <v>0</v>
      </c>
      <c r="I2016" s="367">
        <v>0</v>
      </c>
      <c r="J2016" s="367">
        <v>0</v>
      </c>
      <c r="K2016" s="367">
        <v>0</v>
      </c>
      <c r="L2016" s="368">
        <v>0</v>
      </c>
      <c r="M2016" s="154">
        <f t="shared" si="723"/>
        <v>0</v>
      </c>
      <c r="N2016" s="155">
        <f t="shared" si="724"/>
        <v>0</v>
      </c>
      <c r="O2016" s="168">
        <f t="shared" si="726"/>
        <v>0</v>
      </c>
      <c r="P2016" s="157">
        <f t="shared" si="726"/>
        <v>0</v>
      </c>
    </row>
    <row r="2017" spans="1:16" ht="14.25" thickBot="1">
      <c r="A2017" s="475"/>
      <c r="B2017" s="127">
        <v>12</v>
      </c>
      <c r="C2017" s="187">
        <v>0</v>
      </c>
      <c r="D2017" s="187">
        <v>0</v>
      </c>
      <c r="E2017" s="187">
        <v>0</v>
      </c>
      <c r="F2017" s="188">
        <v>0</v>
      </c>
      <c r="G2017" s="187">
        <v>0</v>
      </c>
      <c r="H2017" s="187">
        <v>0</v>
      </c>
      <c r="I2017" s="187">
        <v>0</v>
      </c>
      <c r="J2017" s="187">
        <v>0</v>
      </c>
      <c r="K2017" s="187">
        <v>0</v>
      </c>
      <c r="L2017" s="189">
        <v>0</v>
      </c>
      <c r="M2017" s="154">
        <f t="shared" si="723"/>
        <v>0</v>
      </c>
      <c r="N2017" s="155">
        <f t="shared" si="724"/>
        <v>0</v>
      </c>
      <c r="O2017" s="168">
        <f t="shared" si="726"/>
        <v>0</v>
      </c>
      <c r="P2017" s="157">
        <f t="shared" si="726"/>
        <v>0</v>
      </c>
    </row>
    <row r="2018" spans="1:16">
      <c r="A2018" s="473">
        <v>2019</v>
      </c>
      <c r="B2018" s="410">
        <v>1</v>
      </c>
      <c r="C2018" s="422">
        <v>0</v>
      </c>
      <c r="D2018" s="422">
        <v>0</v>
      </c>
      <c r="E2018" s="422">
        <v>0</v>
      </c>
      <c r="F2018" s="422">
        <v>0</v>
      </c>
      <c r="G2018" s="422">
        <v>0</v>
      </c>
      <c r="H2018" s="422">
        <v>0</v>
      </c>
      <c r="I2018" s="422">
        <v>0</v>
      </c>
      <c r="J2018" s="422">
        <v>0</v>
      </c>
      <c r="K2018" s="422">
        <v>0</v>
      </c>
      <c r="L2018" s="432">
        <v>0</v>
      </c>
      <c r="M2018" s="424">
        <f t="shared" si="723"/>
        <v>0</v>
      </c>
      <c r="N2018" s="425">
        <f t="shared" si="724"/>
        <v>0</v>
      </c>
      <c r="O2018" s="430">
        <f t="shared" ref="O2018:O2022" si="727">M2018/31</f>
        <v>0</v>
      </c>
      <c r="P2018" s="427">
        <f t="shared" ref="P2018:P2022" si="728">N2018/31</f>
        <v>0</v>
      </c>
    </row>
    <row r="2019" spans="1:16">
      <c r="A2019" s="474"/>
      <c r="B2019" s="127">
        <v>2</v>
      </c>
      <c r="C2019" s="147">
        <v>0</v>
      </c>
      <c r="D2019" s="147">
        <v>0</v>
      </c>
      <c r="E2019" s="147">
        <v>0</v>
      </c>
      <c r="F2019" s="147">
        <v>0</v>
      </c>
      <c r="G2019" s="147">
        <v>0</v>
      </c>
      <c r="H2019" s="147">
        <v>0</v>
      </c>
      <c r="I2019" s="147">
        <v>0</v>
      </c>
      <c r="J2019" s="147">
        <v>0</v>
      </c>
      <c r="K2019" s="147">
        <v>0</v>
      </c>
      <c r="L2019" s="174">
        <v>0</v>
      </c>
      <c r="M2019" s="149">
        <f t="shared" si="723"/>
        <v>0</v>
      </c>
      <c r="N2019" s="150">
        <f t="shared" si="724"/>
        <v>0</v>
      </c>
      <c r="O2019" s="167">
        <f t="shared" si="727"/>
        <v>0</v>
      </c>
      <c r="P2019" s="152">
        <f t="shared" si="728"/>
        <v>0</v>
      </c>
    </row>
    <row r="2020" spans="1:16">
      <c r="A2020" s="474"/>
      <c r="B2020" s="127">
        <v>3</v>
      </c>
      <c r="C2020" s="147">
        <v>6</v>
      </c>
      <c r="D2020" s="147">
        <v>0</v>
      </c>
      <c r="E2020" s="147">
        <v>0</v>
      </c>
      <c r="F2020" s="147">
        <v>0</v>
      </c>
      <c r="G2020" s="147">
        <v>5</v>
      </c>
      <c r="H2020" s="147">
        <v>0</v>
      </c>
      <c r="I2020" s="147">
        <v>1</v>
      </c>
      <c r="J2020" s="147">
        <v>0</v>
      </c>
      <c r="K2020" s="147">
        <v>0</v>
      </c>
      <c r="L2020" s="174">
        <v>0</v>
      </c>
      <c r="M2020" s="149">
        <f t="shared" si="723"/>
        <v>12</v>
      </c>
      <c r="N2020" s="150">
        <f t="shared" si="724"/>
        <v>0</v>
      </c>
      <c r="O2020" s="167">
        <f t="shared" si="727"/>
        <v>0.38709677419354838</v>
      </c>
      <c r="P2020" s="152">
        <f t="shared" si="728"/>
        <v>0</v>
      </c>
    </row>
    <row r="2021" spans="1:16">
      <c r="A2021" s="474"/>
      <c r="B2021" s="127">
        <v>4</v>
      </c>
      <c r="C2021" s="158">
        <v>3</v>
      </c>
      <c r="D2021" s="158">
        <v>8</v>
      </c>
      <c r="E2021" s="158">
        <v>0</v>
      </c>
      <c r="F2021" s="158">
        <v>0</v>
      </c>
      <c r="G2021" s="158">
        <v>3</v>
      </c>
      <c r="H2021" s="158">
        <v>9</v>
      </c>
      <c r="I2021" s="158">
        <v>1</v>
      </c>
      <c r="J2021" s="158">
        <v>2</v>
      </c>
      <c r="K2021" s="158">
        <v>0</v>
      </c>
      <c r="L2021" s="159">
        <v>0</v>
      </c>
      <c r="M2021" s="154">
        <f t="shared" si="723"/>
        <v>7</v>
      </c>
      <c r="N2021" s="155">
        <f t="shared" si="724"/>
        <v>19</v>
      </c>
      <c r="O2021" s="168">
        <f t="shared" si="727"/>
        <v>0.22580645161290322</v>
      </c>
      <c r="P2021" s="157">
        <f t="shared" si="728"/>
        <v>0.61290322580645162</v>
      </c>
    </row>
    <row r="2022" spans="1:16">
      <c r="A2022" s="474"/>
      <c r="B2022" s="127">
        <v>5</v>
      </c>
      <c r="C2022" s="158">
        <v>5</v>
      </c>
      <c r="D2022" s="158">
        <v>9</v>
      </c>
      <c r="E2022" s="158">
        <v>0</v>
      </c>
      <c r="F2022" s="158">
        <v>0</v>
      </c>
      <c r="G2022" s="158">
        <v>3</v>
      </c>
      <c r="H2022" s="158">
        <v>18</v>
      </c>
      <c r="I2022" s="158">
        <v>1</v>
      </c>
      <c r="J2022" s="158">
        <v>0</v>
      </c>
      <c r="K2022" s="158">
        <v>0</v>
      </c>
      <c r="L2022" s="159">
        <v>0</v>
      </c>
      <c r="M2022" s="154">
        <f t="shared" si="723"/>
        <v>9</v>
      </c>
      <c r="N2022" s="155">
        <f t="shared" si="724"/>
        <v>27</v>
      </c>
      <c r="O2022" s="168">
        <f t="shared" si="727"/>
        <v>0.29032258064516131</v>
      </c>
      <c r="P2022" s="157">
        <f t="shared" si="728"/>
        <v>0.87096774193548387</v>
      </c>
    </row>
    <row r="2023" spans="1:16">
      <c r="A2023" s="474"/>
      <c r="B2023" s="127">
        <v>6</v>
      </c>
      <c r="C2023" s="158">
        <v>4</v>
      </c>
      <c r="D2023" s="158">
        <v>25</v>
      </c>
      <c r="E2023" s="158">
        <v>0</v>
      </c>
      <c r="F2023" s="158">
        <v>0</v>
      </c>
      <c r="G2023" s="158">
        <v>1</v>
      </c>
      <c r="H2023" s="158">
        <v>0</v>
      </c>
      <c r="I2023" s="158">
        <v>1</v>
      </c>
      <c r="J2023" s="158">
        <v>5</v>
      </c>
      <c r="K2023" s="158">
        <v>0</v>
      </c>
      <c r="L2023" s="158">
        <v>0</v>
      </c>
      <c r="M2023" s="154">
        <f t="shared" si="723"/>
        <v>6</v>
      </c>
      <c r="N2023" s="155">
        <f t="shared" si="724"/>
        <v>30</v>
      </c>
      <c r="O2023" s="168">
        <f>M2023/30</f>
        <v>0.2</v>
      </c>
      <c r="P2023" s="157">
        <f>N2023/30</f>
        <v>1</v>
      </c>
    </row>
    <row r="2024" spans="1:16">
      <c r="A2024" s="474"/>
      <c r="B2024" s="127">
        <v>7</v>
      </c>
      <c r="C2024" s="158">
        <v>2</v>
      </c>
      <c r="D2024" s="158">
        <v>0</v>
      </c>
      <c r="E2024" s="158">
        <v>0</v>
      </c>
      <c r="F2024" s="158">
        <v>0</v>
      </c>
      <c r="G2024" s="158">
        <v>2</v>
      </c>
      <c r="H2024" s="158">
        <v>2</v>
      </c>
      <c r="I2024" s="158">
        <v>1</v>
      </c>
      <c r="J2024" s="158">
        <v>3</v>
      </c>
      <c r="K2024" s="158">
        <v>0</v>
      </c>
      <c r="L2024" s="158">
        <v>0</v>
      </c>
      <c r="M2024" s="154">
        <f t="shared" si="723"/>
        <v>5</v>
      </c>
      <c r="N2024" s="155">
        <f t="shared" si="724"/>
        <v>5</v>
      </c>
      <c r="O2024" s="168">
        <f t="shared" ref="O2024:O2025" si="729">M2024/31</f>
        <v>0.16129032258064516</v>
      </c>
      <c r="P2024" s="157">
        <f t="shared" ref="P2024:P2025" si="730">N2024/31</f>
        <v>0.16129032258064516</v>
      </c>
    </row>
    <row r="2025" spans="1:16">
      <c r="A2025" s="474"/>
      <c r="B2025" s="127">
        <v>8</v>
      </c>
      <c r="C2025" s="158">
        <v>1</v>
      </c>
      <c r="D2025" s="158">
        <v>2</v>
      </c>
      <c r="E2025" s="158">
        <v>0</v>
      </c>
      <c r="F2025" s="158">
        <v>0</v>
      </c>
      <c r="G2025" s="158">
        <v>3</v>
      </c>
      <c r="H2025" s="158">
        <v>4</v>
      </c>
      <c r="I2025" s="158">
        <v>1</v>
      </c>
      <c r="J2025" s="158">
        <v>3</v>
      </c>
      <c r="K2025" s="158">
        <v>0</v>
      </c>
      <c r="L2025" s="159">
        <v>0</v>
      </c>
      <c r="M2025" s="177">
        <f t="shared" si="723"/>
        <v>5</v>
      </c>
      <c r="N2025" s="158">
        <f t="shared" si="724"/>
        <v>9</v>
      </c>
      <c r="O2025" s="168">
        <f t="shared" si="729"/>
        <v>0.16129032258064516</v>
      </c>
      <c r="P2025" s="157">
        <f t="shared" si="730"/>
        <v>0.29032258064516131</v>
      </c>
    </row>
    <row r="2026" spans="1:16">
      <c r="A2026" s="474"/>
      <c r="B2026" s="127">
        <v>9</v>
      </c>
      <c r="C2026" s="147">
        <v>2</v>
      </c>
      <c r="D2026" s="147">
        <v>8</v>
      </c>
      <c r="E2026" s="147">
        <v>0</v>
      </c>
      <c r="F2026" s="147">
        <v>0</v>
      </c>
      <c r="G2026" s="147">
        <v>1</v>
      </c>
      <c r="H2026" s="147">
        <v>5</v>
      </c>
      <c r="I2026" s="147">
        <v>0</v>
      </c>
      <c r="J2026" s="147">
        <v>0</v>
      </c>
      <c r="K2026" s="147">
        <v>0</v>
      </c>
      <c r="L2026" s="147">
        <v>0</v>
      </c>
      <c r="M2026" s="177">
        <v>3</v>
      </c>
      <c r="N2026" s="158">
        <v>13</v>
      </c>
      <c r="O2026" s="168">
        <v>9.6774193548387094E-2</v>
      </c>
      <c r="P2026" s="157">
        <v>0.41935483870967744</v>
      </c>
    </row>
    <row r="2027" spans="1:16">
      <c r="A2027" s="474"/>
      <c r="B2027" s="127">
        <v>10</v>
      </c>
      <c r="C2027" s="147">
        <v>0</v>
      </c>
      <c r="D2027" s="147">
        <v>5</v>
      </c>
      <c r="E2027" s="147">
        <v>0</v>
      </c>
      <c r="F2027" s="181">
        <v>0</v>
      </c>
      <c r="G2027" s="147">
        <v>1</v>
      </c>
      <c r="H2027" s="147">
        <v>4</v>
      </c>
      <c r="I2027" s="147">
        <v>1</v>
      </c>
      <c r="J2027" s="147">
        <v>15</v>
      </c>
      <c r="K2027" s="147">
        <v>0</v>
      </c>
      <c r="L2027" s="148">
        <v>0</v>
      </c>
      <c r="M2027" s="154">
        <f t="shared" ref="M2027:M2029" si="731">+C2027+E2027+G2027+I2027+K2027</f>
        <v>2</v>
      </c>
      <c r="N2027" s="155">
        <f t="shared" ref="N2027:N2029" si="732">+D2027+F2027+H2027+J2027+L2027</f>
        <v>24</v>
      </c>
      <c r="O2027" s="168">
        <f t="shared" ref="O2027:O2029" si="733">M2027/31</f>
        <v>6.4516129032258063E-2</v>
      </c>
      <c r="P2027" s="157">
        <f t="shared" ref="P2027:P2029" si="734">N2027/31</f>
        <v>0.77419354838709675</v>
      </c>
    </row>
    <row r="2028" spans="1:16">
      <c r="A2028" s="474"/>
      <c r="B2028" s="127">
        <v>11</v>
      </c>
      <c r="C2028" s="367">
        <v>0</v>
      </c>
      <c r="D2028" s="367">
        <v>0</v>
      </c>
      <c r="E2028" s="367">
        <v>0</v>
      </c>
      <c r="F2028" s="367">
        <v>0</v>
      </c>
      <c r="G2028" s="367">
        <v>0</v>
      </c>
      <c r="H2028" s="367">
        <v>0</v>
      </c>
      <c r="I2028" s="367">
        <v>0</v>
      </c>
      <c r="J2028" s="367">
        <v>0</v>
      </c>
      <c r="K2028" s="367">
        <v>0</v>
      </c>
      <c r="L2028" s="368">
        <v>0</v>
      </c>
      <c r="M2028" s="154">
        <f t="shared" si="731"/>
        <v>0</v>
      </c>
      <c r="N2028" s="155">
        <f t="shared" si="732"/>
        <v>0</v>
      </c>
      <c r="O2028" s="168">
        <f t="shared" si="733"/>
        <v>0</v>
      </c>
      <c r="P2028" s="157">
        <f t="shared" si="734"/>
        <v>0</v>
      </c>
    </row>
    <row r="2029" spans="1:16" ht="14.25" thickBot="1">
      <c r="A2029" s="475"/>
      <c r="B2029" s="127">
        <v>12</v>
      </c>
      <c r="C2029" s="187">
        <v>0</v>
      </c>
      <c r="D2029" s="187">
        <v>0</v>
      </c>
      <c r="E2029" s="187">
        <v>0</v>
      </c>
      <c r="F2029" s="188">
        <v>0</v>
      </c>
      <c r="G2029" s="187">
        <v>0</v>
      </c>
      <c r="H2029" s="187">
        <v>0</v>
      </c>
      <c r="I2029" s="187">
        <v>0</v>
      </c>
      <c r="J2029" s="187">
        <v>0</v>
      </c>
      <c r="K2029" s="187">
        <v>0</v>
      </c>
      <c r="L2029" s="189">
        <v>0</v>
      </c>
      <c r="M2029" s="154">
        <f t="shared" si="731"/>
        <v>0</v>
      </c>
      <c r="N2029" s="155">
        <f t="shared" si="732"/>
        <v>0</v>
      </c>
      <c r="O2029" s="168">
        <f t="shared" si="733"/>
        <v>0</v>
      </c>
      <c r="P2029" s="157">
        <f t="shared" si="734"/>
        <v>0</v>
      </c>
    </row>
    <row r="2030" spans="1:16">
      <c r="A2030" s="473">
        <v>2020</v>
      </c>
      <c r="B2030" s="410">
        <v>1</v>
      </c>
      <c r="C2030" s="434">
        <v>0</v>
      </c>
      <c r="D2030" s="434">
        <v>0</v>
      </c>
      <c r="E2030" s="434">
        <v>0</v>
      </c>
      <c r="F2030" s="434">
        <v>0</v>
      </c>
      <c r="G2030" s="434">
        <v>0</v>
      </c>
      <c r="H2030" s="434">
        <v>0</v>
      </c>
      <c r="I2030" s="434">
        <v>0</v>
      </c>
      <c r="J2030" s="434">
        <v>0</v>
      </c>
      <c r="K2030" s="434">
        <v>0</v>
      </c>
      <c r="L2030" s="436">
        <v>0</v>
      </c>
      <c r="M2030" s="424">
        <f t="shared" ref="M2030:M2041" si="735">+C2030+E2030+G2030+I2030+K2030</f>
        <v>0</v>
      </c>
      <c r="N2030" s="425">
        <f t="shared" ref="N2030:N2041" si="736">+D2030+F2030+H2030+J2030+L2030</f>
        <v>0</v>
      </c>
      <c r="O2030" s="430">
        <f t="shared" si="726"/>
        <v>0</v>
      </c>
      <c r="P2030" s="427">
        <f t="shared" si="726"/>
        <v>0</v>
      </c>
    </row>
    <row r="2031" spans="1:16">
      <c r="A2031" s="474"/>
      <c r="B2031" s="127">
        <v>2</v>
      </c>
      <c r="C2031" s="147">
        <v>0</v>
      </c>
      <c r="D2031" s="147">
        <v>0</v>
      </c>
      <c r="E2031" s="147">
        <v>0</v>
      </c>
      <c r="F2031" s="147">
        <v>0</v>
      </c>
      <c r="G2031" s="147">
        <v>0</v>
      </c>
      <c r="H2031" s="147">
        <v>0</v>
      </c>
      <c r="I2031" s="147">
        <v>0</v>
      </c>
      <c r="J2031" s="147">
        <v>0</v>
      </c>
      <c r="K2031" s="147">
        <v>0</v>
      </c>
      <c r="L2031" s="148">
        <v>0</v>
      </c>
      <c r="M2031" s="149">
        <f t="shared" si="735"/>
        <v>0</v>
      </c>
      <c r="N2031" s="150">
        <f t="shared" si="736"/>
        <v>0</v>
      </c>
      <c r="O2031" s="167">
        <f t="shared" si="726"/>
        <v>0</v>
      </c>
      <c r="P2031" s="152">
        <f t="shared" si="726"/>
        <v>0</v>
      </c>
    </row>
    <row r="2032" spans="1:16">
      <c r="A2032" s="474"/>
      <c r="B2032" s="127">
        <v>3</v>
      </c>
      <c r="C2032" s="147">
        <v>0</v>
      </c>
      <c r="D2032" s="147">
        <v>0</v>
      </c>
      <c r="E2032" s="147">
        <v>0</v>
      </c>
      <c r="F2032" s="147">
        <v>0</v>
      </c>
      <c r="G2032" s="147">
        <v>1</v>
      </c>
      <c r="H2032" s="147">
        <v>0</v>
      </c>
      <c r="I2032" s="147">
        <v>0</v>
      </c>
      <c r="J2032" s="147">
        <v>0</v>
      </c>
      <c r="K2032" s="147">
        <v>0</v>
      </c>
      <c r="L2032" s="148">
        <v>0</v>
      </c>
      <c r="M2032" s="149">
        <f t="shared" si="735"/>
        <v>1</v>
      </c>
      <c r="N2032" s="150">
        <f t="shared" si="736"/>
        <v>0</v>
      </c>
      <c r="O2032" s="167">
        <f t="shared" si="726"/>
        <v>3.2258064516129031E-2</v>
      </c>
      <c r="P2032" s="152">
        <f t="shared" si="726"/>
        <v>0</v>
      </c>
    </row>
    <row r="2033" spans="1:16">
      <c r="A2033" s="474"/>
      <c r="B2033" s="127">
        <v>4</v>
      </c>
      <c r="C2033" s="147">
        <v>0</v>
      </c>
      <c r="D2033" s="147">
        <v>0</v>
      </c>
      <c r="E2033" s="147">
        <v>0</v>
      </c>
      <c r="F2033" s="147">
        <v>0</v>
      </c>
      <c r="G2033" s="147">
        <v>0</v>
      </c>
      <c r="H2033" s="147">
        <v>0</v>
      </c>
      <c r="I2033" s="147">
        <v>0</v>
      </c>
      <c r="J2033" s="147">
        <v>0</v>
      </c>
      <c r="K2033" s="147">
        <v>0</v>
      </c>
      <c r="L2033" s="148">
        <v>0</v>
      </c>
      <c r="M2033" s="154">
        <f t="shared" si="735"/>
        <v>0</v>
      </c>
      <c r="N2033" s="155">
        <f t="shared" si="736"/>
        <v>0</v>
      </c>
      <c r="O2033" s="168">
        <f t="shared" si="726"/>
        <v>0</v>
      </c>
      <c r="P2033" s="157">
        <f t="shared" si="726"/>
        <v>0</v>
      </c>
    </row>
    <row r="2034" spans="1:16">
      <c r="A2034" s="474"/>
      <c r="B2034" s="127">
        <v>5</v>
      </c>
      <c r="C2034" s="147">
        <v>0</v>
      </c>
      <c r="D2034" s="147">
        <v>0</v>
      </c>
      <c r="E2034" s="147">
        <v>0</v>
      </c>
      <c r="F2034" s="147">
        <v>0</v>
      </c>
      <c r="G2034" s="147">
        <v>0</v>
      </c>
      <c r="H2034" s="147">
        <v>0</v>
      </c>
      <c r="I2034" s="147">
        <v>0</v>
      </c>
      <c r="J2034" s="147">
        <v>0</v>
      </c>
      <c r="K2034" s="147">
        <v>0</v>
      </c>
      <c r="L2034" s="148">
        <v>0</v>
      </c>
      <c r="M2034" s="154">
        <f t="shared" si="735"/>
        <v>0</v>
      </c>
      <c r="N2034" s="155">
        <f t="shared" si="736"/>
        <v>0</v>
      </c>
      <c r="O2034" s="168">
        <f t="shared" si="726"/>
        <v>0</v>
      </c>
      <c r="P2034" s="157">
        <f t="shared" si="726"/>
        <v>0</v>
      </c>
    </row>
    <row r="2035" spans="1:16">
      <c r="A2035" s="474"/>
      <c r="B2035" s="127">
        <v>6</v>
      </c>
      <c r="C2035" s="147">
        <f>集計用!C62</f>
        <v>0</v>
      </c>
      <c r="D2035" s="147">
        <f>集計用!S62</f>
        <v>0</v>
      </c>
      <c r="E2035" s="147">
        <f>集計用!E62</f>
        <v>0</v>
      </c>
      <c r="F2035" s="147">
        <f>集計用!U62</f>
        <v>0</v>
      </c>
      <c r="G2035" s="147">
        <f>集計用!G62</f>
        <v>0</v>
      </c>
      <c r="H2035" s="147">
        <f>集計用!W62</f>
        <v>0</v>
      </c>
      <c r="I2035" s="147">
        <f>集計用!I62</f>
        <v>0</v>
      </c>
      <c r="J2035" s="147">
        <f>集計用!Y62</f>
        <v>0</v>
      </c>
      <c r="K2035" s="147">
        <f>集計用!K62</f>
        <v>0</v>
      </c>
      <c r="L2035" s="148">
        <f>集計用!AA62</f>
        <v>0</v>
      </c>
      <c r="M2035" s="154">
        <f t="shared" si="735"/>
        <v>0</v>
      </c>
      <c r="N2035" s="155">
        <f t="shared" si="736"/>
        <v>0</v>
      </c>
      <c r="O2035" s="168">
        <f>M2035/30</f>
        <v>0</v>
      </c>
      <c r="P2035" s="157">
        <f>N2035/30</f>
        <v>0</v>
      </c>
    </row>
    <row r="2036" spans="1:16">
      <c r="A2036" s="474"/>
      <c r="B2036" s="127">
        <v>7</v>
      </c>
      <c r="C2036" s="158"/>
      <c r="D2036" s="158"/>
      <c r="E2036" s="158"/>
      <c r="F2036" s="158"/>
      <c r="G2036" s="158"/>
      <c r="H2036" s="158"/>
      <c r="I2036" s="158"/>
      <c r="J2036" s="158"/>
      <c r="K2036" s="158"/>
      <c r="L2036" s="158"/>
      <c r="M2036" s="154">
        <f t="shared" si="735"/>
        <v>0</v>
      </c>
      <c r="N2036" s="155">
        <f t="shared" si="736"/>
        <v>0</v>
      </c>
      <c r="O2036" s="168">
        <f t="shared" ref="O2036:O2041" si="737">M2036/31</f>
        <v>0</v>
      </c>
      <c r="P2036" s="157">
        <f t="shared" ref="P2036:P2041" si="738">N2036/31</f>
        <v>0</v>
      </c>
    </row>
    <row r="2037" spans="1:16">
      <c r="A2037" s="474"/>
      <c r="B2037" s="127">
        <v>8</v>
      </c>
      <c r="C2037" s="158"/>
      <c r="D2037" s="158"/>
      <c r="E2037" s="158"/>
      <c r="F2037" s="158"/>
      <c r="G2037" s="158"/>
      <c r="H2037" s="158"/>
      <c r="I2037" s="158"/>
      <c r="J2037" s="158"/>
      <c r="K2037" s="158"/>
      <c r="L2037" s="159"/>
      <c r="M2037" s="177">
        <f t="shared" si="735"/>
        <v>0</v>
      </c>
      <c r="N2037" s="158">
        <f t="shared" si="736"/>
        <v>0</v>
      </c>
      <c r="O2037" s="168">
        <f t="shared" si="737"/>
        <v>0</v>
      </c>
      <c r="P2037" s="157">
        <f t="shared" si="738"/>
        <v>0</v>
      </c>
    </row>
    <row r="2038" spans="1:16">
      <c r="A2038" s="474"/>
      <c r="B2038" s="127">
        <v>9</v>
      </c>
      <c r="C2038" s="147"/>
      <c r="D2038" s="147"/>
      <c r="E2038" s="147"/>
      <c r="F2038" s="147"/>
      <c r="G2038" s="147"/>
      <c r="H2038" s="147"/>
      <c r="I2038" s="147"/>
      <c r="J2038" s="147"/>
      <c r="K2038" s="147"/>
      <c r="L2038" s="147"/>
      <c r="M2038" s="177">
        <f t="shared" ref="M2038" si="739">+C2038+E2038+G2038+I2038+K2038</f>
        <v>0</v>
      </c>
      <c r="N2038" s="158">
        <f t="shared" ref="N2038" si="740">+D2038+F2038+H2038+J2038+L2038</f>
        <v>0</v>
      </c>
      <c r="O2038" s="168">
        <f>M2038/30</f>
        <v>0</v>
      </c>
      <c r="P2038" s="157">
        <f>N2038/30</f>
        <v>0</v>
      </c>
    </row>
    <row r="2039" spans="1:16">
      <c r="A2039" s="474"/>
      <c r="B2039" s="127">
        <v>10</v>
      </c>
      <c r="C2039" s="147"/>
      <c r="D2039" s="147"/>
      <c r="E2039" s="147"/>
      <c r="F2039" s="181"/>
      <c r="G2039" s="147"/>
      <c r="H2039" s="147"/>
      <c r="I2039" s="147"/>
      <c r="J2039" s="147"/>
      <c r="K2039" s="147"/>
      <c r="L2039" s="148"/>
      <c r="M2039" s="154">
        <f t="shared" ref="M2039" si="741">+C2039+E2039+G2039+I2039+K2039</f>
        <v>0</v>
      </c>
      <c r="N2039" s="155">
        <f t="shared" ref="N2039" si="742">+D2039+F2039+H2039+J2039+L2039</f>
        <v>0</v>
      </c>
      <c r="O2039" s="168">
        <f t="shared" ref="O2039" si="743">M2039/31</f>
        <v>0</v>
      </c>
      <c r="P2039" s="157">
        <f t="shared" ref="P2039" si="744">N2039/31</f>
        <v>0</v>
      </c>
    </row>
    <row r="2040" spans="1:16">
      <c r="A2040" s="474"/>
      <c r="B2040" s="127">
        <v>11</v>
      </c>
      <c r="C2040" s="367"/>
      <c r="D2040" s="367"/>
      <c r="E2040" s="367"/>
      <c r="F2040" s="367"/>
      <c r="G2040" s="367"/>
      <c r="H2040" s="367"/>
      <c r="I2040" s="367"/>
      <c r="J2040" s="367"/>
      <c r="K2040" s="367"/>
      <c r="L2040" s="368"/>
      <c r="M2040" s="154">
        <f t="shared" si="735"/>
        <v>0</v>
      </c>
      <c r="N2040" s="155">
        <f t="shared" si="736"/>
        <v>0</v>
      </c>
      <c r="O2040" s="168">
        <f t="shared" si="737"/>
        <v>0</v>
      </c>
      <c r="P2040" s="157">
        <f t="shared" si="738"/>
        <v>0</v>
      </c>
    </row>
    <row r="2041" spans="1:16" ht="14.25" thickBot="1">
      <c r="A2041" s="475"/>
      <c r="B2041" s="127">
        <v>12</v>
      </c>
      <c r="C2041" s="187"/>
      <c r="D2041" s="187"/>
      <c r="E2041" s="187"/>
      <c r="F2041" s="188"/>
      <c r="G2041" s="187"/>
      <c r="H2041" s="187"/>
      <c r="I2041" s="187"/>
      <c r="J2041" s="187"/>
      <c r="K2041" s="187"/>
      <c r="L2041" s="189"/>
      <c r="M2041" s="154">
        <f t="shared" si="735"/>
        <v>0</v>
      </c>
      <c r="N2041" s="155">
        <f t="shared" si="736"/>
        <v>0</v>
      </c>
      <c r="O2041" s="168">
        <f t="shared" si="737"/>
        <v>0</v>
      </c>
      <c r="P2041" s="157">
        <f t="shared" si="738"/>
        <v>0</v>
      </c>
    </row>
    <row r="2042" spans="1:16" ht="14.25" thickBot="1">
      <c r="A2042" s="180"/>
      <c r="B2042" s="160" t="s">
        <v>5</v>
      </c>
      <c r="C2042" s="161">
        <f>SUM(C2006:C2041)</f>
        <v>25</v>
      </c>
      <c r="D2042" s="161">
        <f t="shared" ref="D2042:K2042" si="745">SUM(D2006:D2041)</f>
        <v>57</v>
      </c>
      <c r="E2042" s="161">
        <f t="shared" si="745"/>
        <v>0</v>
      </c>
      <c r="F2042" s="161">
        <f t="shared" si="745"/>
        <v>0</v>
      </c>
      <c r="G2042" s="161">
        <f t="shared" si="745"/>
        <v>27</v>
      </c>
      <c r="H2042" s="161">
        <f t="shared" si="745"/>
        <v>60</v>
      </c>
      <c r="I2042" s="161">
        <f t="shared" si="745"/>
        <v>9</v>
      </c>
      <c r="J2042" s="161">
        <f t="shared" si="745"/>
        <v>34</v>
      </c>
      <c r="K2042" s="161">
        <f t="shared" si="745"/>
        <v>0</v>
      </c>
      <c r="L2042" s="161">
        <f>SUM(L2006:L2041)</f>
        <v>0</v>
      </c>
      <c r="M2042" s="162">
        <f>SUM(M2006:M2041)</f>
        <v>61</v>
      </c>
      <c r="N2042" s="161">
        <f>SUM(N2006:N2041)</f>
        <v>151</v>
      </c>
      <c r="O2042" s="161">
        <f>SUM(O2006:O2041)</f>
        <v>1.9741935483870967</v>
      </c>
      <c r="P2042" s="161">
        <f>SUM(P2006:P2041)</f>
        <v>4.903225806451613</v>
      </c>
    </row>
    <row r="2044" spans="1:16">
      <c r="B2044" s="467" t="s">
        <v>169</v>
      </c>
      <c r="C2044" s="469" t="s">
        <v>29</v>
      </c>
      <c r="D2044" s="470"/>
      <c r="E2044" s="469" t="s">
        <v>30</v>
      </c>
      <c r="F2044" s="470"/>
      <c r="G2044" s="469" t="s">
        <v>31</v>
      </c>
      <c r="H2044" s="470"/>
      <c r="I2044" s="469" t="s">
        <v>58</v>
      </c>
      <c r="J2044" s="470"/>
      <c r="K2044" s="469" t="s">
        <v>57</v>
      </c>
      <c r="L2044" s="471"/>
      <c r="M2044" s="470" t="s">
        <v>5</v>
      </c>
      <c r="N2044" s="472"/>
      <c r="O2044" s="472" t="s">
        <v>33</v>
      </c>
      <c r="P2044" s="472"/>
    </row>
    <row r="2045" spans="1:16" ht="14.25" thickBot="1">
      <c r="B2045" s="468"/>
      <c r="C2045" s="13" t="s">
        <v>34</v>
      </c>
      <c r="D2045" s="13" t="s">
        <v>35</v>
      </c>
      <c r="E2045" s="13" t="s">
        <v>34</v>
      </c>
      <c r="F2045" s="13" t="s">
        <v>35</v>
      </c>
      <c r="G2045" s="13" t="s">
        <v>34</v>
      </c>
      <c r="H2045" s="13" t="s">
        <v>35</v>
      </c>
      <c r="I2045" s="13" t="s">
        <v>59</v>
      </c>
      <c r="J2045" s="13" t="s">
        <v>60</v>
      </c>
      <c r="K2045" s="13" t="s">
        <v>34</v>
      </c>
      <c r="L2045" s="14" t="s">
        <v>35</v>
      </c>
      <c r="M2045" s="15" t="s">
        <v>34</v>
      </c>
      <c r="N2045" s="13" t="s">
        <v>35</v>
      </c>
      <c r="O2045" s="163" t="s">
        <v>34</v>
      </c>
      <c r="P2045" s="163" t="s">
        <v>35</v>
      </c>
    </row>
    <row r="2046" spans="1:16">
      <c r="A2046" s="473">
        <v>2018</v>
      </c>
      <c r="B2046" s="410">
        <v>1</v>
      </c>
      <c r="C2046" s="422">
        <v>0</v>
      </c>
      <c r="D2046" s="422">
        <v>0</v>
      </c>
      <c r="E2046" s="422">
        <v>0</v>
      </c>
      <c r="F2046" s="422">
        <v>0</v>
      </c>
      <c r="G2046" s="422">
        <v>0</v>
      </c>
      <c r="H2046" s="422">
        <v>0</v>
      </c>
      <c r="I2046" s="422">
        <v>0</v>
      </c>
      <c r="J2046" s="422">
        <v>0</v>
      </c>
      <c r="K2046" s="422">
        <v>0</v>
      </c>
      <c r="L2046" s="432">
        <v>0</v>
      </c>
      <c r="M2046" s="424">
        <f t="shared" ref="M2046:M2065" si="746">+C2046+E2046+G2046+I2046+K2046</f>
        <v>0</v>
      </c>
      <c r="N2046" s="425">
        <f t="shared" ref="N2046:N2065" si="747">+D2046+F2046+H2046+J2046+L2046</f>
        <v>0</v>
      </c>
      <c r="O2046" s="430">
        <f t="shared" ref="O2046:P2050" si="748">M2046/31</f>
        <v>0</v>
      </c>
      <c r="P2046" s="427">
        <f t="shared" si="748"/>
        <v>0</v>
      </c>
    </row>
    <row r="2047" spans="1:16">
      <c r="A2047" s="474"/>
      <c r="B2047" s="127">
        <v>2</v>
      </c>
      <c r="C2047" s="147">
        <v>0</v>
      </c>
      <c r="D2047" s="147">
        <v>0</v>
      </c>
      <c r="E2047" s="147">
        <v>0</v>
      </c>
      <c r="F2047" s="147">
        <v>0</v>
      </c>
      <c r="G2047" s="147">
        <v>0</v>
      </c>
      <c r="H2047" s="147">
        <v>0</v>
      </c>
      <c r="I2047" s="147">
        <v>0</v>
      </c>
      <c r="J2047" s="147">
        <v>0</v>
      </c>
      <c r="K2047" s="147">
        <v>0</v>
      </c>
      <c r="L2047" s="174">
        <v>0</v>
      </c>
      <c r="M2047" s="149">
        <f t="shared" si="746"/>
        <v>0</v>
      </c>
      <c r="N2047" s="150">
        <f t="shared" si="747"/>
        <v>0</v>
      </c>
      <c r="O2047" s="167">
        <f t="shared" si="748"/>
        <v>0</v>
      </c>
      <c r="P2047" s="152">
        <f t="shared" si="748"/>
        <v>0</v>
      </c>
    </row>
    <row r="2048" spans="1:16">
      <c r="A2048" s="474"/>
      <c r="B2048" s="127">
        <v>3</v>
      </c>
      <c r="C2048" s="147">
        <v>0</v>
      </c>
      <c r="D2048" s="147">
        <v>0</v>
      </c>
      <c r="E2048" s="147">
        <v>0</v>
      </c>
      <c r="F2048" s="147">
        <v>0</v>
      </c>
      <c r="G2048" s="147">
        <v>0</v>
      </c>
      <c r="H2048" s="147">
        <v>0</v>
      </c>
      <c r="I2048" s="147">
        <v>0</v>
      </c>
      <c r="J2048" s="147">
        <v>0</v>
      </c>
      <c r="K2048" s="147">
        <v>0</v>
      </c>
      <c r="L2048" s="174">
        <v>0</v>
      </c>
      <c r="M2048" s="149">
        <f t="shared" si="746"/>
        <v>0</v>
      </c>
      <c r="N2048" s="150">
        <f t="shared" si="747"/>
        <v>0</v>
      </c>
      <c r="O2048" s="167">
        <f t="shared" si="748"/>
        <v>0</v>
      </c>
      <c r="P2048" s="152">
        <f t="shared" si="748"/>
        <v>0</v>
      </c>
    </row>
    <row r="2049" spans="1:16">
      <c r="A2049" s="474"/>
      <c r="B2049" s="127">
        <v>4</v>
      </c>
      <c r="C2049" s="158">
        <v>0</v>
      </c>
      <c r="D2049" s="158">
        <v>0</v>
      </c>
      <c r="E2049" s="158">
        <v>0</v>
      </c>
      <c r="F2049" s="158">
        <v>0</v>
      </c>
      <c r="G2049" s="158">
        <v>0</v>
      </c>
      <c r="H2049" s="158">
        <v>0</v>
      </c>
      <c r="I2049" s="158">
        <v>0</v>
      </c>
      <c r="J2049" s="158">
        <v>0</v>
      </c>
      <c r="K2049" s="158">
        <v>0</v>
      </c>
      <c r="L2049" s="159">
        <v>0</v>
      </c>
      <c r="M2049" s="154">
        <f t="shared" si="746"/>
        <v>0</v>
      </c>
      <c r="N2049" s="155">
        <f t="shared" si="747"/>
        <v>0</v>
      </c>
      <c r="O2049" s="168">
        <f t="shared" si="748"/>
        <v>0</v>
      </c>
      <c r="P2049" s="157">
        <f t="shared" si="748"/>
        <v>0</v>
      </c>
    </row>
    <row r="2050" spans="1:16">
      <c r="A2050" s="474"/>
      <c r="B2050" s="127">
        <v>5</v>
      </c>
      <c r="C2050" s="158">
        <v>0</v>
      </c>
      <c r="D2050" s="158">
        <v>0</v>
      </c>
      <c r="E2050" s="158">
        <v>0</v>
      </c>
      <c r="F2050" s="158">
        <v>0</v>
      </c>
      <c r="G2050" s="158">
        <v>1</v>
      </c>
      <c r="H2050" s="158">
        <v>0</v>
      </c>
      <c r="I2050" s="158">
        <v>0</v>
      </c>
      <c r="J2050" s="158">
        <v>0</v>
      </c>
      <c r="K2050" s="158">
        <v>0</v>
      </c>
      <c r="L2050" s="159">
        <v>0</v>
      </c>
      <c r="M2050" s="154">
        <f t="shared" si="746"/>
        <v>1</v>
      </c>
      <c r="N2050" s="155">
        <f t="shared" si="747"/>
        <v>0</v>
      </c>
      <c r="O2050" s="168">
        <f t="shared" si="748"/>
        <v>3.2258064516129031E-2</v>
      </c>
      <c r="P2050" s="157">
        <f t="shared" si="748"/>
        <v>0</v>
      </c>
    </row>
    <row r="2051" spans="1:16">
      <c r="A2051" s="474"/>
      <c r="B2051" s="127">
        <v>6</v>
      </c>
      <c r="C2051" s="158">
        <v>0</v>
      </c>
      <c r="D2051" s="158">
        <v>0</v>
      </c>
      <c r="E2051" s="158">
        <v>0</v>
      </c>
      <c r="F2051" s="158">
        <v>0</v>
      </c>
      <c r="G2051" s="158">
        <v>0</v>
      </c>
      <c r="H2051" s="158">
        <v>0</v>
      </c>
      <c r="I2051" s="158">
        <v>2</v>
      </c>
      <c r="J2051" s="158">
        <v>14</v>
      </c>
      <c r="K2051" s="158">
        <v>0</v>
      </c>
      <c r="L2051" s="158">
        <v>0</v>
      </c>
      <c r="M2051" s="154">
        <f t="shared" si="746"/>
        <v>2</v>
      </c>
      <c r="N2051" s="155">
        <f t="shared" si="747"/>
        <v>14</v>
      </c>
      <c r="O2051" s="168">
        <f>M2051/30</f>
        <v>6.6666666666666666E-2</v>
      </c>
      <c r="P2051" s="157">
        <f>N2051/30</f>
        <v>0.46666666666666667</v>
      </c>
    </row>
    <row r="2052" spans="1:16">
      <c r="A2052" s="474"/>
      <c r="B2052" s="127">
        <v>7</v>
      </c>
      <c r="C2052" s="158">
        <v>2</v>
      </c>
      <c r="D2052" s="158">
        <v>4</v>
      </c>
      <c r="E2052" s="158">
        <v>3</v>
      </c>
      <c r="F2052" s="158">
        <v>8</v>
      </c>
      <c r="G2052" s="158">
        <v>0</v>
      </c>
      <c r="H2052" s="158">
        <v>0</v>
      </c>
      <c r="I2052" s="158">
        <v>0</v>
      </c>
      <c r="J2052" s="158">
        <v>0</v>
      </c>
      <c r="K2052" s="158">
        <v>0</v>
      </c>
      <c r="L2052" s="158">
        <v>0</v>
      </c>
      <c r="M2052" s="154">
        <f t="shared" si="746"/>
        <v>5</v>
      </c>
      <c r="N2052" s="155">
        <f t="shared" si="747"/>
        <v>12</v>
      </c>
      <c r="O2052" s="168">
        <f t="shared" ref="O2052:P2074" si="749">M2052/31</f>
        <v>0.16129032258064516</v>
      </c>
      <c r="P2052" s="157">
        <f t="shared" si="749"/>
        <v>0.38709677419354838</v>
      </c>
    </row>
    <row r="2053" spans="1:16">
      <c r="A2053" s="474"/>
      <c r="B2053" s="127">
        <v>8</v>
      </c>
      <c r="C2053" s="158">
        <v>7</v>
      </c>
      <c r="D2053" s="158">
        <v>19</v>
      </c>
      <c r="E2053" s="158">
        <v>0</v>
      </c>
      <c r="F2053" s="158">
        <v>0</v>
      </c>
      <c r="G2053" s="158">
        <v>0</v>
      </c>
      <c r="H2053" s="158">
        <v>0</v>
      </c>
      <c r="I2053" s="158">
        <v>0</v>
      </c>
      <c r="J2053" s="158">
        <v>0</v>
      </c>
      <c r="K2053" s="158">
        <v>0</v>
      </c>
      <c r="L2053" s="159">
        <v>0</v>
      </c>
      <c r="M2053" s="177">
        <f t="shared" si="746"/>
        <v>7</v>
      </c>
      <c r="N2053" s="158">
        <f t="shared" si="747"/>
        <v>19</v>
      </c>
      <c r="O2053" s="168">
        <f t="shared" si="749"/>
        <v>0.22580645161290322</v>
      </c>
      <c r="P2053" s="157">
        <f t="shared" si="749"/>
        <v>0.61290322580645162</v>
      </c>
    </row>
    <row r="2054" spans="1:16">
      <c r="A2054" s="474"/>
      <c r="B2054" s="127">
        <v>9</v>
      </c>
      <c r="C2054" s="147">
        <v>0</v>
      </c>
      <c r="D2054" s="147">
        <v>0</v>
      </c>
      <c r="E2054" s="147">
        <v>0</v>
      </c>
      <c r="F2054" s="147">
        <v>0</v>
      </c>
      <c r="G2054" s="147">
        <v>0</v>
      </c>
      <c r="H2054" s="147">
        <v>0</v>
      </c>
      <c r="I2054" s="147">
        <v>0</v>
      </c>
      <c r="J2054" s="147">
        <v>0</v>
      </c>
      <c r="K2054" s="147">
        <v>0</v>
      </c>
      <c r="L2054" s="147">
        <v>0</v>
      </c>
      <c r="M2054" s="177">
        <f t="shared" si="746"/>
        <v>0</v>
      </c>
      <c r="N2054" s="158">
        <f t="shared" si="747"/>
        <v>0</v>
      </c>
      <c r="O2054" s="168">
        <f t="shared" si="749"/>
        <v>0</v>
      </c>
      <c r="P2054" s="157">
        <f t="shared" si="749"/>
        <v>0</v>
      </c>
    </row>
    <row r="2055" spans="1:16">
      <c r="A2055" s="474"/>
      <c r="B2055" s="127">
        <v>10</v>
      </c>
      <c r="C2055" s="147">
        <v>0</v>
      </c>
      <c r="D2055" s="147">
        <v>0</v>
      </c>
      <c r="E2055" s="147">
        <v>0</v>
      </c>
      <c r="F2055" s="181">
        <v>0</v>
      </c>
      <c r="G2055" s="147">
        <v>0</v>
      </c>
      <c r="H2055" s="147">
        <v>0</v>
      </c>
      <c r="I2055" s="147">
        <v>1</v>
      </c>
      <c r="J2055" s="147">
        <v>2</v>
      </c>
      <c r="K2055" s="147">
        <v>0</v>
      </c>
      <c r="L2055" s="148">
        <v>0</v>
      </c>
      <c r="M2055" s="154">
        <f t="shared" si="746"/>
        <v>1</v>
      </c>
      <c r="N2055" s="155">
        <f t="shared" si="747"/>
        <v>2</v>
      </c>
      <c r="O2055" s="168">
        <f t="shared" si="749"/>
        <v>3.2258064516129031E-2</v>
      </c>
      <c r="P2055" s="157">
        <f t="shared" si="749"/>
        <v>6.4516129032258063E-2</v>
      </c>
    </row>
    <row r="2056" spans="1:16">
      <c r="A2056" s="474"/>
      <c r="B2056" s="127">
        <v>11</v>
      </c>
      <c r="C2056" s="367">
        <v>2</v>
      </c>
      <c r="D2056" s="367">
        <v>0</v>
      </c>
      <c r="E2056" s="367">
        <v>0</v>
      </c>
      <c r="F2056" s="367">
        <v>0</v>
      </c>
      <c r="G2056" s="367">
        <v>2</v>
      </c>
      <c r="H2056" s="367">
        <v>0</v>
      </c>
      <c r="I2056" s="367">
        <v>0</v>
      </c>
      <c r="J2056" s="367">
        <v>0</v>
      </c>
      <c r="K2056" s="367">
        <v>0</v>
      </c>
      <c r="L2056" s="368">
        <v>0</v>
      </c>
      <c r="M2056" s="154">
        <f t="shared" si="746"/>
        <v>4</v>
      </c>
      <c r="N2056" s="155">
        <f t="shared" si="747"/>
        <v>0</v>
      </c>
      <c r="O2056" s="168">
        <f t="shared" si="749"/>
        <v>0.12903225806451613</v>
      </c>
      <c r="P2056" s="157">
        <f t="shared" si="749"/>
        <v>0</v>
      </c>
    </row>
    <row r="2057" spans="1:16" ht="14.25" thickBot="1">
      <c r="A2057" s="475"/>
      <c r="B2057" s="127">
        <v>12</v>
      </c>
      <c r="C2057" s="187">
        <v>4</v>
      </c>
      <c r="D2057" s="187">
        <v>4</v>
      </c>
      <c r="E2057" s="187">
        <v>0</v>
      </c>
      <c r="F2057" s="188">
        <v>0</v>
      </c>
      <c r="G2057" s="187">
        <v>1</v>
      </c>
      <c r="H2057" s="187">
        <v>6</v>
      </c>
      <c r="I2057" s="187">
        <v>4</v>
      </c>
      <c r="J2057" s="187">
        <v>12</v>
      </c>
      <c r="K2057" s="187">
        <v>0</v>
      </c>
      <c r="L2057" s="189">
        <v>0</v>
      </c>
      <c r="M2057" s="154">
        <f t="shared" si="746"/>
        <v>9</v>
      </c>
      <c r="N2057" s="155">
        <f t="shared" si="747"/>
        <v>22</v>
      </c>
      <c r="O2057" s="168">
        <f t="shared" si="749"/>
        <v>0.29032258064516131</v>
      </c>
      <c r="P2057" s="157">
        <f t="shared" si="749"/>
        <v>0.70967741935483875</v>
      </c>
    </row>
    <row r="2058" spans="1:16">
      <c r="A2058" s="473">
        <v>2019</v>
      </c>
      <c r="B2058" s="410">
        <v>1</v>
      </c>
      <c r="C2058" s="422">
        <v>0</v>
      </c>
      <c r="D2058" s="422">
        <v>2</v>
      </c>
      <c r="E2058" s="422">
        <v>2</v>
      </c>
      <c r="F2058" s="422">
        <v>2</v>
      </c>
      <c r="G2058" s="422">
        <v>2</v>
      </c>
      <c r="H2058" s="422">
        <v>3</v>
      </c>
      <c r="I2058" s="422">
        <v>4</v>
      </c>
      <c r="J2058" s="422">
        <v>14</v>
      </c>
      <c r="K2058" s="422">
        <v>0</v>
      </c>
      <c r="L2058" s="432">
        <v>0</v>
      </c>
      <c r="M2058" s="424">
        <f t="shared" si="746"/>
        <v>8</v>
      </c>
      <c r="N2058" s="425">
        <f t="shared" si="747"/>
        <v>21</v>
      </c>
      <c r="O2058" s="430">
        <f t="shared" ref="O2058:O2062" si="750">M2058/31</f>
        <v>0.25806451612903225</v>
      </c>
      <c r="P2058" s="427">
        <f t="shared" ref="P2058:P2062" si="751">N2058/31</f>
        <v>0.67741935483870963</v>
      </c>
    </row>
    <row r="2059" spans="1:16">
      <c r="A2059" s="474"/>
      <c r="B2059" s="127">
        <v>2</v>
      </c>
      <c r="C2059" s="147">
        <v>0</v>
      </c>
      <c r="D2059" s="147">
        <v>0</v>
      </c>
      <c r="E2059" s="147">
        <v>0</v>
      </c>
      <c r="F2059" s="147">
        <v>0</v>
      </c>
      <c r="G2059" s="147">
        <v>0</v>
      </c>
      <c r="H2059" s="147">
        <v>0</v>
      </c>
      <c r="I2059" s="147">
        <v>0</v>
      </c>
      <c r="J2059" s="147">
        <v>0</v>
      </c>
      <c r="K2059" s="147">
        <v>0</v>
      </c>
      <c r="L2059" s="174">
        <v>0</v>
      </c>
      <c r="M2059" s="149">
        <f t="shared" si="746"/>
        <v>0</v>
      </c>
      <c r="N2059" s="150">
        <f t="shared" si="747"/>
        <v>0</v>
      </c>
      <c r="O2059" s="167">
        <f t="shared" si="750"/>
        <v>0</v>
      </c>
      <c r="P2059" s="152">
        <f t="shared" si="751"/>
        <v>0</v>
      </c>
    </row>
    <row r="2060" spans="1:16">
      <c r="A2060" s="474"/>
      <c r="B2060" s="127">
        <v>3</v>
      </c>
      <c r="C2060" s="147">
        <v>0</v>
      </c>
      <c r="D2060" s="147">
        <v>0</v>
      </c>
      <c r="E2060" s="147">
        <v>0</v>
      </c>
      <c r="F2060" s="147">
        <v>0</v>
      </c>
      <c r="G2060" s="147">
        <v>0</v>
      </c>
      <c r="H2060" s="147">
        <v>0</v>
      </c>
      <c r="I2060" s="147">
        <v>1</v>
      </c>
      <c r="J2060" s="147">
        <v>3</v>
      </c>
      <c r="K2060" s="147">
        <v>0</v>
      </c>
      <c r="L2060" s="174">
        <v>0</v>
      </c>
      <c r="M2060" s="149">
        <f t="shared" si="746"/>
        <v>1</v>
      </c>
      <c r="N2060" s="150">
        <f t="shared" si="747"/>
        <v>3</v>
      </c>
      <c r="O2060" s="167">
        <f t="shared" si="750"/>
        <v>3.2258064516129031E-2</v>
      </c>
      <c r="P2060" s="152">
        <f t="shared" si="751"/>
        <v>9.6774193548387094E-2</v>
      </c>
    </row>
    <row r="2061" spans="1:16">
      <c r="A2061" s="474"/>
      <c r="B2061" s="127">
        <v>4</v>
      </c>
      <c r="C2061" s="158">
        <v>0</v>
      </c>
      <c r="D2061" s="158">
        <v>0</v>
      </c>
      <c r="E2061" s="158">
        <v>0</v>
      </c>
      <c r="F2061" s="158">
        <v>0</v>
      </c>
      <c r="G2061" s="158">
        <v>0</v>
      </c>
      <c r="H2061" s="158">
        <v>0</v>
      </c>
      <c r="I2061" s="158">
        <v>0</v>
      </c>
      <c r="J2061" s="158">
        <v>0</v>
      </c>
      <c r="K2061" s="158">
        <v>0</v>
      </c>
      <c r="L2061" s="159">
        <v>0</v>
      </c>
      <c r="M2061" s="154">
        <f t="shared" si="746"/>
        <v>0</v>
      </c>
      <c r="N2061" s="155">
        <f t="shared" si="747"/>
        <v>0</v>
      </c>
      <c r="O2061" s="168">
        <f t="shared" si="750"/>
        <v>0</v>
      </c>
      <c r="P2061" s="157">
        <f t="shared" si="751"/>
        <v>0</v>
      </c>
    </row>
    <row r="2062" spans="1:16">
      <c r="A2062" s="474"/>
      <c r="B2062" s="127">
        <v>5</v>
      </c>
      <c r="C2062" s="158">
        <v>0</v>
      </c>
      <c r="D2062" s="158">
        <v>0</v>
      </c>
      <c r="E2062" s="158">
        <v>0</v>
      </c>
      <c r="F2062" s="158">
        <v>0</v>
      </c>
      <c r="G2062" s="158">
        <v>0</v>
      </c>
      <c r="H2062" s="158">
        <v>0</v>
      </c>
      <c r="I2062" s="158">
        <v>1</v>
      </c>
      <c r="J2062" s="158">
        <v>0</v>
      </c>
      <c r="K2062" s="158">
        <v>0</v>
      </c>
      <c r="L2062" s="159">
        <v>0</v>
      </c>
      <c r="M2062" s="154">
        <f t="shared" si="746"/>
        <v>1</v>
      </c>
      <c r="N2062" s="155">
        <f t="shared" si="747"/>
        <v>0</v>
      </c>
      <c r="O2062" s="168">
        <f t="shared" si="750"/>
        <v>3.2258064516129031E-2</v>
      </c>
      <c r="P2062" s="157">
        <f t="shared" si="751"/>
        <v>0</v>
      </c>
    </row>
    <row r="2063" spans="1:16">
      <c r="A2063" s="474"/>
      <c r="B2063" s="127">
        <v>6</v>
      </c>
      <c r="C2063" s="158">
        <v>0</v>
      </c>
      <c r="D2063" s="158">
        <v>0</v>
      </c>
      <c r="E2063" s="158">
        <v>0</v>
      </c>
      <c r="F2063" s="158">
        <v>0</v>
      </c>
      <c r="G2063" s="158">
        <v>0</v>
      </c>
      <c r="H2063" s="158">
        <v>0</v>
      </c>
      <c r="I2063" s="158">
        <v>2</v>
      </c>
      <c r="J2063" s="158">
        <v>7</v>
      </c>
      <c r="K2063" s="158">
        <v>0</v>
      </c>
      <c r="L2063" s="158">
        <v>0</v>
      </c>
      <c r="M2063" s="154">
        <f t="shared" si="746"/>
        <v>2</v>
      </c>
      <c r="N2063" s="155">
        <f t="shared" si="747"/>
        <v>7</v>
      </c>
      <c r="O2063" s="168">
        <f>M2063/30</f>
        <v>6.6666666666666666E-2</v>
      </c>
      <c r="P2063" s="157">
        <f>N2063/30</f>
        <v>0.23333333333333334</v>
      </c>
    </row>
    <row r="2064" spans="1:16">
      <c r="A2064" s="474"/>
      <c r="B2064" s="127">
        <v>7</v>
      </c>
      <c r="C2064" s="158">
        <v>1</v>
      </c>
      <c r="D2064" s="158">
        <v>0</v>
      </c>
      <c r="E2064" s="158">
        <v>0</v>
      </c>
      <c r="F2064" s="158">
        <v>0</v>
      </c>
      <c r="G2064" s="158">
        <v>0</v>
      </c>
      <c r="H2064" s="158">
        <v>0</v>
      </c>
      <c r="I2064" s="158">
        <v>0</v>
      </c>
      <c r="J2064" s="158">
        <v>0</v>
      </c>
      <c r="K2064" s="158">
        <v>0</v>
      </c>
      <c r="L2064" s="158">
        <v>0</v>
      </c>
      <c r="M2064" s="154">
        <f t="shared" si="746"/>
        <v>1</v>
      </c>
      <c r="N2064" s="155">
        <f t="shared" si="747"/>
        <v>0</v>
      </c>
      <c r="O2064" s="168">
        <f t="shared" ref="O2064:O2065" si="752">M2064/31</f>
        <v>3.2258064516129031E-2</v>
      </c>
      <c r="P2064" s="157">
        <f t="shared" ref="P2064:P2065" si="753">N2064/31</f>
        <v>0</v>
      </c>
    </row>
    <row r="2065" spans="1:16">
      <c r="A2065" s="474"/>
      <c r="B2065" s="127">
        <v>8</v>
      </c>
      <c r="C2065" s="158">
        <v>0</v>
      </c>
      <c r="D2065" s="158">
        <v>1</v>
      </c>
      <c r="E2065" s="158">
        <v>0</v>
      </c>
      <c r="F2065" s="158">
        <v>0</v>
      </c>
      <c r="G2065" s="158">
        <v>0</v>
      </c>
      <c r="H2065" s="158">
        <v>0</v>
      </c>
      <c r="I2065" s="158">
        <v>0</v>
      </c>
      <c r="J2065" s="158">
        <v>0</v>
      </c>
      <c r="K2065" s="158">
        <v>0</v>
      </c>
      <c r="L2065" s="159">
        <v>0</v>
      </c>
      <c r="M2065" s="177">
        <f t="shared" si="746"/>
        <v>0</v>
      </c>
      <c r="N2065" s="158">
        <f t="shared" si="747"/>
        <v>1</v>
      </c>
      <c r="O2065" s="168">
        <f t="shared" si="752"/>
        <v>0</v>
      </c>
      <c r="P2065" s="157">
        <f t="shared" si="753"/>
        <v>3.2258064516129031E-2</v>
      </c>
    </row>
    <row r="2066" spans="1:16">
      <c r="A2066" s="474"/>
      <c r="B2066" s="127">
        <v>9</v>
      </c>
      <c r="C2066" s="147">
        <v>0</v>
      </c>
      <c r="D2066" s="147">
        <v>0</v>
      </c>
      <c r="E2066" s="147">
        <v>0</v>
      </c>
      <c r="F2066" s="147">
        <v>0</v>
      </c>
      <c r="G2066" s="147">
        <v>0</v>
      </c>
      <c r="H2066" s="147">
        <v>0</v>
      </c>
      <c r="I2066" s="147">
        <v>1</v>
      </c>
      <c r="J2066" s="147">
        <v>0</v>
      </c>
      <c r="K2066" s="147">
        <v>0</v>
      </c>
      <c r="L2066" s="147">
        <v>0</v>
      </c>
      <c r="M2066" s="177">
        <v>1</v>
      </c>
      <c r="N2066" s="158">
        <v>0</v>
      </c>
      <c r="O2066" s="168">
        <v>3.2258064516129031E-2</v>
      </c>
      <c r="P2066" s="157">
        <v>0</v>
      </c>
    </row>
    <row r="2067" spans="1:16">
      <c r="A2067" s="474"/>
      <c r="B2067" s="127">
        <v>10</v>
      </c>
      <c r="C2067" s="147">
        <v>4</v>
      </c>
      <c r="D2067" s="147">
        <v>3</v>
      </c>
      <c r="E2067" s="147">
        <v>0</v>
      </c>
      <c r="F2067" s="181">
        <v>0</v>
      </c>
      <c r="G2067" s="147">
        <v>0</v>
      </c>
      <c r="H2067" s="147">
        <v>0</v>
      </c>
      <c r="I2067" s="147">
        <v>4</v>
      </c>
      <c r="J2067" s="147">
        <v>12</v>
      </c>
      <c r="K2067" s="147">
        <v>0</v>
      </c>
      <c r="L2067" s="148">
        <v>0</v>
      </c>
      <c r="M2067" s="154">
        <f t="shared" ref="M2067:M2069" si="754">+C2067+E2067+G2067+I2067+K2067</f>
        <v>8</v>
      </c>
      <c r="N2067" s="155">
        <f t="shared" ref="N2067:N2069" si="755">+D2067+F2067+H2067+J2067+L2067</f>
        <v>15</v>
      </c>
      <c r="O2067" s="168">
        <f t="shared" ref="O2067:O2069" si="756">M2067/31</f>
        <v>0.25806451612903225</v>
      </c>
      <c r="P2067" s="157">
        <f t="shared" ref="P2067:P2069" si="757">N2067/31</f>
        <v>0.4838709677419355</v>
      </c>
    </row>
    <row r="2068" spans="1:16">
      <c r="A2068" s="474"/>
      <c r="B2068" s="127">
        <v>11</v>
      </c>
      <c r="C2068" s="367">
        <v>1</v>
      </c>
      <c r="D2068" s="367">
        <v>4</v>
      </c>
      <c r="E2068" s="367">
        <v>1</v>
      </c>
      <c r="F2068" s="367">
        <v>2</v>
      </c>
      <c r="G2068" s="367">
        <v>0</v>
      </c>
      <c r="H2068" s="367">
        <v>0</v>
      </c>
      <c r="I2068" s="367">
        <v>1</v>
      </c>
      <c r="J2068" s="367">
        <v>2</v>
      </c>
      <c r="K2068" s="367">
        <v>0</v>
      </c>
      <c r="L2068" s="368">
        <v>0</v>
      </c>
      <c r="M2068" s="154">
        <f t="shared" si="754"/>
        <v>3</v>
      </c>
      <c r="N2068" s="155">
        <f t="shared" si="755"/>
        <v>8</v>
      </c>
      <c r="O2068" s="168">
        <f t="shared" si="756"/>
        <v>9.6774193548387094E-2</v>
      </c>
      <c r="P2068" s="157">
        <f t="shared" si="757"/>
        <v>0.25806451612903225</v>
      </c>
    </row>
    <row r="2069" spans="1:16" ht="14.25" thickBot="1">
      <c r="A2069" s="475"/>
      <c r="B2069" s="127">
        <v>12</v>
      </c>
      <c r="C2069" s="187">
        <v>0</v>
      </c>
      <c r="D2069" s="187">
        <v>2</v>
      </c>
      <c r="E2069" s="187">
        <v>0</v>
      </c>
      <c r="F2069" s="188">
        <v>0</v>
      </c>
      <c r="G2069" s="187">
        <v>1</v>
      </c>
      <c r="H2069" s="187">
        <v>0</v>
      </c>
      <c r="I2069" s="187">
        <v>5</v>
      </c>
      <c r="J2069" s="187">
        <v>0</v>
      </c>
      <c r="K2069" s="187">
        <v>0</v>
      </c>
      <c r="L2069" s="189">
        <v>0</v>
      </c>
      <c r="M2069" s="154">
        <f t="shared" si="754"/>
        <v>6</v>
      </c>
      <c r="N2069" s="155">
        <f t="shared" si="755"/>
        <v>2</v>
      </c>
      <c r="O2069" s="168">
        <f t="shared" si="756"/>
        <v>0.19354838709677419</v>
      </c>
      <c r="P2069" s="157">
        <f t="shared" si="757"/>
        <v>6.4516129032258063E-2</v>
      </c>
    </row>
    <row r="2070" spans="1:16">
      <c r="A2070" s="473">
        <v>2020</v>
      </c>
      <c r="B2070" s="410">
        <v>1</v>
      </c>
      <c r="C2070" s="434">
        <v>2</v>
      </c>
      <c r="D2070" s="434">
        <v>2</v>
      </c>
      <c r="E2070" s="434">
        <v>0</v>
      </c>
      <c r="F2070" s="434">
        <v>0</v>
      </c>
      <c r="G2070" s="434">
        <v>5</v>
      </c>
      <c r="H2070" s="434">
        <v>10</v>
      </c>
      <c r="I2070" s="434">
        <v>5</v>
      </c>
      <c r="J2070" s="434">
        <v>33</v>
      </c>
      <c r="K2070" s="434">
        <v>0</v>
      </c>
      <c r="L2070" s="436">
        <v>0</v>
      </c>
      <c r="M2070" s="424">
        <f t="shared" ref="M2070:M2081" si="758">+C2070+E2070+G2070+I2070+K2070</f>
        <v>12</v>
      </c>
      <c r="N2070" s="425">
        <f t="shared" ref="N2070:N2081" si="759">+D2070+F2070+H2070+J2070+L2070</f>
        <v>45</v>
      </c>
      <c r="O2070" s="430">
        <f t="shared" si="749"/>
        <v>0.38709677419354838</v>
      </c>
      <c r="P2070" s="427">
        <f t="shared" si="749"/>
        <v>1.4516129032258065</v>
      </c>
    </row>
    <row r="2071" spans="1:16">
      <c r="A2071" s="474"/>
      <c r="B2071" s="127">
        <v>2</v>
      </c>
      <c r="C2071" s="147">
        <v>0</v>
      </c>
      <c r="D2071" s="147">
        <v>0</v>
      </c>
      <c r="E2071" s="147">
        <v>0</v>
      </c>
      <c r="F2071" s="147">
        <v>0</v>
      </c>
      <c r="G2071" s="147">
        <v>4</v>
      </c>
      <c r="H2071" s="147">
        <v>8</v>
      </c>
      <c r="I2071" s="147">
        <v>0</v>
      </c>
      <c r="J2071" s="147">
        <v>0</v>
      </c>
      <c r="K2071" s="147">
        <v>0</v>
      </c>
      <c r="L2071" s="148">
        <v>0</v>
      </c>
      <c r="M2071" s="149">
        <f t="shared" si="758"/>
        <v>4</v>
      </c>
      <c r="N2071" s="150">
        <f t="shared" si="759"/>
        <v>8</v>
      </c>
      <c r="O2071" s="167">
        <f t="shared" si="749"/>
        <v>0.12903225806451613</v>
      </c>
      <c r="P2071" s="152">
        <f t="shared" si="749"/>
        <v>0.25806451612903225</v>
      </c>
    </row>
    <row r="2072" spans="1:16">
      <c r="A2072" s="474"/>
      <c r="B2072" s="127">
        <v>3</v>
      </c>
      <c r="C2072" s="147">
        <v>0</v>
      </c>
      <c r="D2072" s="147">
        <v>0</v>
      </c>
      <c r="E2072" s="147">
        <v>0</v>
      </c>
      <c r="F2072" s="147">
        <v>0</v>
      </c>
      <c r="G2072" s="147">
        <v>0</v>
      </c>
      <c r="H2072" s="147">
        <v>0</v>
      </c>
      <c r="I2072" s="147">
        <v>0</v>
      </c>
      <c r="J2072" s="147">
        <v>0</v>
      </c>
      <c r="K2072" s="147">
        <v>0</v>
      </c>
      <c r="L2072" s="148">
        <v>0</v>
      </c>
      <c r="M2072" s="149">
        <f t="shared" si="758"/>
        <v>0</v>
      </c>
      <c r="N2072" s="150">
        <f t="shared" si="759"/>
        <v>0</v>
      </c>
      <c r="O2072" s="167">
        <f t="shared" si="749"/>
        <v>0</v>
      </c>
      <c r="P2072" s="152">
        <f t="shared" si="749"/>
        <v>0</v>
      </c>
    </row>
    <row r="2073" spans="1:16">
      <c r="A2073" s="474"/>
      <c r="B2073" s="127">
        <v>4</v>
      </c>
      <c r="C2073" s="147">
        <v>0</v>
      </c>
      <c r="D2073" s="147">
        <v>0</v>
      </c>
      <c r="E2073" s="147">
        <v>0</v>
      </c>
      <c r="F2073" s="147">
        <v>0</v>
      </c>
      <c r="G2073" s="147">
        <v>0</v>
      </c>
      <c r="H2073" s="147">
        <v>0</v>
      </c>
      <c r="I2073" s="147">
        <v>0</v>
      </c>
      <c r="J2073" s="147">
        <v>0</v>
      </c>
      <c r="K2073" s="147">
        <v>0</v>
      </c>
      <c r="L2073" s="148">
        <v>0</v>
      </c>
      <c r="M2073" s="154">
        <f t="shared" si="758"/>
        <v>0</v>
      </c>
      <c r="N2073" s="155">
        <f t="shared" si="759"/>
        <v>0</v>
      </c>
      <c r="O2073" s="168">
        <f t="shared" si="749"/>
        <v>0</v>
      </c>
      <c r="P2073" s="157">
        <f t="shared" si="749"/>
        <v>0</v>
      </c>
    </row>
    <row r="2074" spans="1:16">
      <c r="A2074" s="474"/>
      <c r="B2074" s="127">
        <v>5</v>
      </c>
      <c r="C2074" s="147">
        <v>0</v>
      </c>
      <c r="D2074" s="147">
        <v>0</v>
      </c>
      <c r="E2074" s="147">
        <v>0</v>
      </c>
      <c r="F2074" s="147">
        <v>0</v>
      </c>
      <c r="G2074" s="147">
        <v>0</v>
      </c>
      <c r="H2074" s="147">
        <v>0</v>
      </c>
      <c r="I2074" s="147">
        <v>0</v>
      </c>
      <c r="J2074" s="147">
        <v>0</v>
      </c>
      <c r="K2074" s="147">
        <v>0</v>
      </c>
      <c r="L2074" s="148">
        <v>0</v>
      </c>
      <c r="M2074" s="154">
        <f t="shared" si="758"/>
        <v>0</v>
      </c>
      <c r="N2074" s="155">
        <f t="shared" si="759"/>
        <v>0</v>
      </c>
      <c r="O2074" s="168">
        <f t="shared" si="749"/>
        <v>0</v>
      </c>
      <c r="P2074" s="157">
        <f t="shared" si="749"/>
        <v>0</v>
      </c>
    </row>
    <row r="2075" spans="1:16">
      <c r="A2075" s="474"/>
      <c r="B2075" s="127">
        <v>6</v>
      </c>
      <c r="C2075" s="147">
        <f>集計用!C41</f>
        <v>0</v>
      </c>
      <c r="D2075" s="147">
        <f>集計用!S41</f>
        <v>0</v>
      </c>
      <c r="E2075" s="147">
        <f>集計用!E41</f>
        <v>0</v>
      </c>
      <c r="F2075" s="147">
        <f>集計用!U41</f>
        <v>0</v>
      </c>
      <c r="G2075" s="147">
        <f>集計用!G41</f>
        <v>0</v>
      </c>
      <c r="H2075" s="147">
        <f>集計用!W41</f>
        <v>0</v>
      </c>
      <c r="I2075" s="147">
        <f>集計用!I41</f>
        <v>0</v>
      </c>
      <c r="J2075" s="147">
        <f>集計用!Y41</f>
        <v>0</v>
      </c>
      <c r="K2075" s="147">
        <f>集計用!K41</f>
        <v>0</v>
      </c>
      <c r="L2075" s="148">
        <f>集計用!AA41</f>
        <v>0</v>
      </c>
      <c r="M2075" s="154">
        <f t="shared" si="758"/>
        <v>0</v>
      </c>
      <c r="N2075" s="155">
        <f t="shared" si="759"/>
        <v>0</v>
      </c>
      <c r="O2075" s="168">
        <f>M2075/30</f>
        <v>0</v>
      </c>
      <c r="P2075" s="157">
        <f>N2075/30</f>
        <v>0</v>
      </c>
    </row>
    <row r="2076" spans="1:16">
      <c r="A2076" s="474"/>
      <c r="B2076" s="127">
        <v>7</v>
      </c>
      <c r="C2076" s="158"/>
      <c r="D2076" s="158"/>
      <c r="E2076" s="158"/>
      <c r="F2076" s="158"/>
      <c r="G2076" s="158"/>
      <c r="H2076" s="158"/>
      <c r="I2076" s="158"/>
      <c r="J2076" s="158"/>
      <c r="K2076" s="158"/>
      <c r="L2076" s="158"/>
      <c r="M2076" s="154">
        <f t="shared" si="758"/>
        <v>0</v>
      </c>
      <c r="N2076" s="155">
        <f t="shared" si="759"/>
        <v>0</v>
      </c>
      <c r="O2076" s="168">
        <f t="shared" ref="O2076:O2081" si="760">M2076/31</f>
        <v>0</v>
      </c>
      <c r="P2076" s="157">
        <f t="shared" ref="P2076:P2081" si="761">N2076/31</f>
        <v>0</v>
      </c>
    </row>
    <row r="2077" spans="1:16">
      <c r="A2077" s="474"/>
      <c r="B2077" s="127">
        <v>8</v>
      </c>
      <c r="C2077" s="158"/>
      <c r="D2077" s="158"/>
      <c r="E2077" s="158"/>
      <c r="F2077" s="158"/>
      <c r="G2077" s="158"/>
      <c r="H2077" s="158"/>
      <c r="I2077" s="158"/>
      <c r="J2077" s="158"/>
      <c r="K2077" s="158"/>
      <c r="L2077" s="159"/>
      <c r="M2077" s="177">
        <f t="shared" si="758"/>
        <v>0</v>
      </c>
      <c r="N2077" s="158">
        <f t="shared" si="759"/>
        <v>0</v>
      </c>
      <c r="O2077" s="168">
        <f t="shared" si="760"/>
        <v>0</v>
      </c>
      <c r="P2077" s="157">
        <f t="shared" si="761"/>
        <v>0</v>
      </c>
    </row>
    <row r="2078" spans="1:16">
      <c r="A2078" s="474"/>
      <c r="B2078" s="127">
        <v>9</v>
      </c>
      <c r="C2078" s="147"/>
      <c r="D2078" s="147"/>
      <c r="E2078" s="147"/>
      <c r="F2078" s="147"/>
      <c r="G2078" s="147"/>
      <c r="H2078" s="147"/>
      <c r="I2078" s="147"/>
      <c r="J2078" s="147"/>
      <c r="K2078" s="147"/>
      <c r="L2078" s="147"/>
      <c r="M2078" s="177">
        <f t="shared" ref="M2078" si="762">+C2078+E2078+G2078+I2078+K2078</f>
        <v>0</v>
      </c>
      <c r="N2078" s="158">
        <f t="shared" ref="N2078" si="763">+D2078+F2078+H2078+J2078+L2078</f>
        <v>0</v>
      </c>
      <c r="O2078" s="168">
        <f>M2078/30</f>
        <v>0</v>
      </c>
      <c r="P2078" s="157">
        <f>N2078/30</f>
        <v>0</v>
      </c>
    </row>
    <row r="2079" spans="1:16">
      <c r="A2079" s="474"/>
      <c r="B2079" s="127">
        <v>10</v>
      </c>
      <c r="C2079" s="147"/>
      <c r="D2079" s="147"/>
      <c r="E2079" s="147"/>
      <c r="F2079" s="181"/>
      <c r="G2079" s="147"/>
      <c r="H2079" s="147"/>
      <c r="I2079" s="147"/>
      <c r="J2079" s="147"/>
      <c r="K2079" s="147"/>
      <c r="L2079" s="148"/>
      <c r="M2079" s="154">
        <f t="shared" ref="M2079" si="764">+C2079+E2079+G2079+I2079+K2079</f>
        <v>0</v>
      </c>
      <c r="N2079" s="155">
        <f t="shared" ref="N2079" si="765">+D2079+F2079+H2079+J2079+L2079</f>
        <v>0</v>
      </c>
      <c r="O2079" s="168">
        <f t="shared" ref="O2079" si="766">M2079/31</f>
        <v>0</v>
      </c>
      <c r="P2079" s="157">
        <f t="shared" ref="P2079" si="767">N2079/31</f>
        <v>0</v>
      </c>
    </row>
    <row r="2080" spans="1:16">
      <c r="A2080" s="474"/>
      <c r="B2080" s="127">
        <v>11</v>
      </c>
      <c r="C2080" s="367"/>
      <c r="D2080" s="367"/>
      <c r="E2080" s="367"/>
      <c r="F2080" s="367"/>
      <c r="G2080" s="367"/>
      <c r="H2080" s="367"/>
      <c r="I2080" s="367"/>
      <c r="J2080" s="367"/>
      <c r="K2080" s="367"/>
      <c r="L2080" s="368"/>
      <c r="M2080" s="154">
        <f t="shared" si="758"/>
        <v>0</v>
      </c>
      <c r="N2080" s="155">
        <f t="shared" si="759"/>
        <v>0</v>
      </c>
      <c r="O2080" s="168">
        <f t="shared" si="760"/>
        <v>0</v>
      </c>
      <c r="P2080" s="157">
        <f t="shared" si="761"/>
        <v>0</v>
      </c>
    </row>
    <row r="2081" spans="1:16" ht="14.25" thickBot="1">
      <c r="A2081" s="475"/>
      <c r="B2081" s="127">
        <v>12</v>
      </c>
      <c r="C2081" s="187"/>
      <c r="D2081" s="187"/>
      <c r="E2081" s="187"/>
      <c r="F2081" s="188"/>
      <c r="G2081" s="187"/>
      <c r="H2081" s="187"/>
      <c r="I2081" s="187"/>
      <c r="J2081" s="187"/>
      <c r="K2081" s="187"/>
      <c r="L2081" s="189"/>
      <c r="M2081" s="154">
        <f t="shared" si="758"/>
        <v>0</v>
      </c>
      <c r="N2081" s="155">
        <f t="shared" si="759"/>
        <v>0</v>
      </c>
      <c r="O2081" s="168">
        <f t="shared" si="760"/>
        <v>0</v>
      </c>
      <c r="P2081" s="157">
        <f t="shared" si="761"/>
        <v>0</v>
      </c>
    </row>
    <row r="2082" spans="1:16" ht="14.25" thickBot="1">
      <c r="A2082" s="180"/>
      <c r="B2082" s="160" t="s">
        <v>5</v>
      </c>
      <c r="C2082" s="161">
        <f>SUM(C2046:C2081)</f>
        <v>23</v>
      </c>
      <c r="D2082" s="161">
        <f t="shared" ref="D2082:K2082" si="768">SUM(D2046:D2081)</f>
        <v>41</v>
      </c>
      <c r="E2082" s="161">
        <f t="shared" si="768"/>
        <v>6</v>
      </c>
      <c r="F2082" s="161">
        <f t="shared" si="768"/>
        <v>12</v>
      </c>
      <c r="G2082" s="161">
        <f t="shared" si="768"/>
        <v>16</v>
      </c>
      <c r="H2082" s="161">
        <f t="shared" si="768"/>
        <v>27</v>
      </c>
      <c r="I2082" s="161">
        <f t="shared" si="768"/>
        <v>31</v>
      </c>
      <c r="J2082" s="161">
        <f t="shared" si="768"/>
        <v>99</v>
      </c>
      <c r="K2082" s="161">
        <f t="shared" si="768"/>
        <v>0</v>
      </c>
      <c r="L2082" s="161">
        <f>SUM(L2046:L2081)</f>
        <v>0</v>
      </c>
      <c r="M2082" s="162">
        <f>SUM(M2046:M2081)</f>
        <v>76</v>
      </c>
      <c r="N2082" s="161">
        <f>SUM(N2046:N2081)</f>
        <v>179</v>
      </c>
      <c r="O2082" s="161">
        <f>SUM(O2046:O2081)</f>
        <v>2.4559139784946233</v>
      </c>
      <c r="P2082" s="161">
        <f>SUM(P2046:P2081)</f>
        <v>5.7967741935483872</v>
      </c>
    </row>
    <row r="2084" spans="1:16">
      <c r="B2084" s="467" t="s">
        <v>230</v>
      </c>
      <c r="C2084" s="469" t="s">
        <v>29</v>
      </c>
      <c r="D2084" s="470"/>
      <c r="E2084" s="469" t="s">
        <v>30</v>
      </c>
      <c r="F2084" s="470"/>
      <c r="G2084" s="469" t="s">
        <v>31</v>
      </c>
      <c r="H2084" s="470"/>
      <c r="I2084" s="469" t="s">
        <v>58</v>
      </c>
      <c r="J2084" s="470"/>
      <c r="K2084" s="469" t="s">
        <v>57</v>
      </c>
      <c r="L2084" s="471"/>
      <c r="M2084" s="470" t="s">
        <v>5</v>
      </c>
      <c r="N2084" s="472"/>
      <c r="O2084" s="472" t="s">
        <v>33</v>
      </c>
      <c r="P2084" s="472"/>
    </row>
    <row r="2085" spans="1:16" ht="14.25" thickBot="1">
      <c r="B2085" s="468"/>
      <c r="C2085" s="13" t="s">
        <v>34</v>
      </c>
      <c r="D2085" s="13" t="s">
        <v>35</v>
      </c>
      <c r="E2085" s="13" t="s">
        <v>34</v>
      </c>
      <c r="F2085" s="13" t="s">
        <v>35</v>
      </c>
      <c r="G2085" s="13" t="s">
        <v>34</v>
      </c>
      <c r="H2085" s="13" t="s">
        <v>35</v>
      </c>
      <c r="I2085" s="13" t="s">
        <v>59</v>
      </c>
      <c r="J2085" s="13" t="s">
        <v>60</v>
      </c>
      <c r="K2085" s="13" t="s">
        <v>34</v>
      </c>
      <c r="L2085" s="14" t="s">
        <v>35</v>
      </c>
      <c r="M2085" s="15" t="s">
        <v>34</v>
      </c>
      <c r="N2085" s="13" t="s">
        <v>35</v>
      </c>
      <c r="O2085" s="163" t="s">
        <v>34</v>
      </c>
      <c r="P2085" s="163" t="s">
        <v>35</v>
      </c>
    </row>
    <row r="2086" spans="1:16">
      <c r="A2086" s="473">
        <v>2018</v>
      </c>
      <c r="B2086" s="410">
        <v>1</v>
      </c>
      <c r="C2086" s="422">
        <v>0</v>
      </c>
      <c r="D2086" s="422">
        <v>0</v>
      </c>
      <c r="E2086" s="422">
        <v>0</v>
      </c>
      <c r="F2086" s="422">
        <v>0</v>
      </c>
      <c r="G2086" s="422">
        <v>0</v>
      </c>
      <c r="H2086" s="422">
        <v>0</v>
      </c>
      <c r="I2086" s="422">
        <v>0</v>
      </c>
      <c r="J2086" s="422">
        <v>0</v>
      </c>
      <c r="K2086" s="422">
        <v>0</v>
      </c>
      <c r="L2086" s="432">
        <v>0</v>
      </c>
      <c r="M2086" s="424">
        <f t="shared" ref="M2086:M2105" si="769">+C2086+E2086+G2086+I2086+K2086</f>
        <v>0</v>
      </c>
      <c r="N2086" s="425">
        <f t="shared" ref="N2086:N2105" si="770">+D2086+F2086+H2086+J2086+L2086</f>
        <v>0</v>
      </c>
      <c r="O2086" s="430">
        <f t="shared" ref="O2086:P2090" si="771">M2086/31</f>
        <v>0</v>
      </c>
      <c r="P2086" s="427">
        <f t="shared" si="771"/>
        <v>0</v>
      </c>
    </row>
    <row r="2087" spans="1:16">
      <c r="A2087" s="474"/>
      <c r="B2087" s="127">
        <v>2</v>
      </c>
      <c r="C2087" s="147">
        <v>0</v>
      </c>
      <c r="D2087" s="147">
        <v>0</v>
      </c>
      <c r="E2087" s="147">
        <v>0</v>
      </c>
      <c r="F2087" s="147">
        <v>0</v>
      </c>
      <c r="G2087" s="147">
        <v>0</v>
      </c>
      <c r="H2087" s="147">
        <v>0</v>
      </c>
      <c r="I2087" s="147">
        <v>0</v>
      </c>
      <c r="J2087" s="147">
        <v>0</v>
      </c>
      <c r="K2087" s="147">
        <v>0</v>
      </c>
      <c r="L2087" s="174">
        <v>0</v>
      </c>
      <c r="M2087" s="149">
        <f t="shared" si="769"/>
        <v>0</v>
      </c>
      <c r="N2087" s="150">
        <f t="shared" si="770"/>
        <v>0</v>
      </c>
      <c r="O2087" s="167">
        <f t="shared" si="771"/>
        <v>0</v>
      </c>
      <c r="P2087" s="152">
        <f t="shared" si="771"/>
        <v>0</v>
      </c>
    </row>
    <row r="2088" spans="1:16">
      <c r="A2088" s="474"/>
      <c r="B2088" s="127">
        <v>3</v>
      </c>
      <c r="C2088" s="147">
        <v>0</v>
      </c>
      <c r="D2088" s="147">
        <v>0</v>
      </c>
      <c r="E2088" s="147">
        <v>0</v>
      </c>
      <c r="F2088" s="147">
        <v>0</v>
      </c>
      <c r="G2088" s="147">
        <v>0</v>
      </c>
      <c r="H2088" s="147">
        <v>0</v>
      </c>
      <c r="I2088" s="147">
        <v>0</v>
      </c>
      <c r="J2088" s="147">
        <v>0</v>
      </c>
      <c r="K2088" s="147">
        <v>0</v>
      </c>
      <c r="L2088" s="174">
        <v>0</v>
      </c>
      <c r="M2088" s="149">
        <f t="shared" si="769"/>
        <v>0</v>
      </c>
      <c r="N2088" s="150">
        <f t="shared" si="770"/>
        <v>0</v>
      </c>
      <c r="O2088" s="167">
        <f t="shared" si="771"/>
        <v>0</v>
      </c>
      <c r="P2088" s="152">
        <f t="shared" si="771"/>
        <v>0</v>
      </c>
    </row>
    <row r="2089" spans="1:16">
      <c r="A2089" s="474"/>
      <c r="B2089" s="127">
        <v>4</v>
      </c>
      <c r="C2089" s="158">
        <v>0</v>
      </c>
      <c r="D2089" s="158">
        <v>0</v>
      </c>
      <c r="E2089" s="158">
        <v>0</v>
      </c>
      <c r="F2089" s="158">
        <v>0</v>
      </c>
      <c r="G2089" s="158">
        <v>0</v>
      </c>
      <c r="H2089" s="158">
        <v>0</v>
      </c>
      <c r="I2089" s="158">
        <v>0</v>
      </c>
      <c r="J2089" s="158">
        <v>0</v>
      </c>
      <c r="K2089" s="158">
        <v>0</v>
      </c>
      <c r="L2089" s="159">
        <v>0</v>
      </c>
      <c r="M2089" s="154">
        <f t="shared" si="769"/>
        <v>0</v>
      </c>
      <c r="N2089" s="155">
        <f t="shared" si="770"/>
        <v>0</v>
      </c>
      <c r="O2089" s="168">
        <f t="shared" si="771"/>
        <v>0</v>
      </c>
      <c r="P2089" s="157">
        <f t="shared" si="771"/>
        <v>0</v>
      </c>
    </row>
    <row r="2090" spans="1:16">
      <c r="A2090" s="474"/>
      <c r="B2090" s="127">
        <v>5</v>
      </c>
      <c r="C2090" s="158">
        <v>0</v>
      </c>
      <c r="D2090" s="158">
        <v>0</v>
      </c>
      <c r="E2090" s="158">
        <v>0</v>
      </c>
      <c r="F2090" s="158">
        <v>0</v>
      </c>
      <c r="G2090" s="158">
        <v>0</v>
      </c>
      <c r="H2090" s="158">
        <v>0</v>
      </c>
      <c r="I2090" s="158">
        <v>0</v>
      </c>
      <c r="J2090" s="158">
        <v>0</v>
      </c>
      <c r="K2090" s="158">
        <v>0</v>
      </c>
      <c r="L2090" s="159">
        <v>0</v>
      </c>
      <c r="M2090" s="154">
        <f t="shared" si="769"/>
        <v>0</v>
      </c>
      <c r="N2090" s="155">
        <f t="shared" si="770"/>
        <v>0</v>
      </c>
      <c r="O2090" s="168">
        <f t="shared" si="771"/>
        <v>0</v>
      </c>
      <c r="P2090" s="157">
        <f t="shared" si="771"/>
        <v>0</v>
      </c>
    </row>
    <row r="2091" spans="1:16">
      <c r="A2091" s="474"/>
      <c r="B2091" s="127">
        <v>6</v>
      </c>
      <c r="C2091" s="158">
        <v>1</v>
      </c>
      <c r="D2091" s="158">
        <v>1</v>
      </c>
      <c r="E2091" s="158">
        <v>0</v>
      </c>
      <c r="F2091" s="158">
        <v>0</v>
      </c>
      <c r="G2091" s="158">
        <v>0</v>
      </c>
      <c r="H2091" s="158">
        <v>0</v>
      </c>
      <c r="I2091" s="158">
        <v>0</v>
      </c>
      <c r="J2091" s="158">
        <v>0</v>
      </c>
      <c r="K2091" s="158">
        <v>0</v>
      </c>
      <c r="L2091" s="158">
        <v>0</v>
      </c>
      <c r="M2091" s="154">
        <f t="shared" si="769"/>
        <v>1</v>
      </c>
      <c r="N2091" s="155">
        <f t="shared" si="770"/>
        <v>1</v>
      </c>
      <c r="O2091" s="168">
        <f>M2091/30</f>
        <v>3.3333333333333333E-2</v>
      </c>
      <c r="P2091" s="157">
        <f>N2091/30</f>
        <v>3.3333333333333333E-2</v>
      </c>
    </row>
    <row r="2092" spans="1:16">
      <c r="A2092" s="474"/>
      <c r="B2092" s="127">
        <v>7</v>
      </c>
      <c r="C2092" s="158">
        <v>0</v>
      </c>
      <c r="D2092" s="158">
        <v>0</v>
      </c>
      <c r="E2092" s="158">
        <v>0</v>
      </c>
      <c r="F2092" s="158">
        <v>0</v>
      </c>
      <c r="G2092" s="158">
        <v>0</v>
      </c>
      <c r="H2092" s="158">
        <v>0</v>
      </c>
      <c r="I2092" s="158">
        <v>0</v>
      </c>
      <c r="J2092" s="158">
        <v>0</v>
      </c>
      <c r="K2092" s="158">
        <v>0</v>
      </c>
      <c r="L2092" s="158">
        <v>0</v>
      </c>
      <c r="M2092" s="154">
        <f t="shared" si="769"/>
        <v>0</v>
      </c>
      <c r="N2092" s="155">
        <f t="shared" si="770"/>
        <v>0</v>
      </c>
      <c r="O2092" s="168">
        <f t="shared" ref="O2092:P2114" si="772">M2092/31</f>
        <v>0</v>
      </c>
      <c r="P2092" s="157">
        <f t="shared" si="772"/>
        <v>0</v>
      </c>
    </row>
    <row r="2093" spans="1:16">
      <c r="A2093" s="474"/>
      <c r="B2093" s="127">
        <v>8</v>
      </c>
      <c r="C2093" s="158">
        <v>0</v>
      </c>
      <c r="D2093" s="158">
        <v>0</v>
      </c>
      <c r="E2093" s="158">
        <v>0</v>
      </c>
      <c r="F2093" s="158">
        <v>0</v>
      </c>
      <c r="G2093" s="158">
        <v>0</v>
      </c>
      <c r="H2093" s="158">
        <v>0</v>
      </c>
      <c r="I2093" s="158">
        <v>0</v>
      </c>
      <c r="J2093" s="158">
        <v>0</v>
      </c>
      <c r="K2093" s="158">
        <v>0</v>
      </c>
      <c r="L2093" s="159">
        <v>0</v>
      </c>
      <c r="M2093" s="177">
        <f t="shared" si="769"/>
        <v>0</v>
      </c>
      <c r="N2093" s="158">
        <f t="shared" si="770"/>
        <v>0</v>
      </c>
      <c r="O2093" s="168">
        <f t="shared" si="772"/>
        <v>0</v>
      </c>
      <c r="P2093" s="157">
        <f t="shared" si="772"/>
        <v>0</v>
      </c>
    </row>
    <row r="2094" spans="1:16">
      <c r="A2094" s="474"/>
      <c r="B2094" s="127">
        <v>9</v>
      </c>
      <c r="C2094" s="147">
        <v>0</v>
      </c>
      <c r="D2094" s="147">
        <v>0</v>
      </c>
      <c r="E2094" s="147">
        <v>0</v>
      </c>
      <c r="F2094" s="147">
        <v>0</v>
      </c>
      <c r="G2094" s="147">
        <v>0</v>
      </c>
      <c r="H2094" s="147">
        <v>0</v>
      </c>
      <c r="I2094" s="147">
        <v>0</v>
      </c>
      <c r="J2094" s="147">
        <v>0</v>
      </c>
      <c r="K2094" s="147">
        <v>0</v>
      </c>
      <c r="L2094" s="147">
        <v>0</v>
      </c>
      <c r="M2094" s="177">
        <f t="shared" si="769"/>
        <v>0</v>
      </c>
      <c r="N2094" s="158">
        <f t="shared" si="770"/>
        <v>0</v>
      </c>
      <c r="O2094" s="168">
        <f t="shared" si="772"/>
        <v>0</v>
      </c>
      <c r="P2094" s="157">
        <f t="shared" si="772"/>
        <v>0</v>
      </c>
    </row>
    <row r="2095" spans="1:16">
      <c r="A2095" s="474"/>
      <c r="B2095" s="127">
        <v>10</v>
      </c>
      <c r="C2095" s="147">
        <v>0</v>
      </c>
      <c r="D2095" s="147">
        <v>0</v>
      </c>
      <c r="E2095" s="147">
        <v>0</v>
      </c>
      <c r="F2095" s="181">
        <v>0</v>
      </c>
      <c r="G2095" s="147">
        <v>0</v>
      </c>
      <c r="H2095" s="147">
        <v>0</v>
      </c>
      <c r="I2095" s="147">
        <v>0</v>
      </c>
      <c r="J2095" s="147">
        <v>0</v>
      </c>
      <c r="K2095" s="147">
        <v>0</v>
      </c>
      <c r="L2095" s="148">
        <v>0</v>
      </c>
      <c r="M2095" s="154">
        <f t="shared" si="769"/>
        <v>0</v>
      </c>
      <c r="N2095" s="155">
        <f t="shared" si="770"/>
        <v>0</v>
      </c>
      <c r="O2095" s="168">
        <f t="shared" si="772"/>
        <v>0</v>
      </c>
      <c r="P2095" s="157">
        <f t="shared" si="772"/>
        <v>0</v>
      </c>
    </row>
    <row r="2096" spans="1:16">
      <c r="A2096" s="474"/>
      <c r="B2096" s="127">
        <v>11</v>
      </c>
      <c r="C2096" s="367">
        <v>0</v>
      </c>
      <c r="D2096" s="367">
        <v>0</v>
      </c>
      <c r="E2096" s="367">
        <v>0</v>
      </c>
      <c r="F2096" s="367">
        <v>0</v>
      </c>
      <c r="G2096" s="367">
        <v>0</v>
      </c>
      <c r="H2096" s="367">
        <v>0</v>
      </c>
      <c r="I2096" s="367">
        <v>0</v>
      </c>
      <c r="J2096" s="367">
        <v>0</v>
      </c>
      <c r="K2096" s="367">
        <v>0</v>
      </c>
      <c r="L2096" s="368">
        <v>0</v>
      </c>
      <c r="M2096" s="154">
        <f t="shared" si="769"/>
        <v>0</v>
      </c>
      <c r="N2096" s="155">
        <f t="shared" si="770"/>
        <v>0</v>
      </c>
      <c r="O2096" s="168">
        <f t="shared" si="772"/>
        <v>0</v>
      </c>
      <c r="P2096" s="157">
        <f t="shared" si="772"/>
        <v>0</v>
      </c>
    </row>
    <row r="2097" spans="1:16" ht="14.25" thickBot="1">
      <c r="A2097" s="475"/>
      <c r="B2097" s="127">
        <v>12</v>
      </c>
      <c r="C2097" s="187">
        <v>0</v>
      </c>
      <c r="D2097" s="187">
        <v>0</v>
      </c>
      <c r="E2097" s="187">
        <v>0</v>
      </c>
      <c r="F2097" s="188">
        <v>0</v>
      </c>
      <c r="G2097" s="187">
        <v>0</v>
      </c>
      <c r="H2097" s="187">
        <v>0</v>
      </c>
      <c r="I2097" s="187">
        <v>0</v>
      </c>
      <c r="J2097" s="187">
        <v>0</v>
      </c>
      <c r="K2097" s="187">
        <v>0</v>
      </c>
      <c r="L2097" s="189">
        <v>0</v>
      </c>
      <c r="M2097" s="154">
        <f t="shared" si="769"/>
        <v>0</v>
      </c>
      <c r="N2097" s="155">
        <f t="shared" si="770"/>
        <v>0</v>
      </c>
      <c r="O2097" s="168">
        <f t="shared" si="772"/>
        <v>0</v>
      </c>
      <c r="P2097" s="157">
        <f t="shared" si="772"/>
        <v>0</v>
      </c>
    </row>
    <row r="2098" spans="1:16">
      <c r="A2098" s="473">
        <v>2019</v>
      </c>
      <c r="B2098" s="410">
        <v>1</v>
      </c>
      <c r="C2098" s="422">
        <v>0</v>
      </c>
      <c r="D2098" s="422">
        <v>0</v>
      </c>
      <c r="E2098" s="422">
        <v>0</v>
      </c>
      <c r="F2098" s="422">
        <v>0</v>
      </c>
      <c r="G2098" s="422">
        <v>0</v>
      </c>
      <c r="H2098" s="422">
        <v>0</v>
      </c>
      <c r="I2098" s="422">
        <v>0</v>
      </c>
      <c r="J2098" s="422">
        <v>0</v>
      </c>
      <c r="K2098" s="422">
        <v>0</v>
      </c>
      <c r="L2098" s="432">
        <v>0</v>
      </c>
      <c r="M2098" s="424">
        <f t="shared" si="769"/>
        <v>0</v>
      </c>
      <c r="N2098" s="425">
        <f t="shared" si="770"/>
        <v>0</v>
      </c>
      <c r="O2098" s="430">
        <f t="shared" ref="O2098:O2102" si="773">M2098/31</f>
        <v>0</v>
      </c>
      <c r="P2098" s="427">
        <f t="shared" ref="P2098:P2102" si="774">N2098/31</f>
        <v>0</v>
      </c>
    </row>
    <row r="2099" spans="1:16">
      <c r="A2099" s="474"/>
      <c r="B2099" s="127">
        <v>2</v>
      </c>
      <c r="C2099" s="147">
        <v>0</v>
      </c>
      <c r="D2099" s="147">
        <v>0</v>
      </c>
      <c r="E2099" s="147">
        <v>0</v>
      </c>
      <c r="F2099" s="147">
        <v>0</v>
      </c>
      <c r="G2099" s="147">
        <v>0</v>
      </c>
      <c r="H2099" s="147">
        <v>0</v>
      </c>
      <c r="I2099" s="147">
        <v>0</v>
      </c>
      <c r="J2099" s="147">
        <v>0</v>
      </c>
      <c r="K2099" s="147">
        <v>0</v>
      </c>
      <c r="L2099" s="174">
        <v>0</v>
      </c>
      <c r="M2099" s="149">
        <f t="shared" si="769"/>
        <v>0</v>
      </c>
      <c r="N2099" s="150">
        <f t="shared" si="770"/>
        <v>0</v>
      </c>
      <c r="O2099" s="167">
        <f t="shared" si="773"/>
        <v>0</v>
      </c>
      <c r="P2099" s="152">
        <f t="shared" si="774"/>
        <v>0</v>
      </c>
    </row>
    <row r="2100" spans="1:16">
      <c r="A2100" s="474"/>
      <c r="B2100" s="127">
        <v>3</v>
      </c>
      <c r="C2100" s="147">
        <v>0</v>
      </c>
      <c r="D2100" s="147">
        <v>0</v>
      </c>
      <c r="E2100" s="147">
        <v>0</v>
      </c>
      <c r="F2100" s="147">
        <v>0</v>
      </c>
      <c r="G2100" s="147">
        <v>0</v>
      </c>
      <c r="H2100" s="147">
        <v>0</v>
      </c>
      <c r="I2100" s="147">
        <v>0</v>
      </c>
      <c r="J2100" s="147">
        <v>0</v>
      </c>
      <c r="K2100" s="147">
        <v>0</v>
      </c>
      <c r="L2100" s="174">
        <v>0</v>
      </c>
      <c r="M2100" s="149">
        <f t="shared" si="769"/>
        <v>0</v>
      </c>
      <c r="N2100" s="150">
        <f t="shared" si="770"/>
        <v>0</v>
      </c>
      <c r="O2100" s="167">
        <f t="shared" si="773"/>
        <v>0</v>
      </c>
      <c r="P2100" s="152">
        <f t="shared" si="774"/>
        <v>0</v>
      </c>
    </row>
    <row r="2101" spans="1:16">
      <c r="A2101" s="474"/>
      <c r="B2101" s="127">
        <v>4</v>
      </c>
      <c r="C2101" s="158">
        <v>0</v>
      </c>
      <c r="D2101" s="158">
        <v>0</v>
      </c>
      <c r="E2101" s="158">
        <v>0</v>
      </c>
      <c r="F2101" s="158">
        <v>0</v>
      </c>
      <c r="G2101" s="158">
        <v>0</v>
      </c>
      <c r="H2101" s="158">
        <v>0</v>
      </c>
      <c r="I2101" s="158">
        <v>0</v>
      </c>
      <c r="J2101" s="158">
        <v>0</v>
      </c>
      <c r="K2101" s="158">
        <v>0</v>
      </c>
      <c r="L2101" s="159">
        <v>0</v>
      </c>
      <c r="M2101" s="154">
        <f t="shared" si="769"/>
        <v>0</v>
      </c>
      <c r="N2101" s="155">
        <f t="shared" si="770"/>
        <v>0</v>
      </c>
      <c r="O2101" s="168">
        <f t="shared" si="773"/>
        <v>0</v>
      </c>
      <c r="P2101" s="157">
        <f t="shared" si="774"/>
        <v>0</v>
      </c>
    </row>
    <row r="2102" spans="1:16">
      <c r="A2102" s="474"/>
      <c r="B2102" s="127">
        <v>5</v>
      </c>
      <c r="C2102" s="158">
        <v>0</v>
      </c>
      <c r="D2102" s="158">
        <v>0</v>
      </c>
      <c r="E2102" s="158">
        <v>0</v>
      </c>
      <c r="F2102" s="158">
        <v>0</v>
      </c>
      <c r="G2102" s="158">
        <v>0</v>
      </c>
      <c r="H2102" s="158">
        <v>0</v>
      </c>
      <c r="I2102" s="158">
        <v>0</v>
      </c>
      <c r="J2102" s="158">
        <v>0</v>
      </c>
      <c r="K2102" s="158">
        <v>0</v>
      </c>
      <c r="L2102" s="159">
        <v>0</v>
      </c>
      <c r="M2102" s="154">
        <f t="shared" si="769"/>
        <v>0</v>
      </c>
      <c r="N2102" s="155">
        <f t="shared" si="770"/>
        <v>0</v>
      </c>
      <c r="O2102" s="168">
        <f t="shared" si="773"/>
        <v>0</v>
      </c>
      <c r="P2102" s="157">
        <f t="shared" si="774"/>
        <v>0</v>
      </c>
    </row>
    <row r="2103" spans="1:16">
      <c r="A2103" s="474"/>
      <c r="B2103" s="127">
        <v>6</v>
      </c>
      <c r="C2103" s="158">
        <v>0</v>
      </c>
      <c r="D2103" s="158">
        <v>0</v>
      </c>
      <c r="E2103" s="158">
        <v>0</v>
      </c>
      <c r="F2103" s="158">
        <v>0</v>
      </c>
      <c r="G2103" s="158">
        <v>0</v>
      </c>
      <c r="H2103" s="158">
        <v>0</v>
      </c>
      <c r="I2103" s="158">
        <v>0</v>
      </c>
      <c r="J2103" s="158">
        <v>0</v>
      </c>
      <c r="K2103" s="158">
        <v>0</v>
      </c>
      <c r="L2103" s="158">
        <v>0</v>
      </c>
      <c r="M2103" s="154">
        <f t="shared" si="769"/>
        <v>0</v>
      </c>
      <c r="N2103" s="155">
        <f t="shared" si="770"/>
        <v>0</v>
      </c>
      <c r="O2103" s="168">
        <f>M2103/30</f>
        <v>0</v>
      </c>
      <c r="P2103" s="157">
        <f>N2103/30</f>
        <v>0</v>
      </c>
    </row>
    <row r="2104" spans="1:16">
      <c r="A2104" s="474"/>
      <c r="B2104" s="127">
        <v>7</v>
      </c>
      <c r="C2104" s="158">
        <v>0</v>
      </c>
      <c r="D2104" s="158">
        <v>0</v>
      </c>
      <c r="E2104" s="158">
        <v>0</v>
      </c>
      <c r="F2104" s="158">
        <v>0</v>
      </c>
      <c r="G2104" s="158">
        <v>0</v>
      </c>
      <c r="H2104" s="158">
        <v>0</v>
      </c>
      <c r="I2104" s="158">
        <v>0</v>
      </c>
      <c r="J2104" s="158">
        <v>0</v>
      </c>
      <c r="K2104" s="158">
        <v>0</v>
      </c>
      <c r="L2104" s="158">
        <v>0</v>
      </c>
      <c r="M2104" s="154">
        <f t="shared" si="769"/>
        <v>0</v>
      </c>
      <c r="N2104" s="155">
        <f t="shared" si="770"/>
        <v>0</v>
      </c>
      <c r="O2104" s="168">
        <f t="shared" ref="O2104:O2105" si="775">M2104/31</f>
        <v>0</v>
      </c>
      <c r="P2104" s="157">
        <f t="shared" ref="P2104:P2105" si="776">N2104/31</f>
        <v>0</v>
      </c>
    </row>
    <row r="2105" spans="1:16">
      <c r="A2105" s="474"/>
      <c r="B2105" s="127">
        <v>8</v>
      </c>
      <c r="C2105" s="158">
        <v>0</v>
      </c>
      <c r="D2105" s="158">
        <v>0</v>
      </c>
      <c r="E2105" s="158">
        <v>0</v>
      </c>
      <c r="F2105" s="158">
        <v>0</v>
      </c>
      <c r="G2105" s="158">
        <v>0</v>
      </c>
      <c r="H2105" s="158">
        <v>0</v>
      </c>
      <c r="I2105" s="158">
        <v>0</v>
      </c>
      <c r="J2105" s="158">
        <v>0</v>
      </c>
      <c r="K2105" s="158">
        <v>0</v>
      </c>
      <c r="L2105" s="159">
        <v>0</v>
      </c>
      <c r="M2105" s="177">
        <f t="shared" si="769"/>
        <v>0</v>
      </c>
      <c r="N2105" s="158">
        <f t="shared" si="770"/>
        <v>0</v>
      </c>
      <c r="O2105" s="168">
        <f t="shared" si="775"/>
        <v>0</v>
      </c>
      <c r="P2105" s="157">
        <f t="shared" si="776"/>
        <v>0</v>
      </c>
    </row>
    <row r="2106" spans="1:16">
      <c r="A2106" s="474"/>
      <c r="B2106" s="127">
        <v>9</v>
      </c>
      <c r="C2106" s="147">
        <v>0</v>
      </c>
      <c r="D2106" s="147">
        <v>0</v>
      </c>
      <c r="E2106" s="147">
        <v>0</v>
      </c>
      <c r="F2106" s="147">
        <v>0</v>
      </c>
      <c r="G2106" s="147">
        <v>0</v>
      </c>
      <c r="H2106" s="147">
        <v>0</v>
      </c>
      <c r="I2106" s="147">
        <v>0</v>
      </c>
      <c r="J2106" s="147">
        <v>0</v>
      </c>
      <c r="K2106" s="147">
        <v>0</v>
      </c>
      <c r="L2106" s="147">
        <v>0</v>
      </c>
      <c r="M2106" s="177">
        <v>0</v>
      </c>
      <c r="N2106" s="158">
        <v>0</v>
      </c>
      <c r="O2106" s="168">
        <v>0</v>
      </c>
      <c r="P2106" s="157">
        <v>0</v>
      </c>
    </row>
    <row r="2107" spans="1:16">
      <c r="A2107" s="474"/>
      <c r="B2107" s="127">
        <v>10</v>
      </c>
      <c r="C2107" s="147">
        <v>0</v>
      </c>
      <c r="D2107" s="147">
        <v>0</v>
      </c>
      <c r="E2107" s="147">
        <v>0</v>
      </c>
      <c r="F2107" s="181">
        <v>0</v>
      </c>
      <c r="G2107" s="147">
        <v>0</v>
      </c>
      <c r="H2107" s="147">
        <v>0</v>
      </c>
      <c r="I2107" s="147">
        <v>0</v>
      </c>
      <c r="J2107" s="147">
        <v>0</v>
      </c>
      <c r="K2107" s="147">
        <v>0</v>
      </c>
      <c r="L2107" s="148">
        <v>0</v>
      </c>
      <c r="M2107" s="154">
        <f t="shared" ref="M2107:M2109" si="777">+C2107+E2107+G2107+I2107+K2107</f>
        <v>0</v>
      </c>
      <c r="N2107" s="155">
        <f t="shared" ref="N2107:N2109" si="778">+D2107+F2107+H2107+J2107+L2107</f>
        <v>0</v>
      </c>
      <c r="O2107" s="168">
        <f t="shared" ref="O2107:O2109" si="779">M2107/31</f>
        <v>0</v>
      </c>
      <c r="P2107" s="157">
        <f t="shared" ref="P2107:P2109" si="780">N2107/31</f>
        <v>0</v>
      </c>
    </row>
    <row r="2108" spans="1:16">
      <c r="A2108" s="474"/>
      <c r="B2108" s="127">
        <v>11</v>
      </c>
      <c r="C2108" s="367">
        <v>0</v>
      </c>
      <c r="D2108" s="367">
        <v>0</v>
      </c>
      <c r="E2108" s="367">
        <v>0</v>
      </c>
      <c r="F2108" s="367">
        <v>0</v>
      </c>
      <c r="G2108" s="367">
        <v>0</v>
      </c>
      <c r="H2108" s="367">
        <v>0</v>
      </c>
      <c r="I2108" s="367">
        <v>0</v>
      </c>
      <c r="J2108" s="367">
        <v>0</v>
      </c>
      <c r="K2108" s="367">
        <v>0</v>
      </c>
      <c r="L2108" s="368">
        <v>0</v>
      </c>
      <c r="M2108" s="154">
        <f t="shared" si="777"/>
        <v>0</v>
      </c>
      <c r="N2108" s="155">
        <f t="shared" si="778"/>
        <v>0</v>
      </c>
      <c r="O2108" s="168">
        <f t="shared" si="779"/>
        <v>0</v>
      </c>
      <c r="P2108" s="157">
        <f t="shared" si="780"/>
        <v>0</v>
      </c>
    </row>
    <row r="2109" spans="1:16" ht="14.25" thickBot="1">
      <c r="A2109" s="475"/>
      <c r="B2109" s="127">
        <v>12</v>
      </c>
      <c r="C2109" s="187">
        <v>0</v>
      </c>
      <c r="D2109" s="187">
        <v>0</v>
      </c>
      <c r="E2109" s="187">
        <v>0</v>
      </c>
      <c r="F2109" s="188">
        <v>0</v>
      </c>
      <c r="G2109" s="187">
        <v>0</v>
      </c>
      <c r="H2109" s="187">
        <v>0</v>
      </c>
      <c r="I2109" s="187">
        <v>0</v>
      </c>
      <c r="J2109" s="187">
        <v>0</v>
      </c>
      <c r="K2109" s="187">
        <v>0</v>
      </c>
      <c r="L2109" s="189">
        <v>0</v>
      </c>
      <c r="M2109" s="154">
        <f t="shared" si="777"/>
        <v>0</v>
      </c>
      <c r="N2109" s="155">
        <f t="shared" si="778"/>
        <v>0</v>
      </c>
      <c r="O2109" s="168">
        <f t="shared" si="779"/>
        <v>0</v>
      </c>
      <c r="P2109" s="157">
        <f t="shared" si="780"/>
        <v>0</v>
      </c>
    </row>
    <row r="2110" spans="1:16">
      <c r="A2110" s="473">
        <v>2020</v>
      </c>
      <c r="B2110" s="410">
        <v>1</v>
      </c>
      <c r="C2110" s="434">
        <v>0</v>
      </c>
      <c r="D2110" s="434">
        <v>0</v>
      </c>
      <c r="E2110" s="434">
        <v>0</v>
      </c>
      <c r="F2110" s="434">
        <v>0</v>
      </c>
      <c r="G2110" s="434">
        <v>0</v>
      </c>
      <c r="H2110" s="434">
        <v>0</v>
      </c>
      <c r="I2110" s="434">
        <v>0</v>
      </c>
      <c r="J2110" s="434">
        <v>0</v>
      </c>
      <c r="K2110" s="434">
        <v>0</v>
      </c>
      <c r="L2110" s="436">
        <v>0</v>
      </c>
      <c r="M2110" s="424">
        <f t="shared" ref="M2110:M2121" si="781">+C2110+E2110+G2110+I2110+K2110</f>
        <v>0</v>
      </c>
      <c r="N2110" s="425">
        <f t="shared" ref="N2110:N2121" si="782">+D2110+F2110+H2110+J2110+L2110</f>
        <v>0</v>
      </c>
      <c r="O2110" s="430">
        <f t="shared" si="772"/>
        <v>0</v>
      </c>
      <c r="P2110" s="427">
        <f t="shared" si="772"/>
        <v>0</v>
      </c>
    </row>
    <row r="2111" spans="1:16">
      <c r="A2111" s="474"/>
      <c r="B2111" s="127">
        <v>2</v>
      </c>
      <c r="C2111" s="147">
        <v>0</v>
      </c>
      <c r="D2111" s="147">
        <v>0</v>
      </c>
      <c r="E2111" s="147">
        <v>0</v>
      </c>
      <c r="F2111" s="147">
        <v>0</v>
      </c>
      <c r="G2111" s="147">
        <v>0</v>
      </c>
      <c r="H2111" s="147">
        <v>0</v>
      </c>
      <c r="I2111" s="147">
        <v>0</v>
      </c>
      <c r="J2111" s="147">
        <v>0</v>
      </c>
      <c r="K2111" s="147">
        <v>0</v>
      </c>
      <c r="L2111" s="148">
        <v>0</v>
      </c>
      <c r="M2111" s="149">
        <f t="shared" si="781"/>
        <v>0</v>
      </c>
      <c r="N2111" s="150">
        <f t="shared" si="782"/>
        <v>0</v>
      </c>
      <c r="O2111" s="167">
        <f t="shared" si="772"/>
        <v>0</v>
      </c>
      <c r="P2111" s="152">
        <f t="shared" si="772"/>
        <v>0</v>
      </c>
    </row>
    <row r="2112" spans="1:16">
      <c r="A2112" s="474"/>
      <c r="B2112" s="127">
        <v>3</v>
      </c>
      <c r="C2112" s="147">
        <v>0</v>
      </c>
      <c r="D2112" s="147">
        <v>0</v>
      </c>
      <c r="E2112" s="147">
        <v>0</v>
      </c>
      <c r="F2112" s="147">
        <v>0</v>
      </c>
      <c r="G2112" s="147">
        <v>0</v>
      </c>
      <c r="H2112" s="147">
        <v>0</v>
      </c>
      <c r="I2112" s="147">
        <v>0</v>
      </c>
      <c r="J2112" s="147">
        <v>0</v>
      </c>
      <c r="K2112" s="147">
        <v>0</v>
      </c>
      <c r="L2112" s="148">
        <v>0</v>
      </c>
      <c r="M2112" s="149">
        <f t="shared" si="781"/>
        <v>0</v>
      </c>
      <c r="N2112" s="150">
        <f t="shared" si="782"/>
        <v>0</v>
      </c>
      <c r="O2112" s="167">
        <f t="shared" si="772"/>
        <v>0</v>
      </c>
      <c r="P2112" s="152">
        <f t="shared" si="772"/>
        <v>0</v>
      </c>
    </row>
    <row r="2113" spans="1:16">
      <c r="A2113" s="474"/>
      <c r="B2113" s="127">
        <v>4</v>
      </c>
      <c r="C2113" s="147">
        <v>0</v>
      </c>
      <c r="D2113" s="147">
        <v>0</v>
      </c>
      <c r="E2113" s="147">
        <v>0</v>
      </c>
      <c r="F2113" s="147">
        <v>0</v>
      </c>
      <c r="G2113" s="147">
        <v>0</v>
      </c>
      <c r="H2113" s="147">
        <v>0</v>
      </c>
      <c r="I2113" s="147">
        <v>0</v>
      </c>
      <c r="J2113" s="147">
        <v>0</v>
      </c>
      <c r="K2113" s="147">
        <v>0</v>
      </c>
      <c r="L2113" s="148">
        <v>0</v>
      </c>
      <c r="M2113" s="154">
        <f t="shared" si="781"/>
        <v>0</v>
      </c>
      <c r="N2113" s="155">
        <f t="shared" si="782"/>
        <v>0</v>
      </c>
      <c r="O2113" s="168">
        <f t="shared" si="772"/>
        <v>0</v>
      </c>
      <c r="P2113" s="157">
        <f t="shared" si="772"/>
        <v>0</v>
      </c>
    </row>
    <row r="2114" spans="1:16">
      <c r="A2114" s="474"/>
      <c r="B2114" s="127">
        <v>5</v>
      </c>
      <c r="C2114" s="147">
        <v>0</v>
      </c>
      <c r="D2114" s="147">
        <v>0</v>
      </c>
      <c r="E2114" s="147">
        <v>0</v>
      </c>
      <c r="F2114" s="147">
        <v>0</v>
      </c>
      <c r="G2114" s="147">
        <v>0</v>
      </c>
      <c r="H2114" s="147">
        <v>0</v>
      </c>
      <c r="I2114" s="147">
        <v>0</v>
      </c>
      <c r="J2114" s="147">
        <v>0</v>
      </c>
      <c r="K2114" s="147">
        <v>0</v>
      </c>
      <c r="L2114" s="148">
        <v>0</v>
      </c>
      <c r="M2114" s="154">
        <f t="shared" si="781"/>
        <v>0</v>
      </c>
      <c r="N2114" s="155">
        <f t="shared" si="782"/>
        <v>0</v>
      </c>
      <c r="O2114" s="168">
        <f t="shared" si="772"/>
        <v>0</v>
      </c>
      <c r="P2114" s="157">
        <f t="shared" si="772"/>
        <v>0</v>
      </c>
    </row>
    <row r="2115" spans="1:16">
      <c r="A2115" s="474"/>
      <c r="B2115" s="127">
        <v>6</v>
      </c>
      <c r="C2115" s="147">
        <f>集計用!C88</f>
        <v>0</v>
      </c>
      <c r="D2115" s="147">
        <f>集計用!S88</f>
        <v>0</v>
      </c>
      <c r="E2115" s="147">
        <f>集計用!E88</f>
        <v>0</v>
      </c>
      <c r="F2115" s="147">
        <f>集計用!U88</f>
        <v>0</v>
      </c>
      <c r="G2115" s="147">
        <f>集計用!G88</f>
        <v>0</v>
      </c>
      <c r="H2115" s="147">
        <f>集計用!W88</f>
        <v>0</v>
      </c>
      <c r="I2115" s="147">
        <f>集計用!I88</f>
        <v>0</v>
      </c>
      <c r="J2115" s="147">
        <f>集計用!Y88</f>
        <v>0</v>
      </c>
      <c r="K2115" s="147">
        <f>集計用!K88</f>
        <v>0</v>
      </c>
      <c r="L2115" s="148">
        <f>集計用!AA88</f>
        <v>0</v>
      </c>
      <c r="M2115" s="154">
        <f t="shared" si="781"/>
        <v>0</v>
      </c>
      <c r="N2115" s="155">
        <f t="shared" si="782"/>
        <v>0</v>
      </c>
      <c r="O2115" s="168">
        <f>M2115/30</f>
        <v>0</v>
      </c>
      <c r="P2115" s="157">
        <f>N2115/30</f>
        <v>0</v>
      </c>
    </row>
    <row r="2116" spans="1:16">
      <c r="A2116" s="474"/>
      <c r="B2116" s="127">
        <v>7</v>
      </c>
      <c r="C2116" s="158"/>
      <c r="D2116" s="158"/>
      <c r="E2116" s="158"/>
      <c r="F2116" s="158"/>
      <c r="G2116" s="158"/>
      <c r="H2116" s="158"/>
      <c r="I2116" s="158"/>
      <c r="J2116" s="158"/>
      <c r="K2116" s="158"/>
      <c r="L2116" s="158"/>
      <c r="M2116" s="154">
        <f t="shared" si="781"/>
        <v>0</v>
      </c>
      <c r="N2116" s="155">
        <f t="shared" si="782"/>
        <v>0</v>
      </c>
      <c r="O2116" s="168">
        <f t="shared" ref="O2116:O2121" si="783">M2116/31</f>
        <v>0</v>
      </c>
      <c r="P2116" s="157">
        <f t="shared" ref="P2116:P2121" si="784">N2116/31</f>
        <v>0</v>
      </c>
    </row>
    <row r="2117" spans="1:16">
      <c r="A2117" s="474"/>
      <c r="B2117" s="127">
        <v>8</v>
      </c>
      <c r="C2117" s="158"/>
      <c r="D2117" s="158"/>
      <c r="E2117" s="158"/>
      <c r="F2117" s="158"/>
      <c r="G2117" s="158"/>
      <c r="H2117" s="158"/>
      <c r="I2117" s="158"/>
      <c r="J2117" s="158"/>
      <c r="K2117" s="158"/>
      <c r="L2117" s="159"/>
      <c r="M2117" s="177">
        <f t="shared" si="781"/>
        <v>0</v>
      </c>
      <c r="N2117" s="158">
        <f t="shared" si="782"/>
        <v>0</v>
      </c>
      <c r="O2117" s="168">
        <f t="shared" si="783"/>
        <v>0</v>
      </c>
      <c r="P2117" s="157">
        <f t="shared" si="784"/>
        <v>0</v>
      </c>
    </row>
    <row r="2118" spans="1:16">
      <c r="A2118" s="474"/>
      <c r="B2118" s="127">
        <v>9</v>
      </c>
      <c r="C2118" s="147"/>
      <c r="D2118" s="147"/>
      <c r="E2118" s="147"/>
      <c r="F2118" s="147"/>
      <c r="G2118" s="147"/>
      <c r="H2118" s="147"/>
      <c r="I2118" s="147"/>
      <c r="J2118" s="147"/>
      <c r="K2118" s="147"/>
      <c r="L2118" s="147"/>
      <c r="M2118" s="177">
        <f t="shared" ref="M2118:M2119" si="785">+C2118+E2118+G2118+I2118+K2118</f>
        <v>0</v>
      </c>
      <c r="N2118" s="158">
        <f t="shared" ref="N2118:N2119" si="786">+D2118+F2118+H2118+J2118+L2118</f>
        <v>0</v>
      </c>
      <c r="O2118" s="168">
        <f>M2118/30</f>
        <v>0</v>
      </c>
      <c r="P2118" s="157">
        <f>N2118/30</f>
        <v>0</v>
      </c>
    </row>
    <row r="2119" spans="1:16">
      <c r="A2119" s="474"/>
      <c r="B2119" s="127">
        <v>10</v>
      </c>
      <c r="C2119" s="147"/>
      <c r="D2119" s="147"/>
      <c r="E2119" s="147"/>
      <c r="F2119" s="181"/>
      <c r="G2119" s="147"/>
      <c r="H2119" s="147"/>
      <c r="I2119" s="147"/>
      <c r="J2119" s="147"/>
      <c r="K2119" s="147"/>
      <c r="L2119" s="148"/>
      <c r="M2119" s="177">
        <f t="shared" si="785"/>
        <v>0</v>
      </c>
      <c r="N2119" s="158">
        <f t="shared" si="786"/>
        <v>0</v>
      </c>
      <c r="O2119" s="168">
        <f t="shared" ref="O2119" si="787">M2119/31</f>
        <v>0</v>
      </c>
      <c r="P2119" s="157">
        <f t="shared" ref="P2119" si="788">N2119/31</f>
        <v>0</v>
      </c>
    </row>
    <row r="2120" spans="1:16">
      <c r="A2120" s="474"/>
      <c r="B2120" s="127">
        <v>11</v>
      </c>
      <c r="C2120" s="367"/>
      <c r="D2120" s="367"/>
      <c r="E2120" s="367"/>
      <c r="F2120" s="367"/>
      <c r="G2120" s="367"/>
      <c r="H2120" s="367"/>
      <c r="I2120" s="367"/>
      <c r="J2120" s="367"/>
      <c r="K2120" s="367"/>
      <c r="L2120" s="368"/>
      <c r="M2120" s="154">
        <f t="shared" si="781"/>
        <v>0</v>
      </c>
      <c r="N2120" s="155">
        <f t="shared" si="782"/>
        <v>0</v>
      </c>
      <c r="O2120" s="168">
        <f t="shared" si="783"/>
        <v>0</v>
      </c>
      <c r="P2120" s="157">
        <f t="shared" si="784"/>
        <v>0</v>
      </c>
    </row>
    <row r="2121" spans="1:16" ht="14.25" thickBot="1">
      <c r="A2121" s="475"/>
      <c r="B2121" s="127">
        <v>12</v>
      </c>
      <c r="C2121" s="187"/>
      <c r="D2121" s="187"/>
      <c r="E2121" s="187"/>
      <c r="F2121" s="188"/>
      <c r="G2121" s="187"/>
      <c r="H2121" s="187"/>
      <c r="I2121" s="187"/>
      <c r="J2121" s="187"/>
      <c r="K2121" s="187"/>
      <c r="L2121" s="189"/>
      <c r="M2121" s="154">
        <f t="shared" si="781"/>
        <v>0</v>
      </c>
      <c r="N2121" s="155">
        <f t="shared" si="782"/>
        <v>0</v>
      </c>
      <c r="O2121" s="168">
        <f t="shared" si="783"/>
        <v>0</v>
      </c>
      <c r="P2121" s="157">
        <f t="shared" si="784"/>
        <v>0</v>
      </c>
    </row>
    <row r="2122" spans="1:16" ht="14.25" thickBot="1">
      <c r="A2122" s="180"/>
      <c r="B2122" s="160" t="s">
        <v>5</v>
      </c>
      <c r="C2122" s="161">
        <f>SUM(C2086:C2121)</f>
        <v>1</v>
      </c>
      <c r="D2122" s="161">
        <f t="shared" ref="D2122:K2122" si="789">SUM(D2086:D2121)</f>
        <v>1</v>
      </c>
      <c r="E2122" s="161">
        <f t="shared" si="789"/>
        <v>0</v>
      </c>
      <c r="F2122" s="161">
        <f t="shared" si="789"/>
        <v>0</v>
      </c>
      <c r="G2122" s="161">
        <f t="shared" si="789"/>
        <v>0</v>
      </c>
      <c r="H2122" s="161">
        <f t="shared" si="789"/>
        <v>0</v>
      </c>
      <c r="I2122" s="161">
        <f t="shared" si="789"/>
        <v>0</v>
      </c>
      <c r="J2122" s="161">
        <f t="shared" si="789"/>
        <v>0</v>
      </c>
      <c r="K2122" s="161">
        <f t="shared" si="789"/>
        <v>0</v>
      </c>
      <c r="L2122" s="161">
        <f>SUM(L2086:L2121)</f>
        <v>0</v>
      </c>
      <c r="M2122" s="162">
        <f>SUM(M2086:M2121)</f>
        <v>1</v>
      </c>
      <c r="N2122" s="161">
        <f>SUM(N2086:N2121)</f>
        <v>1</v>
      </c>
      <c r="O2122" s="161">
        <f>SUM(O2086:O2121)</f>
        <v>3.3333333333333333E-2</v>
      </c>
      <c r="P2122" s="161">
        <f>SUM(P2086:P2121)</f>
        <v>3.3333333333333333E-2</v>
      </c>
    </row>
    <row r="2124" spans="1:16">
      <c r="B2124" s="476" t="s">
        <v>176</v>
      </c>
      <c r="C2124" s="469" t="s">
        <v>29</v>
      </c>
      <c r="D2124" s="470"/>
      <c r="E2124" s="469" t="s">
        <v>30</v>
      </c>
      <c r="F2124" s="470"/>
      <c r="G2124" s="469" t="s">
        <v>31</v>
      </c>
      <c r="H2124" s="470"/>
      <c r="I2124" s="469" t="s">
        <v>58</v>
      </c>
      <c r="J2124" s="470"/>
      <c r="K2124" s="469" t="s">
        <v>57</v>
      </c>
      <c r="L2124" s="471"/>
      <c r="M2124" s="470" t="s">
        <v>5</v>
      </c>
      <c r="N2124" s="472"/>
      <c r="O2124" s="472" t="s">
        <v>33</v>
      </c>
      <c r="P2124" s="472"/>
    </row>
    <row r="2125" spans="1:16" ht="14.25" thickBot="1">
      <c r="B2125" s="468"/>
      <c r="C2125" s="13" t="s">
        <v>34</v>
      </c>
      <c r="D2125" s="13" t="s">
        <v>35</v>
      </c>
      <c r="E2125" s="13" t="s">
        <v>34</v>
      </c>
      <c r="F2125" s="13" t="s">
        <v>35</v>
      </c>
      <c r="G2125" s="13" t="s">
        <v>34</v>
      </c>
      <c r="H2125" s="13" t="s">
        <v>35</v>
      </c>
      <c r="I2125" s="13" t="s">
        <v>59</v>
      </c>
      <c r="J2125" s="13" t="s">
        <v>60</v>
      </c>
      <c r="K2125" s="13" t="s">
        <v>34</v>
      </c>
      <c r="L2125" s="14" t="s">
        <v>35</v>
      </c>
      <c r="M2125" s="15" t="s">
        <v>34</v>
      </c>
      <c r="N2125" s="13" t="s">
        <v>35</v>
      </c>
      <c r="O2125" s="163" t="s">
        <v>34</v>
      </c>
      <c r="P2125" s="163" t="s">
        <v>35</v>
      </c>
    </row>
    <row r="2126" spans="1:16">
      <c r="A2126" s="473">
        <v>2018</v>
      </c>
      <c r="B2126" s="410">
        <v>1</v>
      </c>
      <c r="C2126" s="422">
        <v>0</v>
      </c>
      <c r="D2126" s="422">
        <v>0</v>
      </c>
      <c r="E2126" s="422">
        <v>0</v>
      </c>
      <c r="F2126" s="422">
        <v>0</v>
      </c>
      <c r="G2126" s="422">
        <v>0</v>
      </c>
      <c r="H2126" s="422">
        <v>0</v>
      </c>
      <c r="I2126" s="422">
        <v>0</v>
      </c>
      <c r="J2126" s="422">
        <v>0</v>
      </c>
      <c r="K2126" s="422">
        <v>0</v>
      </c>
      <c r="L2126" s="432">
        <v>0</v>
      </c>
      <c r="M2126" s="424">
        <f t="shared" ref="M2126:M2145" si="790">+C2126+E2126+G2126+I2126+K2126</f>
        <v>0</v>
      </c>
      <c r="N2126" s="425">
        <f t="shared" ref="N2126:N2145" si="791">+D2126+F2126+H2126+J2126+L2126</f>
        <v>0</v>
      </c>
      <c r="O2126" s="430">
        <f t="shared" ref="O2126:P2130" si="792">M2126/31</f>
        <v>0</v>
      </c>
      <c r="P2126" s="427">
        <f t="shared" si="792"/>
        <v>0</v>
      </c>
    </row>
    <row r="2127" spans="1:16">
      <c r="A2127" s="474"/>
      <c r="B2127" s="127">
        <v>2</v>
      </c>
      <c r="C2127" s="147">
        <v>0</v>
      </c>
      <c r="D2127" s="147">
        <v>0</v>
      </c>
      <c r="E2127" s="147">
        <v>0</v>
      </c>
      <c r="F2127" s="147">
        <v>0</v>
      </c>
      <c r="G2127" s="147">
        <v>0</v>
      </c>
      <c r="H2127" s="147">
        <v>0</v>
      </c>
      <c r="I2127" s="147">
        <v>0</v>
      </c>
      <c r="J2127" s="147">
        <v>0</v>
      </c>
      <c r="K2127" s="147">
        <v>0</v>
      </c>
      <c r="L2127" s="174">
        <v>0</v>
      </c>
      <c r="M2127" s="149">
        <f t="shared" si="790"/>
        <v>0</v>
      </c>
      <c r="N2127" s="150">
        <f t="shared" si="791"/>
        <v>0</v>
      </c>
      <c r="O2127" s="167">
        <f t="shared" si="792"/>
        <v>0</v>
      </c>
      <c r="P2127" s="152">
        <f t="shared" si="792"/>
        <v>0</v>
      </c>
    </row>
    <row r="2128" spans="1:16">
      <c r="A2128" s="474"/>
      <c r="B2128" s="127">
        <v>3</v>
      </c>
      <c r="C2128" s="147">
        <v>0</v>
      </c>
      <c r="D2128" s="147">
        <v>0</v>
      </c>
      <c r="E2128" s="147">
        <v>0</v>
      </c>
      <c r="F2128" s="147">
        <v>0</v>
      </c>
      <c r="G2128" s="147">
        <v>0</v>
      </c>
      <c r="H2128" s="147">
        <v>0</v>
      </c>
      <c r="I2128" s="147">
        <v>0</v>
      </c>
      <c r="J2128" s="147">
        <v>0</v>
      </c>
      <c r="K2128" s="147">
        <v>0</v>
      </c>
      <c r="L2128" s="174">
        <v>0</v>
      </c>
      <c r="M2128" s="149">
        <f t="shared" si="790"/>
        <v>0</v>
      </c>
      <c r="N2128" s="150">
        <f t="shared" si="791"/>
        <v>0</v>
      </c>
      <c r="O2128" s="167">
        <f t="shared" si="792"/>
        <v>0</v>
      </c>
      <c r="P2128" s="152">
        <f t="shared" si="792"/>
        <v>0</v>
      </c>
    </row>
    <row r="2129" spans="1:16">
      <c r="A2129" s="474"/>
      <c r="B2129" s="127">
        <v>4</v>
      </c>
      <c r="C2129" s="158">
        <v>0</v>
      </c>
      <c r="D2129" s="158">
        <v>0</v>
      </c>
      <c r="E2129" s="158">
        <v>0</v>
      </c>
      <c r="F2129" s="158">
        <v>0</v>
      </c>
      <c r="G2129" s="158">
        <v>0</v>
      </c>
      <c r="H2129" s="158">
        <v>0</v>
      </c>
      <c r="I2129" s="158">
        <v>0</v>
      </c>
      <c r="J2129" s="158">
        <v>0</v>
      </c>
      <c r="K2129" s="158">
        <v>0</v>
      </c>
      <c r="L2129" s="159">
        <v>0</v>
      </c>
      <c r="M2129" s="154">
        <f t="shared" si="790"/>
        <v>0</v>
      </c>
      <c r="N2129" s="155">
        <f t="shared" si="791"/>
        <v>0</v>
      </c>
      <c r="O2129" s="168">
        <f t="shared" si="792"/>
        <v>0</v>
      </c>
      <c r="P2129" s="157">
        <f t="shared" si="792"/>
        <v>0</v>
      </c>
    </row>
    <row r="2130" spans="1:16">
      <c r="A2130" s="474"/>
      <c r="B2130" s="127">
        <v>5</v>
      </c>
      <c r="C2130" s="158">
        <v>0</v>
      </c>
      <c r="D2130" s="158">
        <v>0</v>
      </c>
      <c r="E2130" s="158">
        <v>0</v>
      </c>
      <c r="F2130" s="158">
        <v>0</v>
      </c>
      <c r="G2130" s="158">
        <v>0</v>
      </c>
      <c r="H2130" s="158">
        <v>0</v>
      </c>
      <c r="I2130" s="158">
        <v>0</v>
      </c>
      <c r="J2130" s="158">
        <v>0</v>
      </c>
      <c r="K2130" s="158">
        <v>0</v>
      </c>
      <c r="L2130" s="159">
        <v>0</v>
      </c>
      <c r="M2130" s="154">
        <f t="shared" si="790"/>
        <v>0</v>
      </c>
      <c r="N2130" s="155">
        <f t="shared" si="791"/>
        <v>0</v>
      </c>
      <c r="O2130" s="168">
        <f t="shared" si="792"/>
        <v>0</v>
      </c>
      <c r="P2130" s="157">
        <f t="shared" si="792"/>
        <v>0</v>
      </c>
    </row>
    <row r="2131" spans="1:16">
      <c r="A2131" s="474"/>
      <c r="B2131" s="127">
        <v>6</v>
      </c>
      <c r="C2131" s="158">
        <v>1</v>
      </c>
      <c r="D2131" s="158">
        <v>0</v>
      </c>
      <c r="E2131" s="158">
        <v>0</v>
      </c>
      <c r="F2131" s="158">
        <v>0</v>
      </c>
      <c r="G2131" s="158">
        <v>0</v>
      </c>
      <c r="H2131" s="158">
        <v>0</v>
      </c>
      <c r="I2131" s="158">
        <v>0</v>
      </c>
      <c r="J2131" s="158">
        <v>0</v>
      </c>
      <c r="K2131" s="158">
        <v>0</v>
      </c>
      <c r="L2131" s="158">
        <v>0</v>
      </c>
      <c r="M2131" s="154">
        <f t="shared" si="790"/>
        <v>1</v>
      </c>
      <c r="N2131" s="155">
        <f t="shared" si="791"/>
        <v>0</v>
      </c>
      <c r="O2131" s="168">
        <f>M2131/30</f>
        <v>3.3333333333333333E-2</v>
      </c>
      <c r="P2131" s="157">
        <f>N2131/30</f>
        <v>0</v>
      </c>
    </row>
    <row r="2132" spans="1:16">
      <c r="A2132" s="474"/>
      <c r="B2132" s="127">
        <v>7</v>
      </c>
      <c r="C2132" s="158">
        <v>0</v>
      </c>
      <c r="D2132" s="158">
        <v>1</v>
      </c>
      <c r="E2132" s="158">
        <v>1</v>
      </c>
      <c r="F2132" s="158">
        <v>0</v>
      </c>
      <c r="G2132" s="158">
        <v>0</v>
      </c>
      <c r="H2132" s="158">
        <v>0</v>
      </c>
      <c r="I2132" s="158">
        <v>0</v>
      </c>
      <c r="J2132" s="158">
        <v>0</v>
      </c>
      <c r="K2132" s="158">
        <v>0</v>
      </c>
      <c r="L2132" s="158">
        <v>0</v>
      </c>
      <c r="M2132" s="154">
        <f t="shared" si="790"/>
        <v>1</v>
      </c>
      <c r="N2132" s="155">
        <f t="shared" si="791"/>
        <v>1</v>
      </c>
      <c r="O2132" s="168">
        <f t="shared" ref="O2132:P2154" si="793">M2132/31</f>
        <v>3.2258064516129031E-2</v>
      </c>
      <c r="P2132" s="157">
        <f t="shared" si="793"/>
        <v>3.2258064516129031E-2</v>
      </c>
    </row>
    <row r="2133" spans="1:16">
      <c r="A2133" s="474"/>
      <c r="B2133" s="127">
        <v>8</v>
      </c>
      <c r="C2133" s="158">
        <v>0</v>
      </c>
      <c r="D2133" s="158">
        <v>0</v>
      </c>
      <c r="E2133" s="158">
        <v>0</v>
      </c>
      <c r="F2133" s="158">
        <v>3</v>
      </c>
      <c r="G2133" s="158">
        <v>0</v>
      </c>
      <c r="H2133" s="158">
        <v>0</v>
      </c>
      <c r="I2133" s="158">
        <v>0</v>
      </c>
      <c r="J2133" s="158">
        <v>0</v>
      </c>
      <c r="K2133" s="158">
        <v>0</v>
      </c>
      <c r="L2133" s="159">
        <v>0</v>
      </c>
      <c r="M2133" s="177">
        <f t="shared" si="790"/>
        <v>0</v>
      </c>
      <c r="N2133" s="158">
        <f t="shared" si="791"/>
        <v>3</v>
      </c>
      <c r="O2133" s="168">
        <f t="shared" si="793"/>
        <v>0</v>
      </c>
      <c r="P2133" s="157">
        <f t="shared" si="793"/>
        <v>9.6774193548387094E-2</v>
      </c>
    </row>
    <row r="2134" spans="1:16">
      <c r="A2134" s="474"/>
      <c r="B2134" s="127">
        <v>9</v>
      </c>
      <c r="C2134" s="147">
        <v>1</v>
      </c>
      <c r="D2134" s="147">
        <v>0</v>
      </c>
      <c r="E2134" s="147">
        <v>1</v>
      </c>
      <c r="F2134" s="147">
        <v>2</v>
      </c>
      <c r="G2134" s="147">
        <v>0</v>
      </c>
      <c r="H2134" s="147">
        <v>0</v>
      </c>
      <c r="I2134" s="147">
        <v>0</v>
      </c>
      <c r="J2134" s="147">
        <v>0</v>
      </c>
      <c r="K2134" s="147">
        <v>0</v>
      </c>
      <c r="L2134" s="147">
        <v>0</v>
      </c>
      <c r="M2134" s="177">
        <f t="shared" si="790"/>
        <v>2</v>
      </c>
      <c r="N2134" s="158">
        <f t="shared" si="791"/>
        <v>2</v>
      </c>
      <c r="O2134" s="168">
        <f t="shared" si="793"/>
        <v>6.4516129032258063E-2</v>
      </c>
      <c r="P2134" s="157">
        <f t="shared" si="793"/>
        <v>6.4516129032258063E-2</v>
      </c>
    </row>
    <row r="2135" spans="1:16">
      <c r="A2135" s="474"/>
      <c r="B2135" s="127">
        <v>10</v>
      </c>
      <c r="C2135" s="147">
        <v>1</v>
      </c>
      <c r="D2135" s="147">
        <v>1</v>
      </c>
      <c r="E2135" s="147">
        <v>0</v>
      </c>
      <c r="F2135" s="181">
        <v>0</v>
      </c>
      <c r="G2135" s="147">
        <v>0</v>
      </c>
      <c r="H2135" s="147">
        <v>0</v>
      </c>
      <c r="I2135" s="147">
        <v>0</v>
      </c>
      <c r="J2135" s="147">
        <v>0</v>
      </c>
      <c r="K2135" s="147">
        <v>0</v>
      </c>
      <c r="L2135" s="148">
        <v>14</v>
      </c>
      <c r="M2135" s="154">
        <f t="shared" si="790"/>
        <v>1</v>
      </c>
      <c r="N2135" s="155">
        <f t="shared" si="791"/>
        <v>15</v>
      </c>
      <c r="O2135" s="168">
        <f t="shared" si="793"/>
        <v>3.2258064516129031E-2</v>
      </c>
      <c r="P2135" s="157">
        <f t="shared" si="793"/>
        <v>0.4838709677419355</v>
      </c>
    </row>
    <row r="2136" spans="1:16">
      <c r="A2136" s="474"/>
      <c r="B2136" s="127">
        <v>11</v>
      </c>
      <c r="C2136" s="367">
        <v>0</v>
      </c>
      <c r="D2136" s="367">
        <v>0</v>
      </c>
      <c r="E2136" s="367">
        <v>0</v>
      </c>
      <c r="F2136" s="367">
        <v>0</v>
      </c>
      <c r="G2136" s="367">
        <v>0</v>
      </c>
      <c r="H2136" s="367">
        <v>0</v>
      </c>
      <c r="I2136" s="367">
        <v>0</v>
      </c>
      <c r="J2136" s="367">
        <v>0</v>
      </c>
      <c r="K2136" s="367">
        <v>0</v>
      </c>
      <c r="L2136" s="368">
        <v>0</v>
      </c>
      <c r="M2136" s="154">
        <f t="shared" si="790"/>
        <v>0</v>
      </c>
      <c r="N2136" s="155">
        <f t="shared" si="791"/>
        <v>0</v>
      </c>
      <c r="O2136" s="168">
        <f t="shared" si="793"/>
        <v>0</v>
      </c>
      <c r="P2136" s="157">
        <f t="shared" si="793"/>
        <v>0</v>
      </c>
    </row>
    <row r="2137" spans="1:16" ht="14.25" thickBot="1">
      <c r="A2137" s="475"/>
      <c r="B2137" s="127">
        <v>12</v>
      </c>
      <c r="C2137" s="187">
        <v>0</v>
      </c>
      <c r="D2137" s="187">
        <v>0</v>
      </c>
      <c r="E2137" s="187">
        <v>0</v>
      </c>
      <c r="F2137" s="188">
        <v>0</v>
      </c>
      <c r="G2137" s="187">
        <v>0</v>
      </c>
      <c r="H2137" s="187">
        <v>0</v>
      </c>
      <c r="I2137" s="187">
        <v>0</v>
      </c>
      <c r="J2137" s="187">
        <v>0</v>
      </c>
      <c r="K2137" s="187">
        <v>0</v>
      </c>
      <c r="L2137" s="189">
        <v>0</v>
      </c>
      <c r="M2137" s="154">
        <f t="shared" si="790"/>
        <v>0</v>
      </c>
      <c r="N2137" s="155">
        <f t="shared" si="791"/>
        <v>0</v>
      </c>
      <c r="O2137" s="168">
        <f t="shared" si="793"/>
        <v>0</v>
      </c>
      <c r="P2137" s="157">
        <f t="shared" si="793"/>
        <v>0</v>
      </c>
    </row>
    <row r="2138" spans="1:16">
      <c r="A2138" s="473">
        <v>2019</v>
      </c>
      <c r="B2138" s="410">
        <v>1</v>
      </c>
      <c r="C2138" s="422">
        <v>0</v>
      </c>
      <c r="D2138" s="422">
        <v>0</v>
      </c>
      <c r="E2138" s="422">
        <v>0</v>
      </c>
      <c r="F2138" s="422">
        <v>0</v>
      </c>
      <c r="G2138" s="422">
        <v>0</v>
      </c>
      <c r="H2138" s="422">
        <v>0</v>
      </c>
      <c r="I2138" s="422">
        <v>0</v>
      </c>
      <c r="J2138" s="422">
        <v>0</v>
      </c>
      <c r="K2138" s="422">
        <v>0</v>
      </c>
      <c r="L2138" s="432">
        <v>0</v>
      </c>
      <c r="M2138" s="424">
        <f t="shared" si="790"/>
        <v>0</v>
      </c>
      <c r="N2138" s="425">
        <f t="shared" si="791"/>
        <v>0</v>
      </c>
      <c r="O2138" s="430">
        <f t="shared" ref="O2138:O2142" si="794">M2138/31</f>
        <v>0</v>
      </c>
      <c r="P2138" s="427">
        <f t="shared" ref="P2138:P2142" si="795">N2138/31</f>
        <v>0</v>
      </c>
    </row>
    <row r="2139" spans="1:16">
      <c r="A2139" s="474"/>
      <c r="B2139" s="127">
        <v>2</v>
      </c>
      <c r="C2139" s="147">
        <v>0</v>
      </c>
      <c r="D2139" s="147">
        <v>0</v>
      </c>
      <c r="E2139" s="147">
        <v>0</v>
      </c>
      <c r="F2139" s="147">
        <v>0</v>
      </c>
      <c r="G2139" s="147">
        <v>0</v>
      </c>
      <c r="H2139" s="147">
        <v>0</v>
      </c>
      <c r="I2139" s="147">
        <v>0</v>
      </c>
      <c r="J2139" s="147">
        <v>0</v>
      </c>
      <c r="K2139" s="147">
        <v>0</v>
      </c>
      <c r="L2139" s="174">
        <v>0</v>
      </c>
      <c r="M2139" s="149">
        <f t="shared" si="790"/>
        <v>0</v>
      </c>
      <c r="N2139" s="150">
        <f t="shared" si="791"/>
        <v>0</v>
      </c>
      <c r="O2139" s="167">
        <f t="shared" si="794"/>
        <v>0</v>
      </c>
      <c r="P2139" s="152">
        <f t="shared" si="795"/>
        <v>0</v>
      </c>
    </row>
    <row r="2140" spans="1:16">
      <c r="A2140" s="474"/>
      <c r="B2140" s="127">
        <v>3</v>
      </c>
      <c r="C2140" s="147">
        <v>0</v>
      </c>
      <c r="D2140" s="147">
        <v>0</v>
      </c>
      <c r="E2140" s="147">
        <v>0</v>
      </c>
      <c r="F2140" s="147">
        <v>0</v>
      </c>
      <c r="G2140" s="147">
        <v>0</v>
      </c>
      <c r="H2140" s="147">
        <v>0</v>
      </c>
      <c r="I2140" s="147">
        <v>0</v>
      </c>
      <c r="J2140" s="147">
        <v>0</v>
      </c>
      <c r="K2140" s="147">
        <v>0</v>
      </c>
      <c r="L2140" s="174">
        <v>0</v>
      </c>
      <c r="M2140" s="149">
        <f t="shared" si="790"/>
        <v>0</v>
      </c>
      <c r="N2140" s="150">
        <f t="shared" si="791"/>
        <v>0</v>
      </c>
      <c r="O2140" s="167">
        <f t="shared" si="794"/>
        <v>0</v>
      </c>
      <c r="P2140" s="152">
        <f t="shared" si="795"/>
        <v>0</v>
      </c>
    </row>
    <row r="2141" spans="1:16">
      <c r="A2141" s="474"/>
      <c r="B2141" s="127">
        <v>4</v>
      </c>
      <c r="C2141" s="158">
        <v>0</v>
      </c>
      <c r="D2141" s="158">
        <v>0</v>
      </c>
      <c r="E2141" s="158">
        <v>0</v>
      </c>
      <c r="F2141" s="158">
        <v>0</v>
      </c>
      <c r="G2141" s="158">
        <v>0</v>
      </c>
      <c r="H2141" s="158">
        <v>0</v>
      </c>
      <c r="I2141" s="158">
        <v>0</v>
      </c>
      <c r="J2141" s="158">
        <v>0</v>
      </c>
      <c r="K2141" s="158">
        <v>0</v>
      </c>
      <c r="L2141" s="159">
        <v>0</v>
      </c>
      <c r="M2141" s="154">
        <f t="shared" si="790"/>
        <v>0</v>
      </c>
      <c r="N2141" s="155">
        <f t="shared" si="791"/>
        <v>0</v>
      </c>
      <c r="O2141" s="168">
        <f t="shared" si="794"/>
        <v>0</v>
      </c>
      <c r="P2141" s="157">
        <f t="shared" si="795"/>
        <v>0</v>
      </c>
    </row>
    <row r="2142" spans="1:16">
      <c r="A2142" s="474"/>
      <c r="B2142" s="127">
        <v>5</v>
      </c>
      <c r="C2142" s="158">
        <v>0</v>
      </c>
      <c r="D2142" s="158">
        <v>0</v>
      </c>
      <c r="E2142" s="158">
        <v>0</v>
      </c>
      <c r="F2142" s="158">
        <v>0</v>
      </c>
      <c r="G2142" s="158">
        <v>0</v>
      </c>
      <c r="H2142" s="158">
        <v>0</v>
      </c>
      <c r="I2142" s="158">
        <v>0</v>
      </c>
      <c r="J2142" s="158">
        <v>0</v>
      </c>
      <c r="K2142" s="158">
        <v>0</v>
      </c>
      <c r="L2142" s="159">
        <v>0</v>
      </c>
      <c r="M2142" s="154">
        <f t="shared" si="790"/>
        <v>0</v>
      </c>
      <c r="N2142" s="155">
        <f t="shared" si="791"/>
        <v>0</v>
      </c>
      <c r="O2142" s="168">
        <f t="shared" si="794"/>
        <v>0</v>
      </c>
      <c r="P2142" s="157">
        <f t="shared" si="795"/>
        <v>0</v>
      </c>
    </row>
    <row r="2143" spans="1:16">
      <c r="A2143" s="474"/>
      <c r="B2143" s="127">
        <v>6</v>
      </c>
      <c r="C2143" s="158">
        <v>0</v>
      </c>
      <c r="D2143" s="158">
        <v>0</v>
      </c>
      <c r="E2143" s="158">
        <v>0</v>
      </c>
      <c r="F2143" s="158">
        <v>0</v>
      </c>
      <c r="G2143" s="158">
        <v>0</v>
      </c>
      <c r="H2143" s="158">
        <v>0</v>
      </c>
      <c r="I2143" s="158">
        <v>0</v>
      </c>
      <c r="J2143" s="158">
        <v>0</v>
      </c>
      <c r="K2143" s="158">
        <v>0</v>
      </c>
      <c r="L2143" s="158">
        <v>0</v>
      </c>
      <c r="M2143" s="154">
        <f t="shared" si="790"/>
        <v>0</v>
      </c>
      <c r="N2143" s="155">
        <f t="shared" si="791"/>
        <v>0</v>
      </c>
      <c r="O2143" s="168">
        <f>M2143/30</f>
        <v>0</v>
      </c>
      <c r="P2143" s="157">
        <f>N2143/30</f>
        <v>0</v>
      </c>
    </row>
    <row r="2144" spans="1:16">
      <c r="A2144" s="474"/>
      <c r="B2144" s="127">
        <v>7</v>
      </c>
      <c r="C2144" s="158">
        <v>0</v>
      </c>
      <c r="D2144" s="158">
        <v>0</v>
      </c>
      <c r="E2144" s="158">
        <v>0</v>
      </c>
      <c r="F2144" s="158">
        <v>0</v>
      </c>
      <c r="G2144" s="158">
        <v>1</v>
      </c>
      <c r="H2144" s="158">
        <v>1</v>
      </c>
      <c r="I2144" s="158">
        <v>0</v>
      </c>
      <c r="J2144" s="158">
        <v>0</v>
      </c>
      <c r="K2144" s="158">
        <v>2</v>
      </c>
      <c r="L2144" s="158">
        <v>0</v>
      </c>
      <c r="M2144" s="154">
        <f t="shared" si="790"/>
        <v>3</v>
      </c>
      <c r="N2144" s="155">
        <f t="shared" si="791"/>
        <v>1</v>
      </c>
      <c r="O2144" s="168">
        <f t="shared" ref="O2144:O2145" si="796">M2144/31</f>
        <v>9.6774193548387094E-2</v>
      </c>
      <c r="P2144" s="157">
        <f t="shared" ref="P2144:P2145" si="797">N2144/31</f>
        <v>3.2258064516129031E-2</v>
      </c>
    </row>
    <row r="2145" spans="1:16">
      <c r="A2145" s="474"/>
      <c r="B2145" s="127">
        <v>8</v>
      </c>
      <c r="C2145" s="158">
        <v>0</v>
      </c>
      <c r="D2145" s="158">
        <v>0</v>
      </c>
      <c r="E2145" s="158">
        <v>0</v>
      </c>
      <c r="F2145" s="158">
        <v>0</v>
      </c>
      <c r="G2145" s="158">
        <v>1</v>
      </c>
      <c r="H2145" s="158">
        <v>2</v>
      </c>
      <c r="I2145" s="158">
        <v>0</v>
      </c>
      <c r="J2145" s="158">
        <v>0</v>
      </c>
      <c r="K2145" s="158">
        <v>0</v>
      </c>
      <c r="L2145" s="159">
        <v>0</v>
      </c>
      <c r="M2145" s="177">
        <f t="shared" si="790"/>
        <v>1</v>
      </c>
      <c r="N2145" s="158">
        <f t="shared" si="791"/>
        <v>2</v>
      </c>
      <c r="O2145" s="168">
        <f t="shared" si="796"/>
        <v>3.2258064516129031E-2</v>
      </c>
      <c r="P2145" s="157">
        <f t="shared" si="797"/>
        <v>6.4516129032258063E-2</v>
      </c>
    </row>
    <row r="2146" spans="1:16">
      <c r="A2146" s="474"/>
      <c r="B2146" s="127">
        <v>9</v>
      </c>
      <c r="C2146" s="147">
        <v>1</v>
      </c>
      <c r="D2146" s="147">
        <v>0</v>
      </c>
      <c r="E2146" s="147">
        <v>0</v>
      </c>
      <c r="F2146" s="147">
        <v>0</v>
      </c>
      <c r="G2146" s="147">
        <v>0</v>
      </c>
      <c r="H2146" s="147">
        <v>0</v>
      </c>
      <c r="I2146" s="147">
        <v>0</v>
      </c>
      <c r="J2146" s="147">
        <v>0</v>
      </c>
      <c r="K2146" s="147">
        <v>0</v>
      </c>
      <c r="L2146" s="147">
        <v>0</v>
      </c>
      <c r="M2146" s="177">
        <v>1</v>
      </c>
      <c r="N2146" s="158">
        <v>0</v>
      </c>
      <c r="O2146" s="168">
        <v>3.2258064516129031E-2</v>
      </c>
      <c r="P2146" s="157">
        <v>0</v>
      </c>
    </row>
    <row r="2147" spans="1:16">
      <c r="A2147" s="474"/>
      <c r="B2147" s="127">
        <v>10</v>
      </c>
      <c r="C2147" s="147">
        <v>0</v>
      </c>
      <c r="D2147" s="147">
        <v>3</v>
      </c>
      <c r="E2147" s="147">
        <v>0</v>
      </c>
      <c r="F2147" s="181">
        <v>0</v>
      </c>
      <c r="G2147" s="147">
        <v>0</v>
      </c>
      <c r="H2147" s="147">
        <v>0</v>
      </c>
      <c r="I2147" s="147">
        <v>0</v>
      </c>
      <c r="J2147" s="147">
        <v>0</v>
      </c>
      <c r="K2147" s="147">
        <v>0</v>
      </c>
      <c r="L2147" s="148">
        <v>0</v>
      </c>
      <c r="M2147" s="154">
        <f t="shared" ref="M2147:M2149" si="798">+C2147+E2147+G2147+I2147+K2147</f>
        <v>0</v>
      </c>
      <c r="N2147" s="155">
        <f t="shared" ref="N2147:N2149" si="799">+D2147+F2147+H2147+J2147+L2147</f>
        <v>3</v>
      </c>
      <c r="O2147" s="168">
        <f t="shared" ref="O2147:O2149" si="800">M2147/31</f>
        <v>0</v>
      </c>
      <c r="P2147" s="157">
        <f t="shared" ref="P2147:P2149" si="801">N2147/31</f>
        <v>9.6774193548387094E-2</v>
      </c>
    </row>
    <row r="2148" spans="1:16">
      <c r="A2148" s="474"/>
      <c r="B2148" s="127">
        <v>11</v>
      </c>
      <c r="C2148" s="367">
        <v>0</v>
      </c>
      <c r="D2148" s="367">
        <v>0</v>
      </c>
      <c r="E2148" s="367">
        <v>0</v>
      </c>
      <c r="F2148" s="367">
        <v>0</v>
      </c>
      <c r="G2148" s="367">
        <v>0</v>
      </c>
      <c r="H2148" s="367">
        <v>0</v>
      </c>
      <c r="I2148" s="367">
        <v>0</v>
      </c>
      <c r="J2148" s="367">
        <v>0</v>
      </c>
      <c r="K2148" s="367">
        <v>0</v>
      </c>
      <c r="L2148" s="368">
        <v>0</v>
      </c>
      <c r="M2148" s="154">
        <f t="shared" si="798"/>
        <v>0</v>
      </c>
      <c r="N2148" s="155">
        <f t="shared" si="799"/>
        <v>0</v>
      </c>
      <c r="O2148" s="168">
        <f t="shared" si="800"/>
        <v>0</v>
      </c>
      <c r="P2148" s="157">
        <f t="shared" si="801"/>
        <v>0</v>
      </c>
    </row>
    <row r="2149" spans="1:16" ht="14.25" thickBot="1">
      <c r="A2149" s="475"/>
      <c r="B2149" s="127">
        <v>12</v>
      </c>
      <c r="C2149" s="187">
        <v>0</v>
      </c>
      <c r="D2149" s="187">
        <v>0</v>
      </c>
      <c r="E2149" s="187">
        <v>0</v>
      </c>
      <c r="F2149" s="188">
        <v>0</v>
      </c>
      <c r="G2149" s="187">
        <v>0</v>
      </c>
      <c r="H2149" s="187">
        <v>0</v>
      </c>
      <c r="I2149" s="187">
        <v>0</v>
      </c>
      <c r="J2149" s="187">
        <v>0</v>
      </c>
      <c r="K2149" s="187">
        <v>0</v>
      </c>
      <c r="L2149" s="189">
        <v>0</v>
      </c>
      <c r="M2149" s="154">
        <f t="shared" si="798"/>
        <v>0</v>
      </c>
      <c r="N2149" s="155">
        <f t="shared" si="799"/>
        <v>0</v>
      </c>
      <c r="O2149" s="168">
        <f t="shared" si="800"/>
        <v>0</v>
      </c>
      <c r="P2149" s="157">
        <f t="shared" si="801"/>
        <v>0</v>
      </c>
    </row>
    <row r="2150" spans="1:16">
      <c r="A2150" s="473">
        <v>2020</v>
      </c>
      <c r="B2150" s="410">
        <v>1</v>
      </c>
      <c r="C2150" s="434">
        <v>0</v>
      </c>
      <c r="D2150" s="434">
        <v>0</v>
      </c>
      <c r="E2150" s="434">
        <v>0</v>
      </c>
      <c r="F2150" s="434">
        <v>0</v>
      </c>
      <c r="G2150" s="434">
        <v>0</v>
      </c>
      <c r="H2150" s="434">
        <v>0</v>
      </c>
      <c r="I2150" s="434">
        <v>0</v>
      </c>
      <c r="J2150" s="434">
        <v>0</v>
      </c>
      <c r="K2150" s="434">
        <v>0</v>
      </c>
      <c r="L2150" s="436">
        <v>0</v>
      </c>
      <c r="M2150" s="424">
        <f t="shared" ref="M2150:M2161" si="802">+C2150+E2150+G2150+I2150+K2150</f>
        <v>0</v>
      </c>
      <c r="N2150" s="425">
        <f t="shared" ref="N2150:N2161" si="803">+D2150+F2150+H2150+J2150+L2150</f>
        <v>0</v>
      </c>
      <c r="O2150" s="430">
        <f t="shared" si="793"/>
        <v>0</v>
      </c>
      <c r="P2150" s="427">
        <f t="shared" si="793"/>
        <v>0</v>
      </c>
    </row>
    <row r="2151" spans="1:16">
      <c r="A2151" s="474"/>
      <c r="B2151" s="127">
        <v>2</v>
      </c>
      <c r="C2151" s="147">
        <v>0</v>
      </c>
      <c r="D2151" s="147">
        <v>0</v>
      </c>
      <c r="E2151" s="147">
        <v>0</v>
      </c>
      <c r="F2151" s="147">
        <v>0</v>
      </c>
      <c r="G2151" s="147">
        <v>0</v>
      </c>
      <c r="H2151" s="147">
        <v>0</v>
      </c>
      <c r="I2151" s="147">
        <v>0</v>
      </c>
      <c r="J2151" s="147">
        <v>0</v>
      </c>
      <c r="K2151" s="147">
        <v>0</v>
      </c>
      <c r="L2151" s="148">
        <v>0</v>
      </c>
      <c r="M2151" s="149">
        <f t="shared" si="802"/>
        <v>0</v>
      </c>
      <c r="N2151" s="150">
        <f t="shared" si="803"/>
        <v>0</v>
      </c>
      <c r="O2151" s="167">
        <f t="shared" si="793"/>
        <v>0</v>
      </c>
      <c r="P2151" s="152">
        <f t="shared" si="793"/>
        <v>0</v>
      </c>
    </row>
    <row r="2152" spans="1:16">
      <c r="A2152" s="474"/>
      <c r="B2152" s="127">
        <v>3</v>
      </c>
      <c r="C2152" s="147">
        <v>0</v>
      </c>
      <c r="D2152" s="147">
        <v>0</v>
      </c>
      <c r="E2152" s="147">
        <v>0</v>
      </c>
      <c r="F2152" s="147">
        <v>0</v>
      </c>
      <c r="G2152" s="147">
        <v>0</v>
      </c>
      <c r="H2152" s="147">
        <v>0</v>
      </c>
      <c r="I2152" s="147">
        <v>0</v>
      </c>
      <c r="J2152" s="147">
        <v>0</v>
      </c>
      <c r="K2152" s="147">
        <v>0</v>
      </c>
      <c r="L2152" s="148">
        <v>0</v>
      </c>
      <c r="M2152" s="149">
        <f t="shared" si="802"/>
        <v>0</v>
      </c>
      <c r="N2152" s="150">
        <f t="shared" si="803"/>
        <v>0</v>
      </c>
      <c r="O2152" s="167">
        <f t="shared" si="793"/>
        <v>0</v>
      </c>
      <c r="P2152" s="152">
        <f t="shared" si="793"/>
        <v>0</v>
      </c>
    </row>
    <row r="2153" spans="1:16">
      <c r="A2153" s="474"/>
      <c r="B2153" s="127">
        <v>4</v>
      </c>
      <c r="C2153" s="147">
        <v>0</v>
      </c>
      <c r="D2153" s="147">
        <v>0</v>
      </c>
      <c r="E2153" s="147">
        <v>0</v>
      </c>
      <c r="F2153" s="147">
        <v>0</v>
      </c>
      <c r="G2153" s="147">
        <v>0</v>
      </c>
      <c r="H2153" s="147">
        <v>0</v>
      </c>
      <c r="I2153" s="147">
        <v>0</v>
      </c>
      <c r="J2153" s="147">
        <v>0</v>
      </c>
      <c r="K2153" s="147">
        <v>0</v>
      </c>
      <c r="L2153" s="148">
        <v>0</v>
      </c>
      <c r="M2153" s="154">
        <f t="shared" si="802"/>
        <v>0</v>
      </c>
      <c r="N2153" s="155">
        <f t="shared" si="803"/>
        <v>0</v>
      </c>
      <c r="O2153" s="168">
        <f t="shared" si="793"/>
        <v>0</v>
      </c>
      <c r="P2153" s="157">
        <f t="shared" si="793"/>
        <v>0</v>
      </c>
    </row>
    <row r="2154" spans="1:16">
      <c r="A2154" s="474"/>
      <c r="B2154" s="127">
        <v>5</v>
      </c>
      <c r="C2154" s="147">
        <v>0</v>
      </c>
      <c r="D2154" s="147">
        <v>0</v>
      </c>
      <c r="E2154" s="147">
        <v>0</v>
      </c>
      <c r="F2154" s="147">
        <v>0</v>
      </c>
      <c r="G2154" s="147">
        <v>0</v>
      </c>
      <c r="H2154" s="147">
        <v>0</v>
      </c>
      <c r="I2154" s="147">
        <v>0</v>
      </c>
      <c r="J2154" s="147">
        <v>0</v>
      </c>
      <c r="K2154" s="147">
        <v>0</v>
      </c>
      <c r="L2154" s="148">
        <v>0</v>
      </c>
      <c r="M2154" s="154">
        <f t="shared" si="802"/>
        <v>0</v>
      </c>
      <c r="N2154" s="155">
        <f t="shared" si="803"/>
        <v>0</v>
      </c>
      <c r="O2154" s="168">
        <f t="shared" si="793"/>
        <v>0</v>
      </c>
      <c r="P2154" s="157">
        <f t="shared" si="793"/>
        <v>0</v>
      </c>
    </row>
    <row r="2155" spans="1:16">
      <c r="A2155" s="474"/>
      <c r="B2155" s="127">
        <v>6</v>
      </c>
      <c r="C2155" s="147">
        <f>集計用!C59</f>
        <v>0</v>
      </c>
      <c r="D2155" s="147">
        <f>集計用!S59</f>
        <v>0</v>
      </c>
      <c r="E2155" s="147">
        <f>集計用!E59</f>
        <v>0</v>
      </c>
      <c r="F2155" s="147">
        <f>集計用!U59</f>
        <v>0</v>
      </c>
      <c r="G2155" s="147">
        <f>集計用!G59</f>
        <v>0</v>
      </c>
      <c r="H2155" s="147">
        <f>集計用!W59</f>
        <v>0</v>
      </c>
      <c r="I2155" s="147">
        <f>集計用!I59</f>
        <v>0</v>
      </c>
      <c r="J2155" s="147">
        <f>集計用!Y59</f>
        <v>0</v>
      </c>
      <c r="K2155" s="147">
        <f>集計用!K59</f>
        <v>0</v>
      </c>
      <c r="L2155" s="148">
        <f>集計用!AA59</f>
        <v>0</v>
      </c>
      <c r="M2155" s="154">
        <f t="shared" si="802"/>
        <v>0</v>
      </c>
      <c r="N2155" s="155">
        <f t="shared" si="803"/>
        <v>0</v>
      </c>
      <c r="O2155" s="168">
        <f>M2155/30</f>
        <v>0</v>
      </c>
      <c r="P2155" s="157">
        <f>N2155/30</f>
        <v>0</v>
      </c>
    </row>
    <row r="2156" spans="1:16">
      <c r="A2156" s="474"/>
      <c r="B2156" s="127">
        <v>7</v>
      </c>
      <c r="C2156" s="158"/>
      <c r="D2156" s="158"/>
      <c r="E2156" s="158"/>
      <c r="F2156" s="158"/>
      <c r="G2156" s="158"/>
      <c r="H2156" s="158"/>
      <c r="I2156" s="158"/>
      <c r="J2156" s="158"/>
      <c r="K2156" s="158"/>
      <c r="L2156" s="158"/>
      <c r="M2156" s="154">
        <f t="shared" si="802"/>
        <v>0</v>
      </c>
      <c r="N2156" s="155">
        <f t="shared" si="803"/>
        <v>0</v>
      </c>
      <c r="O2156" s="168">
        <f t="shared" ref="O2156:O2161" si="804">M2156/31</f>
        <v>0</v>
      </c>
      <c r="P2156" s="157">
        <f t="shared" ref="P2156:P2161" si="805">N2156/31</f>
        <v>0</v>
      </c>
    </row>
    <row r="2157" spans="1:16">
      <c r="A2157" s="474"/>
      <c r="B2157" s="127">
        <v>8</v>
      </c>
      <c r="C2157" s="158"/>
      <c r="D2157" s="158"/>
      <c r="E2157" s="158"/>
      <c r="F2157" s="158"/>
      <c r="G2157" s="158"/>
      <c r="H2157" s="158"/>
      <c r="I2157" s="158"/>
      <c r="J2157" s="158"/>
      <c r="K2157" s="158"/>
      <c r="L2157" s="159"/>
      <c r="M2157" s="177">
        <f t="shared" si="802"/>
        <v>0</v>
      </c>
      <c r="N2157" s="158">
        <f t="shared" si="803"/>
        <v>0</v>
      </c>
      <c r="O2157" s="168">
        <f t="shared" si="804"/>
        <v>0</v>
      </c>
      <c r="P2157" s="157">
        <f t="shared" si="805"/>
        <v>0</v>
      </c>
    </row>
    <row r="2158" spans="1:16">
      <c r="A2158" s="474"/>
      <c r="B2158" s="127">
        <v>9</v>
      </c>
      <c r="C2158" s="147"/>
      <c r="D2158" s="147"/>
      <c r="E2158" s="147"/>
      <c r="F2158" s="147"/>
      <c r="G2158" s="147"/>
      <c r="H2158" s="147"/>
      <c r="I2158" s="147"/>
      <c r="J2158" s="147"/>
      <c r="K2158" s="147"/>
      <c r="L2158" s="147"/>
      <c r="M2158" s="177">
        <f t="shared" ref="M2158" si="806">+C2158+E2158+G2158+I2158+K2158</f>
        <v>0</v>
      </c>
      <c r="N2158" s="158">
        <f t="shared" ref="N2158" si="807">+D2158+F2158+H2158+J2158+L2158</f>
        <v>0</v>
      </c>
      <c r="O2158" s="168">
        <f>M2158/30</f>
        <v>0</v>
      </c>
      <c r="P2158" s="157">
        <f>N2158/30</f>
        <v>0</v>
      </c>
    </row>
    <row r="2159" spans="1:16">
      <c r="A2159" s="474"/>
      <c r="B2159" s="127">
        <v>10</v>
      </c>
      <c r="C2159" s="147"/>
      <c r="D2159" s="147"/>
      <c r="E2159" s="147"/>
      <c r="F2159" s="181"/>
      <c r="G2159" s="147"/>
      <c r="H2159" s="147"/>
      <c r="I2159" s="147"/>
      <c r="J2159" s="147"/>
      <c r="K2159" s="147"/>
      <c r="L2159" s="148"/>
      <c r="M2159" s="154">
        <f t="shared" ref="M2159" si="808">+C2159+E2159+G2159+I2159+K2159</f>
        <v>0</v>
      </c>
      <c r="N2159" s="155">
        <f t="shared" ref="N2159" si="809">+D2159+F2159+H2159+J2159+L2159</f>
        <v>0</v>
      </c>
      <c r="O2159" s="168">
        <f t="shared" ref="O2159" si="810">M2159/31</f>
        <v>0</v>
      </c>
      <c r="P2159" s="157">
        <f t="shared" ref="P2159" si="811">N2159/31</f>
        <v>0</v>
      </c>
    </row>
    <row r="2160" spans="1:16">
      <c r="A2160" s="474"/>
      <c r="B2160" s="127">
        <v>11</v>
      </c>
      <c r="C2160" s="367"/>
      <c r="D2160" s="367"/>
      <c r="E2160" s="367"/>
      <c r="F2160" s="367"/>
      <c r="G2160" s="367"/>
      <c r="H2160" s="367"/>
      <c r="I2160" s="367"/>
      <c r="J2160" s="367"/>
      <c r="K2160" s="367"/>
      <c r="L2160" s="368"/>
      <c r="M2160" s="154">
        <f t="shared" si="802"/>
        <v>0</v>
      </c>
      <c r="N2160" s="155">
        <f t="shared" si="803"/>
        <v>0</v>
      </c>
      <c r="O2160" s="168">
        <f t="shared" si="804"/>
        <v>0</v>
      </c>
      <c r="P2160" s="157">
        <f t="shared" si="805"/>
        <v>0</v>
      </c>
    </row>
    <row r="2161" spans="1:16" ht="14.25" thickBot="1">
      <c r="A2161" s="475"/>
      <c r="B2161" s="127">
        <v>12</v>
      </c>
      <c r="C2161" s="187"/>
      <c r="D2161" s="187"/>
      <c r="E2161" s="187"/>
      <c r="F2161" s="188"/>
      <c r="G2161" s="187"/>
      <c r="H2161" s="187"/>
      <c r="I2161" s="187"/>
      <c r="J2161" s="187"/>
      <c r="K2161" s="187"/>
      <c r="L2161" s="189"/>
      <c r="M2161" s="154">
        <f t="shared" si="802"/>
        <v>0</v>
      </c>
      <c r="N2161" s="155">
        <f t="shared" si="803"/>
        <v>0</v>
      </c>
      <c r="O2161" s="168">
        <f t="shared" si="804"/>
        <v>0</v>
      </c>
      <c r="P2161" s="157">
        <f t="shared" si="805"/>
        <v>0</v>
      </c>
    </row>
    <row r="2162" spans="1:16" ht="14.25" thickBot="1">
      <c r="A2162" s="180"/>
      <c r="B2162" s="160" t="s">
        <v>5</v>
      </c>
      <c r="C2162" s="161">
        <f>SUM(C2126:C2161)</f>
        <v>4</v>
      </c>
      <c r="D2162" s="161">
        <f t="shared" ref="D2162:K2162" si="812">SUM(D2126:D2161)</f>
        <v>5</v>
      </c>
      <c r="E2162" s="161">
        <f t="shared" si="812"/>
        <v>2</v>
      </c>
      <c r="F2162" s="161">
        <f t="shared" si="812"/>
        <v>5</v>
      </c>
      <c r="G2162" s="161">
        <f t="shared" si="812"/>
        <v>2</v>
      </c>
      <c r="H2162" s="161">
        <f t="shared" si="812"/>
        <v>3</v>
      </c>
      <c r="I2162" s="161">
        <f t="shared" si="812"/>
        <v>0</v>
      </c>
      <c r="J2162" s="161">
        <f t="shared" si="812"/>
        <v>0</v>
      </c>
      <c r="K2162" s="161">
        <f t="shared" si="812"/>
        <v>2</v>
      </c>
      <c r="L2162" s="161">
        <f>SUM(L2126:L2161)</f>
        <v>14</v>
      </c>
      <c r="M2162" s="162">
        <f>SUM(M2126:M2161)</f>
        <v>10</v>
      </c>
      <c r="N2162" s="161">
        <f>SUM(N2126:N2161)</f>
        <v>27</v>
      </c>
      <c r="O2162" s="161">
        <f>SUM(O2126:O2161)</f>
        <v>0.32365591397849458</v>
      </c>
      <c r="P2162" s="161">
        <f>SUM(P2126:P2161)</f>
        <v>0.87096774193548387</v>
      </c>
    </row>
    <row r="2177" spans="1:16">
      <c r="B2177" s="467" t="s">
        <v>181</v>
      </c>
      <c r="C2177" s="469" t="s">
        <v>29</v>
      </c>
      <c r="D2177" s="470"/>
      <c r="E2177" s="469" t="s">
        <v>30</v>
      </c>
      <c r="F2177" s="470"/>
      <c r="G2177" s="469" t="s">
        <v>31</v>
      </c>
      <c r="H2177" s="470"/>
      <c r="I2177" s="469" t="s">
        <v>58</v>
      </c>
      <c r="J2177" s="470"/>
      <c r="K2177" s="469" t="s">
        <v>57</v>
      </c>
      <c r="L2177" s="471"/>
      <c r="M2177" s="470" t="s">
        <v>5</v>
      </c>
      <c r="N2177" s="472"/>
      <c r="O2177" s="472" t="s">
        <v>33</v>
      </c>
      <c r="P2177" s="472"/>
    </row>
    <row r="2178" spans="1:16" ht="14.25" thickBot="1">
      <c r="B2178" s="468"/>
      <c r="C2178" s="13" t="s">
        <v>34</v>
      </c>
      <c r="D2178" s="13" t="s">
        <v>35</v>
      </c>
      <c r="E2178" s="13" t="s">
        <v>34</v>
      </c>
      <c r="F2178" s="13" t="s">
        <v>35</v>
      </c>
      <c r="G2178" s="13" t="s">
        <v>34</v>
      </c>
      <c r="H2178" s="13" t="s">
        <v>35</v>
      </c>
      <c r="I2178" s="13" t="s">
        <v>59</v>
      </c>
      <c r="J2178" s="13" t="s">
        <v>60</v>
      </c>
      <c r="K2178" s="13" t="s">
        <v>34</v>
      </c>
      <c r="L2178" s="14" t="s">
        <v>35</v>
      </c>
      <c r="M2178" s="15" t="s">
        <v>34</v>
      </c>
      <c r="N2178" s="13" t="s">
        <v>35</v>
      </c>
      <c r="O2178" s="163" t="s">
        <v>34</v>
      </c>
      <c r="P2178" s="163" t="s">
        <v>35</v>
      </c>
    </row>
    <row r="2179" spans="1:16">
      <c r="A2179" s="473">
        <v>2018</v>
      </c>
      <c r="B2179" s="410">
        <v>1</v>
      </c>
      <c r="C2179" s="422">
        <v>0</v>
      </c>
      <c r="D2179" s="422">
        <v>0</v>
      </c>
      <c r="E2179" s="422">
        <v>0</v>
      </c>
      <c r="F2179" s="422">
        <v>0</v>
      </c>
      <c r="G2179" s="422">
        <v>0</v>
      </c>
      <c r="H2179" s="422">
        <v>0</v>
      </c>
      <c r="I2179" s="422">
        <v>0</v>
      </c>
      <c r="J2179" s="422">
        <v>0</v>
      </c>
      <c r="K2179" s="422">
        <v>0</v>
      </c>
      <c r="L2179" s="432">
        <v>0</v>
      </c>
      <c r="M2179" s="424">
        <f t="shared" ref="M2179:M2198" si="813">+C2179+E2179+G2179+I2179+K2179</f>
        <v>0</v>
      </c>
      <c r="N2179" s="425">
        <f t="shared" ref="N2179:N2198" si="814">+D2179+F2179+H2179+J2179+L2179</f>
        <v>0</v>
      </c>
      <c r="O2179" s="430">
        <f t="shared" ref="O2179:P2183" si="815">M2179/31</f>
        <v>0</v>
      </c>
      <c r="P2179" s="427">
        <f t="shared" si="815"/>
        <v>0</v>
      </c>
    </row>
    <row r="2180" spans="1:16">
      <c r="A2180" s="474"/>
      <c r="B2180" s="127">
        <v>2</v>
      </c>
      <c r="C2180" s="147">
        <v>0</v>
      </c>
      <c r="D2180" s="147">
        <v>0</v>
      </c>
      <c r="E2180" s="147">
        <v>0</v>
      </c>
      <c r="F2180" s="147">
        <v>0</v>
      </c>
      <c r="G2180" s="147">
        <v>0</v>
      </c>
      <c r="H2180" s="147">
        <v>0</v>
      </c>
      <c r="I2180" s="147">
        <v>0</v>
      </c>
      <c r="J2180" s="147">
        <v>0</v>
      </c>
      <c r="K2180" s="147">
        <v>0</v>
      </c>
      <c r="L2180" s="174">
        <v>0</v>
      </c>
      <c r="M2180" s="149">
        <f t="shared" si="813"/>
        <v>0</v>
      </c>
      <c r="N2180" s="150">
        <f t="shared" si="814"/>
        <v>0</v>
      </c>
      <c r="O2180" s="167">
        <f t="shared" si="815"/>
        <v>0</v>
      </c>
      <c r="P2180" s="152">
        <f t="shared" si="815"/>
        <v>0</v>
      </c>
    </row>
    <row r="2181" spans="1:16">
      <c r="A2181" s="474"/>
      <c r="B2181" s="127">
        <v>3</v>
      </c>
      <c r="C2181" s="147">
        <v>0</v>
      </c>
      <c r="D2181" s="147">
        <v>0</v>
      </c>
      <c r="E2181" s="147">
        <v>0</v>
      </c>
      <c r="F2181" s="147">
        <v>0</v>
      </c>
      <c r="G2181" s="147">
        <v>0</v>
      </c>
      <c r="H2181" s="147">
        <v>0</v>
      </c>
      <c r="I2181" s="147">
        <v>0</v>
      </c>
      <c r="J2181" s="147">
        <v>0</v>
      </c>
      <c r="K2181" s="147">
        <v>0</v>
      </c>
      <c r="L2181" s="174">
        <v>0</v>
      </c>
      <c r="M2181" s="149">
        <f t="shared" si="813"/>
        <v>0</v>
      </c>
      <c r="N2181" s="150">
        <f t="shared" si="814"/>
        <v>0</v>
      </c>
      <c r="O2181" s="167">
        <f t="shared" si="815"/>
        <v>0</v>
      </c>
      <c r="P2181" s="152">
        <f t="shared" si="815"/>
        <v>0</v>
      </c>
    </row>
    <row r="2182" spans="1:16">
      <c r="A2182" s="474"/>
      <c r="B2182" s="127">
        <v>4</v>
      </c>
      <c r="C2182" s="158">
        <v>0</v>
      </c>
      <c r="D2182" s="158">
        <v>0</v>
      </c>
      <c r="E2182" s="158">
        <v>0</v>
      </c>
      <c r="F2182" s="158">
        <v>0</v>
      </c>
      <c r="G2182" s="158">
        <v>0</v>
      </c>
      <c r="H2182" s="158">
        <v>0</v>
      </c>
      <c r="I2182" s="158">
        <v>0</v>
      </c>
      <c r="J2182" s="158">
        <v>0</v>
      </c>
      <c r="K2182" s="158">
        <v>0</v>
      </c>
      <c r="L2182" s="159">
        <v>0</v>
      </c>
      <c r="M2182" s="154">
        <f t="shared" si="813"/>
        <v>0</v>
      </c>
      <c r="N2182" s="155">
        <f t="shared" si="814"/>
        <v>0</v>
      </c>
      <c r="O2182" s="168">
        <f t="shared" si="815"/>
        <v>0</v>
      </c>
      <c r="P2182" s="157">
        <f t="shared" si="815"/>
        <v>0</v>
      </c>
    </row>
    <row r="2183" spans="1:16">
      <c r="A2183" s="474"/>
      <c r="B2183" s="127">
        <v>5</v>
      </c>
      <c r="C2183" s="158">
        <v>0</v>
      </c>
      <c r="D2183" s="158">
        <v>0</v>
      </c>
      <c r="E2183" s="158">
        <v>0</v>
      </c>
      <c r="F2183" s="158">
        <v>0</v>
      </c>
      <c r="G2183" s="158">
        <v>0</v>
      </c>
      <c r="H2183" s="158">
        <v>0</v>
      </c>
      <c r="I2183" s="158">
        <v>0</v>
      </c>
      <c r="J2183" s="158">
        <v>0</v>
      </c>
      <c r="K2183" s="158">
        <v>0</v>
      </c>
      <c r="L2183" s="159">
        <v>0</v>
      </c>
      <c r="M2183" s="154">
        <f t="shared" si="813"/>
        <v>0</v>
      </c>
      <c r="N2183" s="155">
        <f t="shared" si="814"/>
        <v>0</v>
      </c>
      <c r="O2183" s="168">
        <f t="shared" si="815"/>
        <v>0</v>
      </c>
      <c r="P2183" s="157">
        <f t="shared" si="815"/>
        <v>0</v>
      </c>
    </row>
    <row r="2184" spans="1:16">
      <c r="A2184" s="474"/>
      <c r="B2184" s="127">
        <v>6</v>
      </c>
      <c r="C2184" s="158">
        <v>0</v>
      </c>
      <c r="D2184" s="158">
        <v>0</v>
      </c>
      <c r="E2184" s="158">
        <v>0</v>
      </c>
      <c r="F2184" s="158">
        <v>0</v>
      </c>
      <c r="G2184" s="158">
        <v>0</v>
      </c>
      <c r="H2184" s="158">
        <v>0</v>
      </c>
      <c r="I2184" s="158">
        <v>0</v>
      </c>
      <c r="J2184" s="158">
        <v>0</v>
      </c>
      <c r="K2184" s="158">
        <v>0</v>
      </c>
      <c r="L2184" s="158">
        <v>0</v>
      </c>
      <c r="M2184" s="154">
        <f t="shared" si="813"/>
        <v>0</v>
      </c>
      <c r="N2184" s="155">
        <f t="shared" si="814"/>
        <v>0</v>
      </c>
      <c r="O2184" s="168">
        <f>M2184/30</f>
        <v>0</v>
      </c>
      <c r="P2184" s="157">
        <f>N2184/30</f>
        <v>0</v>
      </c>
    </row>
    <row r="2185" spans="1:16">
      <c r="A2185" s="474"/>
      <c r="B2185" s="127">
        <v>7</v>
      </c>
      <c r="C2185" s="158">
        <v>1</v>
      </c>
      <c r="D2185" s="158">
        <v>1</v>
      </c>
      <c r="E2185" s="158">
        <v>0</v>
      </c>
      <c r="F2185" s="158">
        <v>0</v>
      </c>
      <c r="G2185" s="158">
        <v>0</v>
      </c>
      <c r="H2185" s="158">
        <v>0</v>
      </c>
      <c r="I2185" s="158">
        <v>0</v>
      </c>
      <c r="J2185" s="158">
        <v>0</v>
      </c>
      <c r="K2185" s="158">
        <v>0</v>
      </c>
      <c r="L2185" s="158">
        <v>0</v>
      </c>
      <c r="M2185" s="154">
        <f t="shared" si="813"/>
        <v>1</v>
      </c>
      <c r="N2185" s="155">
        <f t="shared" si="814"/>
        <v>1</v>
      </c>
      <c r="O2185" s="168">
        <f t="shared" ref="O2185:P2207" si="816">M2185/31</f>
        <v>3.2258064516129031E-2</v>
      </c>
      <c r="P2185" s="157">
        <f t="shared" si="816"/>
        <v>3.2258064516129031E-2</v>
      </c>
    </row>
    <row r="2186" spans="1:16">
      <c r="A2186" s="474"/>
      <c r="B2186" s="127">
        <v>8</v>
      </c>
      <c r="C2186" s="158">
        <v>0</v>
      </c>
      <c r="D2186" s="158">
        <v>0</v>
      </c>
      <c r="E2186" s="158">
        <v>0</v>
      </c>
      <c r="F2186" s="158">
        <v>0</v>
      </c>
      <c r="G2186" s="158">
        <v>0</v>
      </c>
      <c r="H2186" s="158">
        <v>0</v>
      </c>
      <c r="I2186" s="158">
        <v>0</v>
      </c>
      <c r="J2186" s="158">
        <v>0</v>
      </c>
      <c r="K2186" s="158">
        <v>0</v>
      </c>
      <c r="L2186" s="159">
        <v>0</v>
      </c>
      <c r="M2186" s="177">
        <f t="shared" si="813"/>
        <v>0</v>
      </c>
      <c r="N2186" s="158">
        <f t="shared" si="814"/>
        <v>0</v>
      </c>
      <c r="O2186" s="168">
        <f t="shared" si="816"/>
        <v>0</v>
      </c>
      <c r="P2186" s="157">
        <f t="shared" si="816"/>
        <v>0</v>
      </c>
    </row>
    <row r="2187" spans="1:16">
      <c r="A2187" s="474"/>
      <c r="B2187" s="127">
        <v>9</v>
      </c>
      <c r="C2187" s="147">
        <v>0</v>
      </c>
      <c r="D2187" s="147">
        <v>0</v>
      </c>
      <c r="E2187" s="147">
        <v>0</v>
      </c>
      <c r="F2187" s="147">
        <v>0</v>
      </c>
      <c r="G2187" s="147">
        <v>0</v>
      </c>
      <c r="H2187" s="147">
        <v>0</v>
      </c>
      <c r="I2187" s="147">
        <v>0</v>
      </c>
      <c r="J2187" s="147">
        <v>0</v>
      </c>
      <c r="K2187" s="147">
        <v>0</v>
      </c>
      <c r="L2187" s="147">
        <v>0</v>
      </c>
      <c r="M2187" s="177">
        <f t="shared" si="813"/>
        <v>0</v>
      </c>
      <c r="N2187" s="158">
        <f t="shared" si="814"/>
        <v>0</v>
      </c>
      <c r="O2187" s="168">
        <f t="shared" si="816"/>
        <v>0</v>
      </c>
      <c r="P2187" s="157">
        <f t="shared" si="816"/>
        <v>0</v>
      </c>
    </row>
    <row r="2188" spans="1:16">
      <c r="A2188" s="474"/>
      <c r="B2188" s="127">
        <v>10</v>
      </c>
      <c r="C2188" s="147">
        <v>2</v>
      </c>
      <c r="D2188" s="147">
        <v>0</v>
      </c>
      <c r="E2188" s="147">
        <v>0</v>
      </c>
      <c r="F2188" s="181">
        <v>0</v>
      </c>
      <c r="G2188" s="147">
        <v>0</v>
      </c>
      <c r="H2188" s="147">
        <v>0</v>
      </c>
      <c r="I2188" s="147">
        <v>0</v>
      </c>
      <c r="J2188" s="147">
        <v>0</v>
      </c>
      <c r="K2188" s="147">
        <v>0</v>
      </c>
      <c r="L2188" s="148">
        <v>0</v>
      </c>
      <c r="M2188" s="154">
        <f t="shared" si="813"/>
        <v>2</v>
      </c>
      <c r="N2188" s="155">
        <f t="shared" si="814"/>
        <v>0</v>
      </c>
      <c r="O2188" s="168">
        <f t="shared" si="816"/>
        <v>6.4516129032258063E-2</v>
      </c>
      <c r="P2188" s="157">
        <f t="shared" si="816"/>
        <v>0</v>
      </c>
    </row>
    <row r="2189" spans="1:16">
      <c r="A2189" s="474"/>
      <c r="B2189" s="127">
        <v>11</v>
      </c>
      <c r="C2189" s="367">
        <v>0</v>
      </c>
      <c r="D2189" s="367">
        <v>2</v>
      </c>
      <c r="E2189" s="367">
        <v>0</v>
      </c>
      <c r="F2189" s="367">
        <v>0</v>
      </c>
      <c r="G2189" s="367">
        <v>2</v>
      </c>
      <c r="H2189" s="367">
        <v>3</v>
      </c>
      <c r="I2189" s="367">
        <v>0</v>
      </c>
      <c r="J2189" s="367">
        <v>0</v>
      </c>
      <c r="K2189" s="367">
        <v>0</v>
      </c>
      <c r="L2189" s="368">
        <v>0</v>
      </c>
      <c r="M2189" s="154">
        <f t="shared" si="813"/>
        <v>2</v>
      </c>
      <c r="N2189" s="155">
        <f t="shared" si="814"/>
        <v>5</v>
      </c>
      <c r="O2189" s="168">
        <f t="shared" si="816"/>
        <v>6.4516129032258063E-2</v>
      </c>
      <c r="P2189" s="157">
        <f t="shared" si="816"/>
        <v>0.16129032258064516</v>
      </c>
    </row>
    <row r="2190" spans="1:16" ht="14.25" thickBot="1">
      <c r="A2190" s="475"/>
      <c r="B2190" s="127">
        <v>12</v>
      </c>
      <c r="C2190" s="187">
        <v>0</v>
      </c>
      <c r="D2190" s="187">
        <v>0</v>
      </c>
      <c r="E2190" s="187">
        <v>0</v>
      </c>
      <c r="F2190" s="188">
        <v>0</v>
      </c>
      <c r="G2190" s="187">
        <v>0</v>
      </c>
      <c r="H2190" s="187">
        <v>0</v>
      </c>
      <c r="I2190" s="187">
        <v>0</v>
      </c>
      <c r="J2190" s="187">
        <v>0</v>
      </c>
      <c r="K2190" s="187">
        <v>0</v>
      </c>
      <c r="L2190" s="189">
        <v>0</v>
      </c>
      <c r="M2190" s="154">
        <f t="shared" si="813"/>
        <v>0</v>
      </c>
      <c r="N2190" s="155">
        <f t="shared" si="814"/>
        <v>0</v>
      </c>
      <c r="O2190" s="168">
        <f t="shared" si="816"/>
        <v>0</v>
      </c>
      <c r="P2190" s="157">
        <f t="shared" si="816"/>
        <v>0</v>
      </c>
    </row>
    <row r="2191" spans="1:16">
      <c r="A2191" s="473">
        <v>2019</v>
      </c>
      <c r="B2191" s="410">
        <v>1</v>
      </c>
      <c r="C2191" s="422">
        <v>1</v>
      </c>
      <c r="D2191" s="422">
        <v>4</v>
      </c>
      <c r="E2191" s="422">
        <v>0</v>
      </c>
      <c r="F2191" s="422">
        <v>0</v>
      </c>
      <c r="G2191" s="422">
        <v>0</v>
      </c>
      <c r="H2191" s="422">
        <v>0</v>
      </c>
      <c r="I2191" s="422">
        <v>0</v>
      </c>
      <c r="J2191" s="422">
        <v>0</v>
      </c>
      <c r="K2191" s="422">
        <v>0</v>
      </c>
      <c r="L2191" s="432">
        <v>0</v>
      </c>
      <c r="M2191" s="424">
        <f t="shared" si="813"/>
        <v>1</v>
      </c>
      <c r="N2191" s="425">
        <f t="shared" si="814"/>
        <v>4</v>
      </c>
      <c r="O2191" s="430">
        <f t="shared" ref="O2191:O2195" si="817">M2191/31</f>
        <v>3.2258064516129031E-2</v>
      </c>
      <c r="P2191" s="427">
        <f t="shared" ref="P2191:P2195" si="818">N2191/31</f>
        <v>0.12903225806451613</v>
      </c>
    </row>
    <row r="2192" spans="1:16">
      <c r="A2192" s="474"/>
      <c r="B2192" s="127">
        <v>2</v>
      </c>
      <c r="C2192" s="147">
        <v>0</v>
      </c>
      <c r="D2192" s="147">
        <v>0</v>
      </c>
      <c r="E2192" s="147">
        <v>0</v>
      </c>
      <c r="F2192" s="147">
        <v>0</v>
      </c>
      <c r="G2192" s="147">
        <v>0</v>
      </c>
      <c r="H2192" s="147">
        <v>0</v>
      </c>
      <c r="I2192" s="147">
        <v>0</v>
      </c>
      <c r="J2192" s="147">
        <v>0</v>
      </c>
      <c r="K2192" s="147">
        <v>0</v>
      </c>
      <c r="L2192" s="174">
        <v>0</v>
      </c>
      <c r="M2192" s="149">
        <f t="shared" si="813"/>
        <v>0</v>
      </c>
      <c r="N2192" s="150">
        <f t="shared" si="814"/>
        <v>0</v>
      </c>
      <c r="O2192" s="167">
        <f t="shared" si="817"/>
        <v>0</v>
      </c>
      <c r="P2192" s="152">
        <f t="shared" si="818"/>
        <v>0</v>
      </c>
    </row>
    <row r="2193" spans="1:16">
      <c r="A2193" s="474"/>
      <c r="B2193" s="127">
        <v>3</v>
      </c>
      <c r="C2193" s="147">
        <v>0</v>
      </c>
      <c r="D2193" s="147">
        <v>0</v>
      </c>
      <c r="E2193" s="147">
        <v>0</v>
      </c>
      <c r="F2193" s="147">
        <v>0</v>
      </c>
      <c r="G2193" s="147">
        <v>0</v>
      </c>
      <c r="H2193" s="147">
        <v>0</v>
      </c>
      <c r="I2193" s="147">
        <v>0</v>
      </c>
      <c r="J2193" s="147">
        <v>0</v>
      </c>
      <c r="K2193" s="147">
        <v>0</v>
      </c>
      <c r="L2193" s="174">
        <v>0</v>
      </c>
      <c r="M2193" s="149">
        <f t="shared" si="813"/>
        <v>0</v>
      </c>
      <c r="N2193" s="150">
        <f t="shared" si="814"/>
        <v>0</v>
      </c>
      <c r="O2193" s="167">
        <f t="shared" si="817"/>
        <v>0</v>
      </c>
      <c r="P2193" s="152">
        <f t="shared" si="818"/>
        <v>0</v>
      </c>
    </row>
    <row r="2194" spans="1:16">
      <c r="A2194" s="474"/>
      <c r="B2194" s="127">
        <v>4</v>
      </c>
      <c r="C2194" s="158">
        <v>0</v>
      </c>
      <c r="D2194" s="158">
        <v>0</v>
      </c>
      <c r="E2194" s="158">
        <v>0</v>
      </c>
      <c r="F2194" s="158">
        <v>0</v>
      </c>
      <c r="G2194" s="158">
        <v>0</v>
      </c>
      <c r="H2194" s="158">
        <v>0</v>
      </c>
      <c r="I2194" s="158">
        <v>0</v>
      </c>
      <c r="J2194" s="158">
        <v>0</v>
      </c>
      <c r="K2194" s="158">
        <v>0</v>
      </c>
      <c r="L2194" s="159">
        <v>0</v>
      </c>
      <c r="M2194" s="154">
        <f t="shared" si="813"/>
        <v>0</v>
      </c>
      <c r="N2194" s="155">
        <f t="shared" si="814"/>
        <v>0</v>
      </c>
      <c r="O2194" s="168">
        <f t="shared" si="817"/>
        <v>0</v>
      </c>
      <c r="P2194" s="157">
        <f t="shared" si="818"/>
        <v>0</v>
      </c>
    </row>
    <row r="2195" spans="1:16">
      <c r="A2195" s="474"/>
      <c r="B2195" s="127">
        <v>5</v>
      </c>
      <c r="C2195" s="158">
        <v>0</v>
      </c>
      <c r="D2195" s="158">
        <v>0</v>
      </c>
      <c r="E2195" s="158">
        <v>0</v>
      </c>
      <c r="F2195" s="158">
        <v>0</v>
      </c>
      <c r="G2195" s="158">
        <v>0</v>
      </c>
      <c r="H2195" s="158">
        <v>0</v>
      </c>
      <c r="I2195" s="158">
        <v>0</v>
      </c>
      <c r="J2195" s="158">
        <v>0</v>
      </c>
      <c r="K2195" s="158">
        <v>0</v>
      </c>
      <c r="L2195" s="159">
        <v>0</v>
      </c>
      <c r="M2195" s="154">
        <f t="shared" si="813"/>
        <v>0</v>
      </c>
      <c r="N2195" s="155">
        <f t="shared" si="814"/>
        <v>0</v>
      </c>
      <c r="O2195" s="168">
        <f t="shared" si="817"/>
        <v>0</v>
      </c>
      <c r="P2195" s="157">
        <f t="shared" si="818"/>
        <v>0</v>
      </c>
    </row>
    <row r="2196" spans="1:16">
      <c r="A2196" s="474"/>
      <c r="B2196" s="127">
        <v>6</v>
      </c>
      <c r="C2196" s="158">
        <v>0</v>
      </c>
      <c r="D2196" s="158">
        <v>0</v>
      </c>
      <c r="E2196" s="158">
        <v>1</v>
      </c>
      <c r="F2196" s="158">
        <v>1</v>
      </c>
      <c r="G2196" s="158">
        <v>0</v>
      </c>
      <c r="H2196" s="158">
        <v>0</v>
      </c>
      <c r="I2196" s="158">
        <v>2</v>
      </c>
      <c r="J2196" s="158">
        <v>0</v>
      </c>
      <c r="K2196" s="158">
        <v>0</v>
      </c>
      <c r="L2196" s="158">
        <v>0</v>
      </c>
      <c r="M2196" s="154">
        <f t="shared" si="813"/>
        <v>3</v>
      </c>
      <c r="N2196" s="155">
        <f t="shared" si="814"/>
        <v>1</v>
      </c>
      <c r="O2196" s="168">
        <f>M2196/30</f>
        <v>0.1</v>
      </c>
      <c r="P2196" s="157">
        <f>N2196/30</f>
        <v>3.3333333333333333E-2</v>
      </c>
    </row>
    <row r="2197" spans="1:16">
      <c r="A2197" s="474"/>
      <c r="B2197" s="127">
        <v>7</v>
      </c>
      <c r="C2197" s="158">
        <v>1</v>
      </c>
      <c r="D2197" s="158">
        <v>0</v>
      </c>
      <c r="E2197" s="158">
        <v>0</v>
      </c>
      <c r="F2197" s="158">
        <v>0</v>
      </c>
      <c r="G2197" s="158">
        <v>0</v>
      </c>
      <c r="H2197" s="158">
        <v>0</v>
      </c>
      <c r="I2197" s="158">
        <v>0</v>
      </c>
      <c r="J2197" s="158">
        <v>0</v>
      </c>
      <c r="K2197" s="158">
        <v>0</v>
      </c>
      <c r="L2197" s="158">
        <v>0</v>
      </c>
      <c r="M2197" s="154">
        <f t="shared" si="813"/>
        <v>1</v>
      </c>
      <c r="N2197" s="155">
        <f t="shared" si="814"/>
        <v>0</v>
      </c>
      <c r="O2197" s="168">
        <f t="shared" ref="O2197:O2198" si="819">M2197/31</f>
        <v>3.2258064516129031E-2</v>
      </c>
      <c r="P2197" s="157">
        <f t="shared" ref="P2197:P2198" si="820">N2197/31</f>
        <v>0</v>
      </c>
    </row>
    <row r="2198" spans="1:16">
      <c r="A2198" s="474"/>
      <c r="B2198" s="127">
        <v>8</v>
      </c>
      <c r="C2198" s="158">
        <v>0</v>
      </c>
      <c r="D2198" s="158">
        <v>1</v>
      </c>
      <c r="E2198" s="158">
        <v>0</v>
      </c>
      <c r="F2198" s="158">
        <v>0</v>
      </c>
      <c r="G2198" s="158">
        <v>0</v>
      </c>
      <c r="H2198" s="158">
        <v>0</v>
      </c>
      <c r="I2198" s="158">
        <v>0</v>
      </c>
      <c r="J2198" s="158">
        <v>0</v>
      </c>
      <c r="K2198" s="158">
        <v>0</v>
      </c>
      <c r="L2198" s="159">
        <v>0</v>
      </c>
      <c r="M2198" s="177">
        <f t="shared" si="813"/>
        <v>0</v>
      </c>
      <c r="N2198" s="158">
        <f t="shared" si="814"/>
        <v>1</v>
      </c>
      <c r="O2198" s="168">
        <f t="shared" si="819"/>
        <v>0</v>
      </c>
      <c r="P2198" s="157">
        <f t="shared" si="820"/>
        <v>3.2258064516129031E-2</v>
      </c>
    </row>
    <row r="2199" spans="1:16">
      <c r="A2199" s="474"/>
      <c r="B2199" s="127">
        <v>9</v>
      </c>
      <c r="C2199" s="147">
        <v>0</v>
      </c>
      <c r="D2199" s="147">
        <v>0</v>
      </c>
      <c r="E2199" s="147">
        <v>0</v>
      </c>
      <c r="F2199" s="147">
        <v>0</v>
      </c>
      <c r="G2199" s="147">
        <v>0</v>
      </c>
      <c r="H2199" s="147">
        <v>0</v>
      </c>
      <c r="I2199" s="147">
        <v>0</v>
      </c>
      <c r="J2199" s="147">
        <v>0</v>
      </c>
      <c r="K2199" s="147">
        <v>0</v>
      </c>
      <c r="L2199" s="147">
        <v>0</v>
      </c>
      <c r="M2199" s="177">
        <v>0</v>
      </c>
      <c r="N2199" s="158">
        <v>0</v>
      </c>
      <c r="O2199" s="168">
        <v>0</v>
      </c>
      <c r="P2199" s="157">
        <v>0</v>
      </c>
    </row>
    <row r="2200" spans="1:16">
      <c r="A2200" s="474"/>
      <c r="B2200" s="127">
        <v>10</v>
      </c>
      <c r="C2200" s="147">
        <v>4</v>
      </c>
      <c r="D2200" s="147">
        <v>1</v>
      </c>
      <c r="E2200" s="147">
        <v>0</v>
      </c>
      <c r="F2200" s="181">
        <v>0</v>
      </c>
      <c r="G2200" s="147">
        <v>0</v>
      </c>
      <c r="H2200" s="147">
        <v>0</v>
      </c>
      <c r="I2200" s="147">
        <v>0</v>
      </c>
      <c r="J2200" s="147">
        <v>0</v>
      </c>
      <c r="K2200" s="147">
        <v>0</v>
      </c>
      <c r="L2200" s="148">
        <v>0</v>
      </c>
      <c r="M2200" s="154">
        <f t="shared" ref="M2200:M2202" si="821">+C2200+E2200+G2200+I2200+K2200</f>
        <v>4</v>
      </c>
      <c r="N2200" s="155">
        <f t="shared" ref="N2200:N2202" si="822">+D2200+F2200+H2200+J2200+L2200</f>
        <v>1</v>
      </c>
      <c r="O2200" s="168">
        <f t="shared" ref="O2200:O2202" si="823">M2200/31</f>
        <v>0.12903225806451613</v>
      </c>
      <c r="P2200" s="157">
        <f t="shared" ref="P2200:P2202" si="824">N2200/31</f>
        <v>3.2258064516129031E-2</v>
      </c>
    </row>
    <row r="2201" spans="1:16">
      <c r="A2201" s="474"/>
      <c r="B2201" s="127">
        <v>11</v>
      </c>
      <c r="C2201" s="367">
        <v>0</v>
      </c>
      <c r="D2201" s="367">
        <v>12</v>
      </c>
      <c r="E2201" s="367">
        <v>0</v>
      </c>
      <c r="F2201" s="367">
        <v>0</v>
      </c>
      <c r="G2201" s="367">
        <v>0</v>
      </c>
      <c r="H2201" s="367">
        <v>0</v>
      </c>
      <c r="I2201" s="367">
        <v>0</v>
      </c>
      <c r="J2201" s="367">
        <v>0</v>
      </c>
      <c r="K2201" s="367">
        <v>0</v>
      </c>
      <c r="L2201" s="368">
        <v>0</v>
      </c>
      <c r="M2201" s="154">
        <f t="shared" si="821"/>
        <v>0</v>
      </c>
      <c r="N2201" s="155">
        <f t="shared" si="822"/>
        <v>12</v>
      </c>
      <c r="O2201" s="168">
        <f t="shared" si="823"/>
        <v>0</v>
      </c>
      <c r="P2201" s="157">
        <f t="shared" si="824"/>
        <v>0.38709677419354838</v>
      </c>
    </row>
    <row r="2202" spans="1:16" ht="14.25" thickBot="1">
      <c r="A2202" s="475"/>
      <c r="B2202" s="127">
        <v>12</v>
      </c>
      <c r="C2202" s="187">
        <v>2</v>
      </c>
      <c r="D2202" s="187">
        <v>6</v>
      </c>
      <c r="E2202" s="187">
        <v>0</v>
      </c>
      <c r="F2202" s="188">
        <v>0</v>
      </c>
      <c r="G2202" s="187">
        <v>3</v>
      </c>
      <c r="H2202" s="187">
        <v>2</v>
      </c>
      <c r="I2202" s="187">
        <v>1</v>
      </c>
      <c r="J2202" s="187">
        <v>0</v>
      </c>
      <c r="K2202" s="187">
        <v>0</v>
      </c>
      <c r="L2202" s="189">
        <v>0</v>
      </c>
      <c r="M2202" s="154">
        <f t="shared" si="821"/>
        <v>6</v>
      </c>
      <c r="N2202" s="155">
        <f t="shared" si="822"/>
        <v>8</v>
      </c>
      <c r="O2202" s="168">
        <f t="shared" si="823"/>
        <v>0.19354838709677419</v>
      </c>
      <c r="P2202" s="157">
        <f t="shared" si="824"/>
        <v>0.25806451612903225</v>
      </c>
    </row>
    <row r="2203" spans="1:16">
      <c r="A2203" s="473">
        <v>2020</v>
      </c>
      <c r="B2203" s="410">
        <v>1</v>
      </c>
      <c r="C2203" s="434">
        <v>6</v>
      </c>
      <c r="D2203" s="434">
        <v>16</v>
      </c>
      <c r="E2203" s="434">
        <v>0</v>
      </c>
      <c r="F2203" s="434">
        <v>0</v>
      </c>
      <c r="G2203" s="434">
        <v>6</v>
      </c>
      <c r="H2203" s="434">
        <v>15</v>
      </c>
      <c r="I2203" s="434">
        <v>0</v>
      </c>
      <c r="J2203" s="434">
        <v>3</v>
      </c>
      <c r="K2203" s="434">
        <v>0</v>
      </c>
      <c r="L2203" s="436">
        <v>0</v>
      </c>
      <c r="M2203" s="424">
        <f t="shared" ref="M2203:M2214" si="825">+C2203+E2203+G2203+I2203+K2203</f>
        <v>12</v>
      </c>
      <c r="N2203" s="425">
        <f t="shared" ref="N2203:N2214" si="826">+D2203+F2203+H2203+J2203+L2203</f>
        <v>34</v>
      </c>
      <c r="O2203" s="430">
        <f t="shared" si="816"/>
        <v>0.38709677419354838</v>
      </c>
      <c r="P2203" s="427">
        <f t="shared" si="816"/>
        <v>1.096774193548387</v>
      </c>
    </row>
    <row r="2204" spans="1:16">
      <c r="A2204" s="474"/>
      <c r="B2204" s="127">
        <v>2</v>
      </c>
      <c r="C2204" s="147">
        <v>2</v>
      </c>
      <c r="D2204" s="147">
        <v>4</v>
      </c>
      <c r="E2204" s="147">
        <v>0</v>
      </c>
      <c r="F2204" s="147">
        <v>0</v>
      </c>
      <c r="G2204" s="147">
        <v>2</v>
      </c>
      <c r="H2204" s="147">
        <v>2</v>
      </c>
      <c r="I2204" s="147">
        <v>0</v>
      </c>
      <c r="J2204" s="147">
        <v>0</v>
      </c>
      <c r="K2204" s="147">
        <v>0</v>
      </c>
      <c r="L2204" s="148">
        <v>0</v>
      </c>
      <c r="M2204" s="149">
        <f t="shared" si="825"/>
        <v>4</v>
      </c>
      <c r="N2204" s="150">
        <f t="shared" si="826"/>
        <v>6</v>
      </c>
      <c r="O2204" s="167">
        <f t="shared" si="816"/>
        <v>0.12903225806451613</v>
      </c>
      <c r="P2204" s="152">
        <f t="shared" si="816"/>
        <v>0.19354838709677419</v>
      </c>
    </row>
    <row r="2205" spans="1:16">
      <c r="A2205" s="474"/>
      <c r="B2205" s="127">
        <v>3</v>
      </c>
      <c r="C2205" s="147">
        <v>0</v>
      </c>
      <c r="D2205" s="147">
        <v>0</v>
      </c>
      <c r="E2205" s="147">
        <v>0</v>
      </c>
      <c r="F2205" s="147">
        <v>0</v>
      </c>
      <c r="G2205" s="147">
        <v>0</v>
      </c>
      <c r="H2205" s="147">
        <v>0</v>
      </c>
      <c r="I2205" s="147">
        <v>0</v>
      </c>
      <c r="J2205" s="147">
        <v>0</v>
      </c>
      <c r="K2205" s="147">
        <v>0</v>
      </c>
      <c r="L2205" s="148">
        <v>0</v>
      </c>
      <c r="M2205" s="149">
        <f t="shared" si="825"/>
        <v>0</v>
      </c>
      <c r="N2205" s="150">
        <f t="shared" si="826"/>
        <v>0</v>
      </c>
      <c r="O2205" s="167">
        <f t="shared" si="816"/>
        <v>0</v>
      </c>
      <c r="P2205" s="152">
        <f t="shared" si="816"/>
        <v>0</v>
      </c>
    </row>
    <row r="2206" spans="1:16">
      <c r="A2206" s="474"/>
      <c r="B2206" s="127">
        <v>4</v>
      </c>
      <c r="C2206" s="147">
        <v>2</v>
      </c>
      <c r="D2206" s="147">
        <v>2</v>
      </c>
      <c r="E2206" s="147">
        <v>0</v>
      </c>
      <c r="F2206" s="147">
        <v>0</v>
      </c>
      <c r="G2206" s="147">
        <v>0</v>
      </c>
      <c r="H2206" s="147">
        <v>0</v>
      </c>
      <c r="I2206" s="147">
        <v>0</v>
      </c>
      <c r="J2206" s="147">
        <v>0</v>
      </c>
      <c r="K2206" s="147">
        <v>0</v>
      </c>
      <c r="L2206" s="148">
        <v>0</v>
      </c>
      <c r="M2206" s="154">
        <f t="shared" si="825"/>
        <v>2</v>
      </c>
      <c r="N2206" s="155">
        <f t="shared" si="826"/>
        <v>2</v>
      </c>
      <c r="O2206" s="168">
        <f t="shared" si="816"/>
        <v>6.4516129032258063E-2</v>
      </c>
      <c r="P2206" s="157">
        <f t="shared" si="816"/>
        <v>6.4516129032258063E-2</v>
      </c>
    </row>
    <row r="2207" spans="1:16">
      <c r="A2207" s="474"/>
      <c r="B2207" s="127">
        <v>5</v>
      </c>
      <c r="C2207" s="147">
        <v>0</v>
      </c>
      <c r="D2207" s="147">
        <v>0</v>
      </c>
      <c r="E2207" s="147">
        <v>0</v>
      </c>
      <c r="F2207" s="147">
        <v>0</v>
      </c>
      <c r="G2207" s="147">
        <v>0</v>
      </c>
      <c r="H2207" s="147">
        <v>0</v>
      </c>
      <c r="I2207" s="147">
        <v>0</v>
      </c>
      <c r="J2207" s="147">
        <v>0</v>
      </c>
      <c r="K2207" s="147">
        <v>0</v>
      </c>
      <c r="L2207" s="148">
        <v>0</v>
      </c>
      <c r="M2207" s="154">
        <f t="shared" si="825"/>
        <v>0</v>
      </c>
      <c r="N2207" s="155">
        <f t="shared" si="826"/>
        <v>0</v>
      </c>
      <c r="O2207" s="168">
        <f t="shared" si="816"/>
        <v>0</v>
      </c>
      <c r="P2207" s="157">
        <f t="shared" si="816"/>
        <v>0</v>
      </c>
    </row>
    <row r="2208" spans="1:16">
      <c r="A2208" s="474"/>
      <c r="B2208" s="127">
        <v>6</v>
      </c>
      <c r="C2208" s="147">
        <f>集計用!C90</f>
        <v>0</v>
      </c>
      <c r="D2208" s="147">
        <f>集計用!S90</f>
        <v>0</v>
      </c>
      <c r="E2208" s="147">
        <f>集計用!E90</f>
        <v>0</v>
      </c>
      <c r="F2208" s="147">
        <f>集計用!U90</f>
        <v>0</v>
      </c>
      <c r="G2208" s="147">
        <f>集計用!G90</f>
        <v>0</v>
      </c>
      <c r="H2208" s="147">
        <f>集計用!W90</f>
        <v>0</v>
      </c>
      <c r="I2208" s="147">
        <f>集計用!I90</f>
        <v>0</v>
      </c>
      <c r="J2208" s="147">
        <f>集計用!Y90</f>
        <v>0</v>
      </c>
      <c r="K2208" s="147">
        <f>集計用!K90</f>
        <v>0</v>
      </c>
      <c r="L2208" s="148">
        <f>集計用!AA90</f>
        <v>0</v>
      </c>
      <c r="M2208" s="154">
        <f t="shared" si="825"/>
        <v>0</v>
      </c>
      <c r="N2208" s="155">
        <f t="shared" si="826"/>
        <v>0</v>
      </c>
      <c r="O2208" s="168">
        <f>M2208/30</f>
        <v>0</v>
      </c>
      <c r="P2208" s="157">
        <f>N2208/30</f>
        <v>0</v>
      </c>
    </row>
    <row r="2209" spans="1:16">
      <c r="A2209" s="474"/>
      <c r="B2209" s="127">
        <v>7</v>
      </c>
      <c r="C2209" s="158"/>
      <c r="D2209" s="158"/>
      <c r="E2209" s="158"/>
      <c r="F2209" s="158"/>
      <c r="G2209" s="158"/>
      <c r="H2209" s="158"/>
      <c r="I2209" s="158"/>
      <c r="J2209" s="158"/>
      <c r="K2209" s="158"/>
      <c r="L2209" s="158"/>
      <c r="M2209" s="154">
        <f t="shared" si="825"/>
        <v>0</v>
      </c>
      <c r="N2209" s="155">
        <f t="shared" si="826"/>
        <v>0</v>
      </c>
      <c r="O2209" s="168">
        <f t="shared" ref="O2209:O2214" si="827">M2209/31</f>
        <v>0</v>
      </c>
      <c r="P2209" s="157">
        <f t="shared" ref="P2209:P2214" si="828">N2209/31</f>
        <v>0</v>
      </c>
    </row>
    <row r="2210" spans="1:16">
      <c r="A2210" s="474"/>
      <c r="B2210" s="127">
        <v>8</v>
      </c>
      <c r="C2210" s="158"/>
      <c r="D2210" s="158"/>
      <c r="E2210" s="158"/>
      <c r="F2210" s="158"/>
      <c r="G2210" s="158"/>
      <c r="H2210" s="158"/>
      <c r="I2210" s="158"/>
      <c r="J2210" s="158"/>
      <c r="K2210" s="158"/>
      <c r="L2210" s="159"/>
      <c r="M2210" s="177">
        <f t="shared" si="825"/>
        <v>0</v>
      </c>
      <c r="N2210" s="158">
        <f t="shared" si="826"/>
        <v>0</v>
      </c>
      <c r="O2210" s="168">
        <f t="shared" si="827"/>
        <v>0</v>
      </c>
      <c r="P2210" s="157">
        <f t="shared" si="828"/>
        <v>0</v>
      </c>
    </row>
    <row r="2211" spans="1:16">
      <c r="A2211" s="474"/>
      <c r="B2211" s="127">
        <v>9</v>
      </c>
      <c r="C2211" s="147"/>
      <c r="D2211" s="147"/>
      <c r="E2211" s="147"/>
      <c r="F2211" s="147"/>
      <c r="G2211" s="147"/>
      <c r="H2211" s="147"/>
      <c r="I2211" s="147"/>
      <c r="J2211" s="147"/>
      <c r="K2211" s="147"/>
      <c r="L2211" s="147"/>
      <c r="M2211" s="177">
        <f t="shared" ref="M2211" si="829">+C2211+E2211+G2211+I2211+K2211</f>
        <v>0</v>
      </c>
      <c r="N2211" s="158">
        <f t="shared" ref="N2211" si="830">+D2211+F2211+H2211+J2211+L2211</f>
        <v>0</v>
      </c>
      <c r="O2211" s="168">
        <f>M2211/30</f>
        <v>0</v>
      </c>
      <c r="P2211" s="157">
        <f>N2211/30</f>
        <v>0</v>
      </c>
    </row>
    <row r="2212" spans="1:16">
      <c r="A2212" s="474"/>
      <c r="B2212" s="127">
        <v>10</v>
      </c>
      <c r="C2212" s="147"/>
      <c r="D2212" s="147"/>
      <c r="E2212" s="147"/>
      <c r="F2212" s="181"/>
      <c r="G2212" s="147"/>
      <c r="H2212" s="147"/>
      <c r="I2212" s="147"/>
      <c r="J2212" s="147"/>
      <c r="K2212" s="147"/>
      <c r="L2212" s="148"/>
      <c r="M2212" s="154">
        <f t="shared" ref="M2212" si="831">+C2212+E2212+G2212+I2212+K2212</f>
        <v>0</v>
      </c>
      <c r="N2212" s="155">
        <f t="shared" ref="N2212" si="832">+D2212+F2212+H2212+J2212+L2212</f>
        <v>0</v>
      </c>
      <c r="O2212" s="168">
        <f t="shared" ref="O2212" si="833">M2212/31</f>
        <v>0</v>
      </c>
      <c r="P2212" s="157">
        <f t="shared" ref="P2212" si="834">N2212/31</f>
        <v>0</v>
      </c>
    </row>
    <row r="2213" spans="1:16">
      <c r="A2213" s="474"/>
      <c r="B2213" s="127">
        <v>11</v>
      </c>
      <c r="C2213" s="367"/>
      <c r="D2213" s="367"/>
      <c r="E2213" s="367"/>
      <c r="F2213" s="367"/>
      <c r="G2213" s="367"/>
      <c r="H2213" s="367"/>
      <c r="I2213" s="367"/>
      <c r="J2213" s="367"/>
      <c r="K2213" s="367"/>
      <c r="L2213" s="368"/>
      <c r="M2213" s="154">
        <f t="shared" si="825"/>
        <v>0</v>
      </c>
      <c r="N2213" s="155">
        <f t="shared" si="826"/>
        <v>0</v>
      </c>
      <c r="O2213" s="168">
        <f t="shared" si="827"/>
        <v>0</v>
      </c>
      <c r="P2213" s="157">
        <f t="shared" si="828"/>
        <v>0</v>
      </c>
    </row>
    <row r="2214" spans="1:16" ht="14.25" thickBot="1">
      <c r="A2214" s="475"/>
      <c r="B2214" s="127">
        <v>12</v>
      </c>
      <c r="C2214" s="187"/>
      <c r="D2214" s="187"/>
      <c r="E2214" s="187"/>
      <c r="F2214" s="188"/>
      <c r="G2214" s="187"/>
      <c r="H2214" s="187"/>
      <c r="I2214" s="187"/>
      <c r="J2214" s="187"/>
      <c r="K2214" s="187"/>
      <c r="L2214" s="189"/>
      <c r="M2214" s="154">
        <f t="shared" si="825"/>
        <v>0</v>
      </c>
      <c r="N2214" s="155">
        <f t="shared" si="826"/>
        <v>0</v>
      </c>
      <c r="O2214" s="168">
        <f t="shared" si="827"/>
        <v>0</v>
      </c>
      <c r="P2214" s="157">
        <f t="shared" si="828"/>
        <v>0</v>
      </c>
    </row>
    <row r="2215" spans="1:16" ht="14.25" thickBot="1">
      <c r="A2215" s="180"/>
      <c r="B2215" s="160" t="s">
        <v>5</v>
      </c>
      <c r="C2215" s="161">
        <f>SUM(C2179:C2214)</f>
        <v>21</v>
      </c>
      <c r="D2215" s="161">
        <f t="shared" ref="D2215:K2215" si="835">SUM(D2179:D2214)</f>
        <v>49</v>
      </c>
      <c r="E2215" s="161">
        <f t="shared" si="835"/>
        <v>1</v>
      </c>
      <c r="F2215" s="161">
        <f t="shared" si="835"/>
        <v>1</v>
      </c>
      <c r="G2215" s="161">
        <f t="shared" si="835"/>
        <v>13</v>
      </c>
      <c r="H2215" s="161">
        <f t="shared" si="835"/>
        <v>22</v>
      </c>
      <c r="I2215" s="161">
        <f t="shared" si="835"/>
        <v>3</v>
      </c>
      <c r="J2215" s="161">
        <f t="shared" si="835"/>
        <v>3</v>
      </c>
      <c r="K2215" s="161">
        <f t="shared" si="835"/>
        <v>0</v>
      </c>
      <c r="L2215" s="161">
        <f>SUM(L2179:L2214)</f>
        <v>0</v>
      </c>
      <c r="M2215" s="162">
        <f>SUM(M2179:M2214)</f>
        <v>38</v>
      </c>
      <c r="N2215" s="161">
        <f>SUM(N2179:N2214)</f>
        <v>75</v>
      </c>
      <c r="O2215" s="161">
        <f>SUM(O2179:O2214)</f>
        <v>1.2290322580645161</v>
      </c>
      <c r="P2215" s="161">
        <f>SUM(P2179:P2214)</f>
        <v>2.4204301075268813</v>
      </c>
    </row>
    <row r="2219" spans="1:16">
      <c r="B2219" s="467" t="s">
        <v>188</v>
      </c>
      <c r="C2219" s="469" t="s">
        <v>29</v>
      </c>
      <c r="D2219" s="470"/>
      <c r="E2219" s="469" t="s">
        <v>30</v>
      </c>
      <c r="F2219" s="470"/>
      <c r="G2219" s="469" t="s">
        <v>31</v>
      </c>
      <c r="H2219" s="470"/>
      <c r="I2219" s="469" t="s">
        <v>58</v>
      </c>
      <c r="J2219" s="470"/>
      <c r="K2219" s="469" t="s">
        <v>57</v>
      </c>
      <c r="L2219" s="471"/>
      <c r="M2219" s="470" t="s">
        <v>5</v>
      </c>
      <c r="N2219" s="472"/>
      <c r="O2219" s="472" t="s">
        <v>33</v>
      </c>
      <c r="P2219" s="472"/>
    </row>
    <row r="2220" spans="1:16" ht="14.25" thickBot="1">
      <c r="B2220" s="468"/>
      <c r="C2220" s="13" t="s">
        <v>34</v>
      </c>
      <c r="D2220" s="13" t="s">
        <v>35</v>
      </c>
      <c r="E2220" s="13" t="s">
        <v>34</v>
      </c>
      <c r="F2220" s="13" t="s">
        <v>35</v>
      </c>
      <c r="G2220" s="13" t="s">
        <v>34</v>
      </c>
      <c r="H2220" s="13" t="s">
        <v>35</v>
      </c>
      <c r="I2220" s="13" t="s">
        <v>59</v>
      </c>
      <c r="J2220" s="13" t="s">
        <v>60</v>
      </c>
      <c r="K2220" s="13" t="s">
        <v>34</v>
      </c>
      <c r="L2220" s="14" t="s">
        <v>35</v>
      </c>
      <c r="M2220" s="15" t="s">
        <v>34</v>
      </c>
      <c r="N2220" s="13" t="s">
        <v>35</v>
      </c>
      <c r="O2220" s="163" t="s">
        <v>34</v>
      </c>
      <c r="P2220" s="163" t="s">
        <v>35</v>
      </c>
    </row>
    <row r="2221" spans="1:16">
      <c r="A2221" s="473">
        <v>2018</v>
      </c>
      <c r="B2221" s="410">
        <v>1</v>
      </c>
      <c r="C2221" s="422">
        <v>0</v>
      </c>
      <c r="D2221" s="422">
        <v>0</v>
      </c>
      <c r="E2221" s="422">
        <v>0</v>
      </c>
      <c r="F2221" s="422">
        <v>0</v>
      </c>
      <c r="G2221" s="422">
        <v>0</v>
      </c>
      <c r="H2221" s="422">
        <v>0</v>
      </c>
      <c r="I2221" s="422">
        <v>0</v>
      </c>
      <c r="J2221" s="422">
        <v>0</v>
      </c>
      <c r="K2221" s="422">
        <v>0</v>
      </c>
      <c r="L2221" s="432">
        <v>0</v>
      </c>
      <c r="M2221" s="424">
        <f t="shared" ref="M2221:M2240" si="836">+C2221+E2221+G2221+I2221+K2221</f>
        <v>0</v>
      </c>
      <c r="N2221" s="425">
        <f t="shared" ref="N2221:N2240" si="837">+D2221+F2221+H2221+J2221+L2221</f>
        <v>0</v>
      </c>
      <c r="O2221" s="430">
        <f t="shared" ref="O2221:O2225" si="838">M2221/31</f>
        <v>0</v>
      </c>
      <c r="P2221" s="427">
        <f t="shared" ref="P2221:P2225" si="839">N2221/31</f>
        <v>0</v>
      </c>
    </row>
    <row r="2222" spans="1:16">
      <c r="A2222" s="474"/>
      <c r="B2222" s="127">
        <v>2</v>
      </c>
      <c r="C2222" s="147">
        <v>0</v>
      </c>
      <c r="D2222" s="147">
        <v>0</v>
      </c>
      <c r="E2222" s="147">
        <v>0</v>
      </c>
      <c r="F2222" s="147">
        <v>0</v>
      </c>
      <c r="G2222" s="147">
        <v>0</v>
      </c>
      <c r="H2222" s="147">
        <v>0</v>
      </c>
      <c r="I2222" s="147">
        <v>0</v>
      </c>
      <c r="J2222" s="147">
        <v>0</v>
      </c>
      <c r="K2222" s="147">
        <v>0</v>
      </c>
      <c r="L2222" s="174">
        <v>0</v>
      </c>
      <c r="M2222" s="149">
        <f t="shared" si="836"/>
        <v>0</v>
      </c>
      <c r="N2222" s="150">
        <f t="shared" si="837"/>
        <v>0</v>
      </c>
      <c r="O2222" s="167">
        <f t="shared" si="838"/>
        <v>0</v>
      </c>
      <c r="P2222" s="152">
        <f t="shared" si="839"/>
        <v>0</v>
      </c>
    </row>
    <row r="2223" spans="1:16">
      <c r="A2223" s="474"/>
      <c r="B2223" s="127">
        <v>3</v>
      </c>
      <c r="C2223" s="147">
        <v>0</v>
      </c>
      <c r="D2223" s="147">
        <v>0</v>
      </c>
      <c r="E2223" s="147">
        <v>0</v>
      </c>
      <c r="F2223" s="147">
        <v>0</v>
      </c>
      <c r="G2223" s="147">
        <v>0</v>
      </c>
      <c r="H2223" s="147">
        <v>0</v>
      </c>
      <c r="I2223" s="147">
        <v>0</v>
      </c>
      <c r="J2223" s="147">
        <v>0</v>
      </c>
      <c r="K2223" s="147">
        <v>0</v>
      </c>
      <c r="L2223" s="174">
        <v>0</v>
      </c>
      <c r="M2223" s="149">
        <f t="shared" si="836"/>
        <v>0</v>
      </c>
      <c r="N2223" s="150">
        <f t="shared" si="837"/>
        <v>0</v>
      </c>
      <c r="O2223" s="167">
        <f t="shared" si="838"/>
        <v>0</v>
      </c>
      <c r="P2223" s="152">
        <f t="shared" si="839"/>
        <v>0</v>
      </c>
    </row>
    <row r="2224" spans="1:16">
      <c r="A2224" s="474"/>
      <c r="B2224" s="127">
        <v>4</v>
      </c>
      <c r="C2224" s="147">
        <v>0</v>
      </c>
      <c r="D2224" s="147">
        <v>0</v>
      </c>
      <c r="E2224" s="147">
        <v>0</v>
      </c>
      <c r="F2224" s="147">
        <v>0</v>
      </c>
      <c r="G2224" s="147">
        <v>0</v>
      </c>
      <c r="H2224" s="147">
        <v>0</v>
      </c>
      <c r="I2224" s="147">
        <v>0</v>
      </c>
      <c r="J2224" s="147">
        <v>0</v>
      </c>
      <c r="K2224" s="147">
        <v>0</v>
      </c>
      <c r="L2224" s="174">
        <v>0</v>
      </c>
      <c r="M2224" s="154">
        <f t="shared" si="836"/>
        <v>0</v>
      </c>
      <c r="N2224" s="155">
        <f t="shared" si="837"/>
        <v>0</v>
      </c>
      <c r="O2224" s="168">
        <f t="shared" si="838"/>
        <v>0</v>
      </c>
      <c r="P2224" s="157">
        <f t="shared" si="839"/>
        <v>0</v>
      </c>
    </row>
    <row r="2225" spans="1:16">
      <c r="A2225" s="474"/>
      <c r="B2225" s="127">
        <v>5</v>
      </c>
      <c r="C2225" s="147">
        <v>0</v>
      </c>
      <c r="D2225" s="147">
        <v>0</v>
      </c>
      <c r="E2225" s="147">
        <v>0</v>
      </c>
      <c r="F2225" s="147">
        <v>0</v>
      </c>
      <c r="G2225" s="147">
        <v>0</v>
      </c>
      <c r="H2225" s="147">
        <v>0</v>
      </c>
      <c r="I2225" s="147">
        <v>0</v>
      </c>
      <c r="J2225" s="147">
        <v>0</v>
      </c>
      <c r="K2225" s="147">
        <v>0</v>
      </c>
      <c r="L2225" s="174">
        <v>0</v>
      </c>
      <c r="M2225" s="154">
        <f t="shared" si="836"/>
        <v>0</v>
      </c>
      <c r="N2225" s="155">
        <f t="shared" si="837"/>
        <v>0</v>
      </c>
      <c r="O2225" s="168">
        <f t="shared" si="838"/>
        <v>0</v>
      </c>
      <c r="P2225" s="157">
        <f t="shared" si="839"/>
        <v>0</v>
      </c>
    </row>
    <row r="2226" spans="1:16">
      <c r="A2226" s="474"/>
      <c r="B2226" s="127">
        <v>6</v>
      </c>
      <c r="C2226" s="147">
        <v>0</v>
      </c>
      <c r="D2226" s="147">
        <v>0</v>
      </c>
      <c r="E2226" s="147">
        <v>0</v>
      </c>
      <c r="F2226" s="147">
        <v>0</v>
      </c>
      <c r="G2226" s="147">
        <v>0</v>
      </c>
      <c r="H2226" s="147">
        <v>0</v>
      </c>
      <c r="I2226" s="147">
        <v>0</v>
      </c>
      <c r="J2226" s="147">
        <v>0</v>
      </c>
      <c r="K2226" s="147">
        <v>0</v>
      </c>
      <c r="L2226" s="174">
        <v>0</v>
      </c>
      <c r="M2226" s="154">
        <f t="shared" si="836"/>
        <v>0</v>
      </c>
      <c r="N2226" s="155">
        <f t="shared" si="837"/>
        <v>0</v>
      </c>
      <c r="O2226" s="168">
        <f>M2226/30</f>
        <v>0</v>
      </c>
      <c r="P2226" s="157">
        <f>N2226/30</f>
        <v>0</v>
      </c>
    </row>
    <row r="2227" spans="1:16">
      <c r="A2227" s="474"/>
      <c r="B2227" s="127">
        <v>7</v>
      </c>
      <c r="C2227" s="147">
        <v>0</v>
      </c>
      <c r="D2227" s="147">
        <v>0</v>
      </c>
      <c r="E2227" s="147">
        <v>0</v>
      </c>
      <c r="F2227" s="147">
        <v>0</v>
      </c>
      <c r="G2227" s="147">
        <v>0</v>
      </c>
      <c r="H2227" s="147">
        <v>0</v>
      </c>
      <c r="I2227" s="147">
        <v>0</v>
      </c>
      <c r="J2227" s="147">
        <v>0</v>
      </c>
      <c r="K2227" s="147">
        <v>0</v>
      </c>
      <c r="L2227" s="174">
        <v>0</v>
      </c>
      <c r="M2227" s="154">
        <f t="shared" si="836"/>
        <v>0</v>
      </c>
      <c r="N2227" s="155">
        <f t="shared" si="837"/>
        <v>0</v>
      </c>
      <c r="O2227" s="168">
        <f t="shared" ref="O2227:O2249" si="840">M2227/31</f>
        <v>0</v>
      </c>
      <c r="P2227" s="157">
        <f t="shared" ref="P2227:P2249" si="841">N2227/31</f>
        <v>0</v>
      </c>
    </row>
    <row r="2228" spans="1:16">
      <c r="A2228" s="474"/>
      <c r="B2228" s="127">
        <v>8</v>
      </c>
      <c r="C2228" s="147">
        <v>0</v>
      </c>
      <c r="D2228" s="147">
        <v>0</v>
      </c>
      <c r="E2228" s="147">
        <v>0</v>
      </c>
      <c r="F2228" s="147">
        <v>0</v>
      </c>
      <c r="G2228" s="147">
        <v>0</v>
      </c>
      <c r="H2228" s="147">
        <v>0</v>
      </c>
      <c r="I2228" s="147">
        <v>0</v>
      </c>
      <c r="J2228" s="147">
        <v>0</v>
      </c>
      <c r="K2228" s="147">
        <v>0</v>
      </c>
      <c r="L2228" s="174">
        <v>0</v>
      </c>
      <c r="M2228" s="177">
        <f t="shared" si="836"/>
        <v>0</v>
      </c>
      <c r="N2228" s="158">
        <f t="shared" si="837"/>
        <v>0</v>
      </c>
      <c r="O2228" s="168">
        <f t="shared" si="840"/>
        <v>0</v>
      </c>
      <c r="P2228" s="157">
        <f t="shared" si="841"/>
        <v>0</v>
      </c>
    </row>
    <row r="2229" spans="1:16">
      <c r="A2229" s="474"/>
      <c r="B2229" s="127">
        <v>9</v>
      </c>
      <c r="C2229" s="147">
        <v>0</v>
      </c>
      <c r="D2229" s="147">
        <v>0</v>
      </c>
      <c r="E2229" s="147">
        <v>0</v>
      </c>
      <c r="F2229" s="147">
        <v>0</v>
      </c>
      <c r="G2229" s="147">
        <v>0</v>
      </c>
      <c r="H2229" s="147">
        <v>0</v>
      </c>
      <c r="I2229" s="147">
        <v>0</v>
      </c>
      <c r="J2229" s="147">
        <v>0</v>
      </c>
      <c r="K2229" s="147">
        <v>0</v>
      </c>
      <c r="L2229" s="174">
        <v>0</v>
      </c>
      <c r="M2229" s="177">
        <f t="shared" si="836"/>
        <v>0</v>
      </c>
      <c r="N2229" s="158">
        <f t="shared" si="837"/>
        <v>0</v>
      </c>
      <c r="O2229" s="168">
        <f t="shared" si="840"/>
        <v>0</v>
      </c>
      <c r="P2229" s="157">
        <f t="shared" si="841"/>
        <v>0</v>
      </c>
    </row>
    <row r="2230" spans="1:16">
      <c r="A2230" s="474"/>
      <c r="B2230" s="127">
        <v>10</v>
      </c>
      <c r="C2230" s="147">
        <v>1</v>
      </c>
      <c r="D2230" s="147">
        <v>1</v>
      </c>
      <c r="E2230" s="147">
        <v>0</v>
      </c>
      <c r="F2230" s="181">
        <v>0</v>
      </c>
      <c r="G2230" s="147">
        <v>0</v>
      </c>
      <c r="H2230" s="147">
        <v>0</v>
      </c>
      <c r="I2230" s="147">
        <v>0</v>
      </c>
      <c r="J2230" s="147">
        <v>0</v>
      </c>
      <c r="K2230" s="147">
        <v>0</v>
      </c>
      <c r="L2230" s="148">
        <v>0</v>
      </c>
      <c r="M2230" s="154">
        <f>+C2230+E2230+G2230+I2230+K2230</f>
        <v>1</v>
      </c>
      <c r="N2230" s="155">
        <f t="shared" si="837"/>
        <v>1</v>
      </c>
      <c r="O2230" s="168">
        <f t="shared" si="840"/>
        <v>3.2258064516129031E-2</v>
      </c>
      <c r="P2230" s="157">
        <f t="shared" si="841"/>
        <v>3.2258064516129031E-2</v>
      </c>
    </row>
    <row r="2231" spans="1:16">
      <c r="A2231" s="474"/>
      <c r="B2231" s="127">
        <v>11</v>
      </c>
      <c r="C2231" s="367">
        <v>1</v>
      </c>
      <c r="D2231" s="367">
        <v>2</v>
      </c>
      <c r="E2231" s="367">
        <v>0</v>
      </c>
      <c r="F2231" s="367">
        <v>0</v>
      </c>
      <c r="G2231" s="367">
        <v>0</v>
      </c>
      <c r="H2231" s="367">
        <v>0</v>
      </c>
      <c r="I2231" s="367">
        <v>0</v>
      </c>
      <c r="J2231" s="367">
        <v>0</v>
      </c>
      <c r="K2231" s="367">
        <v>0</v>
      </c>
      <c r="L2231" s="368">
        <v>0</v>
      </c>
      <c r="M2231" s="154">
        <f t="shared" si="836"/>
        <v>1</v>
      </c>
      <c r="N2231" s="155">
        <f t="shared" si="837"/>
        <v>2</v>
      </c>
      <c r="O2231" s="168">
        <f t="shared" si="840"/>
        <v>3.2258064516129031E-2</v>
      </c>
      <c r="P2231" s="157">
        <f t="shared" si="841"/>
        <v>6.4516129032258063E-2</v>
      </c>
    </row>
    <row r="2232" spans="1:16" ht="14.25" thickBot="1">
      <c r="A2232" s="475"/>
      <c r="B2232" s="127">
        <v>12</v>
      </c>
      <c r="C2232" s="187">
        <v>1</v>
      </c>
      <c r="D2232" s="187">
        <v>0</v>
      </c>
      <c r="E2232" s="187">
        <v>0</v>
      </c>
      <c r="F2232" s="188">
        <v>0</v>
      </c>
      <c r="G2232" s="187">
        <v>0</v>
      </c>
      <c r="H2232" s="187">
        <v>0</v>
      </c>
      <c r="I2232" s="187">
        <v>0</v>
      </c>
      <c r="J2232" s="187">
        <v>0</v>
      </c>
      <c r="K2232" s="187">
        <v>0</v>
      </c>
      <c r="L2232" s="189">
        <v>0</v>
      </c>
      <c r="M2232" s="154">
        <f t="shared" si="836"/>
        <v>1</v>
      </c>
      <c r="N2232" s="155">
        <f t="shared" si="837"/>
        <v>0</v>
      </c>
      <c r="O2232" s="168">
        <f t="shared" si="840"/>
        <v>3.2258064516129031E-2</v>
      </c>
      <c r="P2232" s="157">
        <f t="shared" si="841"/>
        <v>0</v>
      </c>
    </row>
    <row r="2233" spans="1:16">
      <c r="A2233" s="473">
        <v>2019</v>
      </c>
      <c r="B2233" s="410">
        <v>1</v>
      </c>
      <c r="C2233" s="422">
        <v>0</v>
      </c>
      <c r="D2233" s="422">
        <v>3</v>
      </c>
      <c r="E2233" s="422">
        <v>0</v>
      </c>
      <c r="F2233" s="422">
        <v>0</v>
      </c>
      <c r="G2233" s="422">
        <v>0</v>
      </c>
      <c r="H2233" s="422">
        <v>0</v>
      </c>
      <c r="I2233" s="422">
        <v>0</v>
      </c>
      <c r="J2233" s="422">
        <v>0</v>
      </c>
      <c r="K2233" s="422">
        <v>0</v>
      </c>
      <c r="L2233" s="432">
        <v>0</v>
      </c>
      <c r="M2233" s="424">
        <f t="shared" si="836"/>
        <v>0</v>
      </c>
      <c r="N2233" s="425">
        <f t="shared" si="837"/>
        <v>3</v>
      </c>
      <c r="O2233" s="430">
        <f t="shared" ref="O2233:O2237" si="842">M2233/31</f>
        <v>0</v>
      </c>
      <c r="P2233" s="427">
        <f t="shared" ref="P2233:P2237" si="843">N2233/31</f>
        <v>9.6774193548387094E-2</v>
      </c>
    </row>
    <row r="2234" spans="1:16">
      <c r="A2234" s="474"/>
      <c r="B2234" s="127">
        <v>2</v>
      </c>
      <c r="C2234" s="147">
        <v>0</v>
      </c>
      <c r="D2234" s="147">
        <v>0</v>
      </c>
      <c r="E2234" s="147">
        <v>0</v>
      </c>
      <c r="F2234" s="147">
        <v>0</v>
      </c>
      <c r="G2234" s="147">
        <v>0</v>
      </c>
      <c r="H2234" s="147">
        <v>0</v>
      </c>
      <c r="I2234" s="147">
        <v>0</v>
      </c>
      <c r="J2234" s="147">
        <v>0</v>
      </c>
      <c r="K2234" s="147">
        <v>0</v>
      </c>
      <c r="L2234" s="174">
        <v>0</v>
      </c>
      <c r="M2234" s="149">
        <f t="shared" si="836"/>
        <v>0</v>
      </c>
      <c r="N2234" s="150">
        <f t="shared" si="837"/>
        <v>0</v>
      </c>
      <c r="O2234" s="167">
        <f t="shared" si="842"/>
        <v>0</v>
      </c>
      <c r="P2234" s="152">
        <f t="shared" si="843"/>
        <v>0</v>
      </c>
    </row>
    <row r="2235" spans="1:16">
      <c r="A2235" s="474"/>
      <c r="B2235" s="127">
        <v>3</v>
      </c>
      <c r="C2235" s="147">
        <v>0</v>
      </c>
      <c r="D2235" s="147">
        <v>0</v>
      </c>
      <c r="E2235" s="147">
        <v>0</v>
      </c>
      <c r="F2235" s="147">
        <v>0</v>
      </c>
      <c r="G2235" s="147">
        <v>0</v>
      </c>
      <c r="H2235" s="147">
        <v>0</v>
      </c>
      <c r="I2235" s="147">
        <v>0</v>
      </c>
      <c r="J2235" s="147">
        <v>0</v>
      </c>
      <c r="K2235" s="147">
        <v>0</v>
      </c>
      <c r="L2235" s="174">
        <v>0</v>
      </c>
      <c r="M2235" s="149">
        <f t="shared" si="836"/>
        <v>0</v>
      </c>
      <c r="N2235" s="150">
        <f t="shared" si="837"/>
        <v>0</v>
      </c>
      <c r="O2235" s="167">
        <f t="shared" si="842"/>
        <v>0</v>
      </c>
      <c r="P2235" s="152">
        <f t="shared" si="843"/>
        <v>0</v>
      </c>
    </row>
    <row r="2236" spans="1:16">
      <c r="A2236" s="474"/>
      <c r="B2236" s="127">
        <v>4</v>
      </c>
      <c r="C2236" s="147">
        <v>0</v>
      </c>
      <c r="D2236" s="147">
        <v>0</v>
      </c>
      <c r="E2236" s="147">
        <v>0</v>
      </c>
      <c r="F2236" s="147">
        <v>0</v>
      </c>
      <c r="G2236" s="147">
        <v>0</v>
      </c>
      <c r="H2236" s="147">
        <v>0</v>
      </c>
      <c r="I2236" s="147">
        <v>0</v>
      </c>
      <c r="J2236" s="147">
        <v>0</v>
      </c>
      <c r="K2236" s="147">
        <v>0</v>
      </c>
      <c r="L2236" s="174">
        <v>0</v>
      </c>
      <c r="M2236" s="154">
        <f t="shared" si="836"/>
        <v>0</v>
      </c>
      <c r="N2236" s="155">
        <f t="shared" si="837"/>
        <v>0</v>
      </c>
      <c r="O2236" s="168">
        <f t="shared" si="842"/>
        <v>0</v>
      </c>
      <c r="P2236" s="157">
        <f t="shared" si="843"/>
        <v>0</v>
      </c>
    </row>
    <row r="2237" spans="1:16">
      <c r="A2237" s="474"/>
      <c r="B2237" s="127">
        <v>5</v>
      </c>
      <c r="C2237" s="147">
        <v>0</v>
      </c>
      <c r="D2237" s="147">
        <v>0</v>
      </c>
      <c r="E2237" s="147">
        <v>0</v>
      </c>
      <c r="F2237" s="147">
        <v>0</v>
      </c>
      <c r="G2237" s="147">
        <v>0</v>
      </c>
      <c r="H2237" s="147">
        <v>0</v>
      </c>
      <c r="I2237" s="147">
        <v>0</v>
      </c>
      <c r="J2237" s="147">
        <v>0</v>
      </c>
      <c r="K2237" s="147">
        <v>0</v>
      </c>
      <c r="L2237" s="174">
        <v>0</v>
      </c>
      <c r="M2237" s="154">
        <f t="shared" si="836"/>
        <v>0</v>
      </c>
      <c r="N2237" s="155">
        <f t="shared" si="837"/>
        <v>0</v>
      </c>
      <c r="O2237" s="168">
        <f t="shared" si="842"/>
        <v>0</v>
      </c>
      <c r="P2237" s="157">
        <f t="shared" si="843"/>
        <v>0</v>
      </c>
    </row>
    <row r="2238" spans="1:16">
      <c r="A2238" s="474"/>
      <c r="B2238" s="127">
        <v>6</v>
      </c>
      <c r="C2238" s="147">
        <v>0</v>
      </c>
      <c r="D2238" s="147">
        <v>0</v>
      </c>
      <c r="E2238" s="147">
        <v>0</v>
      </c>
      <c r="F2238" s="147">
        <v>0</v>
      </c>
      <c r="G2238" s="147">
        <v>0</v>
      </c>
      <c r="H2238" s="147">
        <v>0</v>
      </c>
      <c r="I2238" s="147">
        <v>0</v>
      </c>
      <c r="J2238" s="147">
        <v>0</v>
      </c>
      <c r="K2238" s="147">
        <v>0</v>
      </c>
      <c r="L2238" s="174">
        <v>0</v>
      </c>
      <c r="M2238" s="154">
        <f t="shared" si="836"/>
        <v>0</v>
      </c>
      <c r="N2238" s="155">
        <f t="shared" si="837"/>
        <v>0</v>
      </c>
      <c r="O2238" s="168">
        <f>M2238/30</f>
        <v>0</v>
      </c>
      <c r="P2238" s="157">
        <f>N2238/30</f>
        <v>0</v>
      </c>
    </row>
    <row r="2239" spans="1:16">
      <c r="A2239" s="474"/>
      <c r="B2239" s="127">
        <v>7</v>
      </c>
      <c r="C2239" s="147">
        <v>0</v>
      </c>
      <c r="D2239" s="147">
        <v>0</v>
      </c>
      <c r="E2239" s="147">
        <v>0</v>
      </c>
      <c r="F2239" s="147">
        <v>0</v>
      </c>
      <c r="G2239" s="147">
        <v>0</v>
      </c>
      <c r="H2239" s="147">
        <v>0</v>
      </c>
      <c r="I2239" s="147">
        <v>0</v>
      </c>
      <c r="J2239" s="147">
        <v>0</v>
      </c>
      <c r="K2239" s="147">
        <v>0</v>
      </c>
      <c r="L2239" s="174">
        <v>0</v>
      </c>
      <c r="M2239" s="154">
        <f t="shared" si="836"/>
        <v>0</v>
      </c>
      <c r="N2239" s="155">
        <f t="shared" si="837"/>
        <v>0</v>
      </c>
      <c r="O2239" s="168">
        <f t="shared" ref="O2239:O2240" si="844">M2239/31</f>
        <v>0</v>
      </c>
      <c r="P2239" s="157">
        <f t="shared" ref="P2239:P2240" si="845">N2239/31</f>
        <v>0</v>
      </c>
    </row>
    <row r="2240" spans="1:16">
      <c r="A2240" s="474"/>
      <c r="B2240" s="127">
        <v>8</v>
      </c>
      <c r="C2240" s="147">
        <v>0</v>
      </c>
      <c r="D2240" s="147">
        <v>0</v>
      </c>
      <c r="E2240" s="147">
        <v>0</v>
      </c>
      <c r="F2240" s="147">
        <v>0</v>
      </c>
      <c r="G2240" s="147">
        <v>0</v>
      </c>
      <c r="H2240" s="147">
        <v>0</v>
      </c>
      <c r="I2240" s="147">
        <v>0</v>
      </c>
      <c r="J2240" s="147">
        <v>0</v>
      </c>
      <c r="K2240" s="147">
        <v>0</v>
      </c>
      <c r="L2240" s="174">
        <v>0</v>
      </c>
      <c r="M2240" s="177">
        <f t="shared" si="836"/>
        <v>0</v>
      </c>
      <c r="N2240" s="158">
        <f t="shared" si="837"/>
        <v>0</v>
      </c>
      <c r="O2240" s="168">
        <f t="shared" si="844"/>
        <v>0</v>
      </c>
      <c r="P2240" s="157">
        <f t="shared" si="845"/>
        <v>0</v>
      </c>
    </row>
    <row r="2241" spans="1:16">
      <c r="A2241" s="474"/>
      <c r="B2241" s="127">
        <v>9</v>
      </c>
      <c r="C2241" s="147">
        <v>2</v>
      </c>
      <c r="D2241" s="147">
        <v>0</v>
      </c>
      <c r="E2241" s="147">
        <v>0</v>
      </c>
      <c r="F2241" s="147">
        <v>0</v>
      </c>
      <c r="G2241" s="147">
        <v>0</v>
      </c>
      <c r="H2241" s="147">
        <v>0</v>
      </c>
      <c r="I2241" s="147">
        <v>0</v>
      </c>
      <c r="J2241" s="147">
        <v>0</v>
      </c>
      <c r="K2241" s="147">
        <v>0</v>
      </c>
      <c r="L2241" s="174">
        <v>0</v>
      </c>
      <c r="M2241" s="177">
        <v>2</v>
      </c>
      <c r="N2241" s="158">
        <v>0</v>
      </c>
      <c r="O2241" s="168">
        <v>6.4516129032258063E-2</v>
      </c>
      <c r="P2241" s="157">
        <v>0</v>
      </c>
    </row>
    <row r="2242" spans="1:16">
      <c r="A2242" s="474"/>
      <c r="B2242" s="127">
        <v>10</v>
      </c>
      <c r="C2242" s="147">
        <v>0</v>
      </c>
      <c r="D2242" s="147">
        <v>2</v>
      </c>
      <c r="E2242" s="147">
        <v>0</v>
      </c>
      <c r="F2242" s="181">
        <v>0</v>
      </c>
      <c r="G2242" s="147">
        <v>0</v>
      </c>
      <c r="H2242" s="147">
        <v>0</v>
      </c>
      <c r="I2242" s="147">
        <v>0</v>
      </c>
      <c r="J2242" s="147">
        <v>0</v>
      </c>
      <c r="K2242" s="147">
        <v>0</v>
      </c>
      <c r="L2242" s="148">
        <v>0</v>
      </c>
      <c r="M2242" s="154">
        <f t="shared" ref="M2242:M2244" si="846">+C2242+E2242+G2242+I2242+K2242</f>
        <v>0</v>
      </c>
      <c r="N2242" s="155">
        <f t="shared" ref="N2242:N2244" si="847">+D2242+F2242+H2242+J2242+L2242</f>
        <v>2</v>
      </c>
      <c r="O2242" s="168">
        <f t="shared" ref="O2242:O2244" si="848">M2242/31</f>
        <v>0</v>
      </c>
      <c r="P2242" s="157">
        <f t="shared" ref="P2242:P2244" si="849">N2242/31</f>
        <v>6.4516129032258063E-2</v>
      </c>
    </row>
    <row r="2243" spans="1:16">
      <c r="A2243" s="474"/>
      <c r="B2243" s="127">
        <v>11</v>
      </c>
      <c r="C2243" s="367">
        <v>0</v>
      </c>
      <c r="D2243" s="367">
        <v>0</v>
      </c>
      <c r="E2243" s="367">
        <v>0</v>
      </c>
      <c r="F2243" s="367">
        <v>0</v>
      </c>
      <c r="G2243" s="367">
        <v>0</v>
      </c>
      <c r="H2243" s="367">
        <v>0</v>
      </c>
      <c r="I2243" s="367">
        <v>0</v>
      </c>
      <c r="J2243" s="367">
        <v>0</v>
      </c>
      <c r="K2243" s="367">
        <v>0</v>
      </c>
      <c r="L2243" s="368">
        <v>0</v>
      </c>
      <c r="M2243" s="154">
        <f t="shared" si="846"/>
        <v>0</v>
      </c>
      <c r="N2243" s="155">
        <f t="shared" si="847"/>
        <v>0</v>
      </c>
      <c r="O2243" s="168">
        <f t="shared" si="848"/>
        <v>0</v>
      </c>
      <c r="P2243" s="157">
        <f t="shared" si="849"/>
        <v>0</v>
      </c>
    </row>
    <row r="2244" spans="1:16" ht="14.25" thickBot="1">
      <c r="A2244" s="475"/>
      <c r="B2244" s="127">
        <v>12</v>
      </c>
      <c r="C2244" s="187">
        <v>0</v>
      </c>
      <c r="D2244" s="187">
        <v>0</v>
      </c>
      <c r="E2244" s="187">
        <v>0</v>
      </c>
      <c r="F2244" s="188">
        <v>0</v>
      </c>
      <c r="G2244" s="187">
        <v>0</v>
      </c>
      <c r="H2244" s="187">
        <v>0</v>
      </c>
      <c r="I2244" s="187">
        <v>0</v>
      </c>
      <c r="J2244" s="187">
        <v>0</v>
      </c>
      <c r="K2244" s="187">
        <v>0</v>
      </c>
      <c r="L2244" s="189">
        <v>0</v>
      </c>
      <c r="M2244" s="154">
        <f t="shared" si="846"/>
        <v>0</v>
      </c>
      <c r="N2244" s="155">
        <f t="shared" si="847"/>
        <v>0</v>
      </c>
      <c r="O2244" s="168">
        <f t="shared" si="848"/>
        <v>0</v>
      </c>
      <c r="P2244" s="157">
        <f t="shared" si="849"/>
        <v>0</v>
      </c>
    </row>
    <row r="2245" spans="1:16">
      <c r="A2245" s="473">
        <v>2020</v>
      </c>
      <c r="B2245" s="410">
        <v>1</v>
      </c>
      <c r="C2245" s="434">
        <v>0</v>
      </c>
      <c r="D2245" s="434">
        <v>0</v>
      </c>
      <c r="E2245" s="434">
        <v>0</v>
      </c>
      <c r="F2245" s="434">
        <v>0</v>
      </c>
      <c r="G2245" s="434">
        <v>0</v>
      </c>
      <c r="H2245" s="434">
        <v>0</v>
      </c>
      <c r="I2245" s="434">
        <v>0</v>
      </c>
      <c r="J2245" s="434">
        <v>0</v>
      </c>
      <c r="K2245" s="434">
        <v>0</v>
      </c>
      <c r="L2245" s="436">
        <v>0</v>
      </c>
      <c r="M2245" s="424">
        <f t="shared" ref="M2245:M2252" si="850">+C2245+E2245+G2245+I2245+K2245</f>
        <v>0</v>
      </c>
      <c r="N2245" s="425">
        <f t="shared" ref="N2245:N2256" si="851">+D2245+F2245+H2245+J2245+L2245</f>
        <v>0</v>
      </c>
      <c r="O2245" s="430">
        <f t="shared" si="840"/>
        <v>0</v>
      </c>
      <c r="P2245" s="427">
        <f t="shared" si="841"/>
        <v>0</v>
      </c>
    </row>
    <row r="2246" spans="1:16">
      <c r="A2246" s="474"/>
      <c r="B2246" s="127">
        <v>2</v>
      </c>
      <c r="C2246" s="147">
        <v>0</v>
      </c>
      <c r="D2246" s="147">
        <v>0</v>
      </c>
      <c r="E2246" s="147">
        <v>0</v>
      </c>
      <c r="F2246" s="147">
        <v>0</v>
      </c>
      <c r="G2246" s="147">
        <v>0</v>
      </c>
      <c r="H2246" s="147">
        <v>0</v>
      </c>
      <c r="I2246" s="147">
        <v>0</v>
      </c>
      <c r="J2246" s="147">
        <v>0</v>
      </c>
      <c r="K2246" s="147">
        <v>0</v>
      </c>
      <c r="L2246" s="148">
        <v>0</v>
      </c>
      <c r="M2246" s="149">
        <f t="shared" si="850"/>
        <v>0</v>
      </c>
      <c r="N2246" s="150">
        <f t="shared" si="851"/>
        <v>0</v>
      </c>
      <c r="O2246" s="167">
        <f t="shared" si="840"/>
        <v>0</v>
      </c>
      <c r="P2246" s="152">
        <f t="shared" si="841"/>
        <v>0</v>
      </c>
    </row>
    <row r="2247" spans="1:16">
      <c r="A2247" s="474"/>
      <c r="B2247" s="127">
        <v>3</v>
      </c>
      <c r="C2247" s="147">
        <v>0</v>
      </c>
      <c r="D2247" s="147">
        <v>0</v>
      </c>
      <c r="E2247" s="147">
        <v>0</v>
      </c>
      <c r="F2247" s="147">
        <v>0</v>
      </c>
      <c r="G2247" s="147">
        <v>0</v>
      </c>
      <c r="H2247" s="147">
        <v>0</v>
      </c>
      <c r="I2247" s="147">
        <v>0</v>
      </c>
      <c r="J2247" s="147">
        <v>0</v>
      </c>
      <c r="K2247" s="147">
        <v>0</v>
      </c>
      <c r="L2247" s="148">
        <v>0</v>
      </c>
      <c r="M2247" s="149">
        <f t="shared" si="850"/>
        <v>0</v>
      </c>
      <c r="N2247" s="150">
        <f t="shared" si="851"/>
        <v>0</v>
      </c>
      <c r="O2247" s="167">
        <f t="shared" si="840"/>
        <v>0</v>
      </c>
      <c r="P2247" s="152">
        <f t="shared" si="841"/>
        <v>0</v>
      </c>
    </row>
    <row r="2248" spans="1:16">
      <c r="A2248" s="474"/>
      <c r="B2248" s="127">
        <v>4</v>
      </c>
      <c r="C2248" s="147">
        <v>0</v>
      </c>
      <c r="D2248" s="147">
        <v>0</v>
      </c>
      <c r="E2248" s="147">
        <v>0</v>
      </c>
      <c r="F2248" s="147">
        <v>0</v>
      </c>
      <c r="G2248" s="147">
        <v>0</v>
      </c>
      <c r="H2248" s="147">
        <v>0</v>
      </c>
      <c r="I2248" s="147">
        <v>0</v>
      </c>
      <c r="J2248" s="147">
        <v>0</v>
      </c>
      <c r="K2248" s="147">
        <v>0</v>
      </c>
      <c r="L2248" s="148">
        <v>0</v>
      </c>
      <c r="M2248" s="154">
        <f t="shared" si="850"/>
        <v>0</v>
      </c>
      <c r="N2248" s="155">
        <f t="shared" si="851"/>
        <v>0</v>
      </c>
      <c r="O2248" s="168">
        <f t="shared" si="840"/>
        <v>0</v>
      </c>
      <c r="P2248" s="157">
        <f t="shared" si="841"/>
        <v>0</v>
      </c>
    </row>
    <row r="2249" spans="1:16">
      <c r="A2249" s="474"/>
      <c r="B2249" s="127">
        <v>5</v>
      </c>
      <c r="C2249" s="147">
        <v>0</v>
      </c>
      <c r="D2249" s="147">
        <v>0</v>
      </c>
      <c r="E2249" s="147">
        <v>0</v>
      </c>
      <c r="F2249" s="147">
        <v>0</v>
      </c>
      <c r="G2249" s="147">
        <v>0</v>
      </c>
      <c r="H2249" s="147">
        <v>0</v>
      </c>
      <c r="I2249" s="147">
        <v>0</v>
      </c>
      <c r="J2249" s="147">
        <v>0</v>
      </c>
      <c r="K2249" s="147">
        <v>0</v>
      </c>
      <c r="L2249" s="148">
        <v>0</v>
      </c>
      <c r="M2249" s="154">
        <f t="shared" si="850"/>
        <v>0</v>
      </c>
      <c r="N2249" s="155">
        <f t="shared" si="851"/>
        <v>0</v>
      </c>
      <c r="O2249" s="168">
        <f t="shared" si="840"/>
        <v>0</v>
      </c>
      <c r="P2249" s="157">
        <f t="shared" si="841"/>
        <v>0</v>
      </c>
    </row>
    <row r="2250" spans="1:16">
      <c r="A2250" s="474"/>
      <c r="B2250" s="127">
        <v>6</v>
      </c>
      <c r="C2250" s="147">
        <f>集計用!C92</f>
        <v>0</v>
      </c>
      <c r="D2250" s="147">
        <f>集計用!S92</f>
        <v>0</v>
      </c>
      <c r="E2250" s="147">
        <f>集計用!E92</f>
        <v>0</v>
      </c>
      <c r="F2250" s="147">
        <f>集計用!U92</f>
        <v>0</v>
      </c>
      <c r="G2250" s="147">
        <f>集計用!G92</f>
        <v>0</v>
      </c>
      <c r="H2250" s="147">
        <f>集計用!W92</f>
        <v>0</v>
      </c>
      <c r="I2250" s="147">
        <f>集計用!I92</f>
        <v>0</v>
      </c>
      <c r="J2250" s="147">
        <f>集計用!Y92</f>
        <v>0</v>
      </c>
      <c r="K2250" s="147">
        <f>集計用!K92</f>
        <v>0</v>
      </c>
      <c r="L2250" s="148">
        <f>集計用!AA92</f>
        <v>0</v>
      </c>
      <c r="M2250" s="154">
        <f t="shared" si="850"/>
        <v>0</v>
      </c>
      <c r="N2250" s="155">
        <f t="shared" si="851"/>
        <v>0</v>
      </c>
      <c r="O2250" s="168">
        <f>M2250/30</f>
        <v>0</v>
      </c>
      <c r="P2250" s="157">
        <f>N2250/30</f>
        <v>0</v>
      </c>
    </row>
    <row r="2251" spans="1:16">
      <c r="A2251" s="474"/>
      <c r="B2251" s="127">
        <v>7</v>
      </c>
      <c r="C2251" s="147"/>
      <c r="D2251" s="147"/>
      <c r="E2251" s="147"/>
      <c r="F2251" s="147"/>
      <c r="G2251" s="147"/>
      <c r="H2251" s="147"/>
      <c r="I2251" s="147"/>
      <c r="J2251" s="147"/>
      <c r="K2251" s="147"/>
      <c r="L2251" s="174"/>
      <c r="M2251" s="154">
        <f t="shared" si="850"/>
        <v>0</v>
      </c>
      <c r="N2251" s="155">
        <f t="shared" si="851"/>
        <v>0</v>
      </c>
      <c r="O2251" s="168">
        <f t="shared" ref="O2251:O2256" si="852">M2251/31</f>
        <v>0</v>
      </c>
      <c r="P2251" s="157">
        <f t="shared" ref="P2251:P2256" si="853">N2251/31</f>
        <v>0</v>
      </c>
    </row>
    <row r="2252" spans="1:16">
      <c r="A2252" s="474"/>
      <c r="B2252" s="127">
        <v>8</v>
      </c>
      <c r="C2252" s="147"/>
      <c r="D2252" s="147"/>
      <c r="E2252" s="147"/>
      <c r="F2252" s="147"/>
      <c r="G2252" s="147"/>
      <c r="H2252" s="147"/>
      <c r="I2252" s="147"/>
      <c r="J2252" s="147"/>
      <c r="K2252" s="147"/>
      <c r="L2252" s="174"/>
      <c r="M2252" s="177">
        <f t="shared" si="850"/>
        <v>0</v>
      </c>
      <c r="N2252" s="158">
        <f t="shared" si="851"/>
        <v>0</v>
      </c>
      <c r="O2252" s="168">
        <f t="shared" si="852"/>
        <v>0</v>
      </c>
      <c r="P2252" s="157">
        <f t="shared" si="853"/>
        <v>0</v>
      </c>
    </row>
    <row r="2253" spans="1:16">
      <c r="A2253" s="474"/>
      <c r="B2253" s="127">
        <v>9</v>
      </c>
      <c r="C2253" s="147"/>
      <c r="D2253" s="147"/>
      <c r="E2253" s="147"/>
      <c r="F2253" s="147"/>
      <c r="G2253" s="147"/>
      <c r="H2253" s="147"/>
      <c r="I2253" s="147"/>
      <c r="J2253" s="147"/>
      <c r="K2253" s="147"/>
      <c r="L2253" s="174"/>
      <c r="M2253" s="177">
        <f t="shared" ref="M2253" si="854">+C2253+E2253+G2253+I2253+K2253</f>
        <v>0</v>
      </c>
      <c r="N2253" s="158">
        <f t="shared" ref="N2253" si="855">+D2253+F2253+H2253+J2253+L2253</f>
        <v>0</v>
      </c>
      <c r="O2253" s="168">
        <f>M2253/30</f>
        <v>0</v>
      </c>
      <c r="P2253" s="157">
        <f>N2253/30</f>
        <v>0</v>
      </c>
    </row>
    <row r="2254" spans="1:16">
      <c r="A2254" s="474"/>
      <c r="B2254" s="127">
        <v>10</v>
      </c>
      <c r="C2254" s="147"/>
      <c r="D2254" s="147"/>
      <c r="E2254" s="147"/>
      <c r="F2254" s="181"/>
      <c r="G2254" s="147"/>
      <c r="H2254" s="147"/>
      <c r="I2254" s="147"/>
      <c r="J2254" s="147"/>
      <c r="K2254" s="147"/>
      <c r="L2254" s="148"/>
      <c r="M2254" s="154">
        <f t="shared" ref="M2254" si="856">+C2254+E2254+G2254+I2254+K2254</f>
        <v>0</v>
      </c>
      <c r="N2254" s="155">
        <f t="shared" ref="N2254" si="857">+D2254+F2254+H2254+J2254+L2254</f>
        <v>0</v>
      </c>
      <c r="O2254" s="168">
        <f t="shared" ref="O2254" si="858">M2254/31</f>
        <v>0</v>
      </c>
      <c r="P2254" s="157">
        <f t="shared" ref="P2254" si="859">N2254/31</f>
        <v>0</v>
      </c>
    </row>
    <row r="2255" spans="1:16">
      <c r="A2255" s="474"/>
      <c r="B2255" s="127">
        <v>11</v>
      </c>
      <c r="C2255" s="367"/>
      <c r="D2255" s="367"/>
      <c r="E2255" s="367"/>
      <c r="F2255" s="367"/>
      <c r="G2255" s="367"/>
      <c r="H2255" s="367"/>
      <c r="I2255" s="367"/>
      <c r="J2255" s="367"/>
      <c r="K2255" s="367"/>
      <c r="L2255" s="368"/>
      <c r="M2255" s="154">
        <f t="shared" ref="M2255:M2256" si="860">+C2255+E2255+G2255+I2255+K2255</f>
        <v>0</v>
      </c>
      <c r="N2255" s="155">
        <f t="shared" si="851"/>
        <v>0</v>
      </c>
      <c r="O2255" s="168">
        <f t="shared" si="852"/>
        <v>0</v>
      </c>
      <c r="P2255" s="157">
        <f t="shared" si="853"/>
        <v>0</v>
      </c>
    </row>
    <row r="2256" spans="1:16" ht="14.25" thickBot="1">
      <c r="A2256" s="475"/>
      <c r="B2256" s="127">
        <v>12</v>
      </c>
      <c r="C2256" s="187"/>
      <c r="D2256" s="187"/>
      <c r="E2256" s="187"/>
      <c r="F2256" s="188"/>
      <c r="G2256" s="187"/>
      <c r="H2256" s="187"/>
      <c r="I2256" s="187"/>
      <c r="J2256" s="187"/>
      <c r="K2256" s="187"/>
      <c r="L2256" s="189"/>
      <c r="M2256" s="154">
        <f t="shared" si="860"/>
        <v>0</v>
      </c>
      <c r="N2256" s="155">
        <f t="shared" si="851"/>
        <v>0</v>
      </c>
      <c r="O2256" s="168">
        <f t="shared" si="852"/>
        <v>0</v>
      </c>
      <c r="P2256" s="157">
        <f t="shared" si="853"/>
        <v>0</v>
      </c>
    </row>
    <row r="2257" spans="1:16" ht="14.25" thickBot="1">
      <c r="A2257" s="180"/>
      <c r="B2257" s="160" t="s">
        <v>5</v>
      </c>
      <c r="C2257" s="161">
        <f>SUM(C2221:C2256)</f>
        <v>5</v>
      </c>
      <c r="D2257" s="161">
        <f t="shared" ref="D2257:K2257" si="861">SUM(D2221:D2256)</f>
        <v>8</v>
      </c>
      <c r="E2257" s="161">
        <f t="shared" si="861"/>
        <v>0</v>
      </c>
      <c r="F2257" s="161">
        <f t="shared" si="861"/>
        <v>0</v>
      </c>
      <c r="G2257" s="161">
        <f t="shared" si="861"/>
        <v>0</v>
      </c>
      <c r="H2257" s="161">
        <f t="shared" si="861"/>
        <v>0</v>
      </c>
      <c r="I2257" s="161">
        <f t="shared" si="861"/>
        <v>0</v>
      </c>
      <c r="J2257" s="161">
        <f t="shared" si="861"/>
        <v>0</v>
      </c>
      <c r="K2257" s="161">
        <f t="shared" si="861"/>
        <v>0</v>
      </c>
      <c r="L2257" s="161">
        <f>SUM(L2221:L2256)</f>
        <v>0</v>
      </c>
      <c r="M2257" s="162">
        <f>SUM(M2221:M2256)</f>
        <v>5</v>
      </c>
      <c r="N2257" s="161">
        <f>SUM(N2221:N2256)</f>
        <v>8</v>
      </c>
      <c r="O2257" s="161">
        <f>SUM(O2221:O2256)</f>
        <v>0.16129032258064516</v>
      </c>
      <c r="P2257" s="161">
        <f>SUM(P2221:P2256)</f>
        <v>0.25806451612903225</v>
      </c>
    </row>
    <row r="2260" spans="1:16">
      <c r="B2260" s="467" t="s">
        <v>191</v>
      </c>
      <c r="C2260" s="469" t="s">
        <v>29</v>
      </c>
      <c r="D2260" s="470"/>
      <c r="E2260" s="469" t="s">
        <v>30</v>
      </c>
      <c r="F2260" s="470"/>
      <c r="G2260" s="469" t="s">
        <v>31</v>
      </c>
      <c r="H2260" s="470"/>
      <c r="I2260" s="469" t="s">
        <v>58</v>
      </c>
      <c r="J2260" s="470"/>
      <c r="K2260" s="469" t="s">
        <v>57</v>
      </c>
      <c r="L2260" s="471"/>
      <c r="M2260" s="470" t="s">
        <v>5</v>
      </c>
      <c r="N2260" s="472"/>
      <c r="O2260" s="472" t="s">
        <v>33</v>
      </c>
      <c r="P2260" s="472"/>
    </row>
    <row r="2261" spans="1:16" ht="14.25" thickBot="1">
      <c r="B2261" s="468"/>
      <c r="C2261" s="13" t="s">
        <v>34</v>
      </c>
      <c r="D2261" s="13" t="s">
        <v>35</v>
      </c>
      <c r="E2261" s="13" t="s">
        <v>34</v>
      </c>
      <c r="F2261" s="13" t="s">
        <v>35</v>
      </c>
      <c r="G2261" s="13" t="s">
        <v>34</v>
      </c>
      <c r="H2261" s="13" t="s">
        <v>35</v>
      </c>
      <c r="I2261" s="13" t="s">
        <v>59</v>
      </c>
      <c r="J2261" s="13" t="s">
        <v>60</v>
      </c>
      <c r="K2261" s="13" t="s">
        <v>34</v>
      </c>
      <c r="L2261" s="14" t="s">
        <v>35</v>
      </c>
      <c r="M2261" s="15" t="s">
        <v>34</v>
      </c>
      <c r="N2261" s="13" t="s">
        <v>35</v>
      </c>
      <c r="O2261" s="163" t="s">
        <v>34</v>
      </c>
      <c r="P2261" s="163" t="s">
        <v>35</v>
      </c>
    </row>
    <row r="2262" spans="1:16">
      <c r="A2262" s="473">
        <v>2019</v>
      </c>
      <c r="B2262" s="410">
        <v>1</v>
      </c>
      <c r="C2262" s="422">
        <v>1</v>
      </c>
      <c r="D2262" s="422">
        <v>2</v>
      </c>
      <c r="E2262" s="422">
        <v>0</v>
      </c>
      <c r="F2262" s="422">
        <v>0</v>
      </c>
      <c r="G2262" s="422">
        <v>0</v>
      </c>
      <c r="H2262" s="422">
        <v>0</v>
      </c>
      <c r="I2262" s="422">
        <v>0</v>
      </c>
      <c r="J2262" s="422">
        <v>0</v>
      </c>
      <c r="K2262" s="422">
        <v>0</v>
      </c>
      <c r="L2262" s="432">
        <v>0</v>
      </c>
      <c r="M2262" s="424">
        <f>+C2262+E2262+G2262+I2262+K2262</f>
        <v>1</v>
      </c>
      <c r="N2262" s="425">
        <f t="shared" ref="N2262:N2269" si="862">+D2262+F2262+H2262+J2262+L2262</f>
        <v>2</v>
      </c>
      <c r="O2262" s="430">
        <f t="shared" ref="O2262:O2266" si="863">M2262/31</f>
        <v>3.2258064516129031E-2</v>
      </c>
      <c r="P2262" s="427">
        <f t="shared" ref="P2262:P2266" si="864">N2262/31</f>
        <v>6.4516129032258063E-2</v>
      </c>
    </row>
    <row r="2263" spans="1:16">
      <c r="A2263" s="474"/>
      <c r="B2263" s="127">
        <v>2</v>
      </c>
      <c r="C2263" s="147">
        <v>0</v>
      </c>
      <c r="D2263" s="147">
        <v>0</v>
      </c>
      <c r="E2263" s="147">
        <v>0</v>
      </c>
      <c r="F2263" s="147">
        <v>0</v>
      </c>
      <c r="G2263" s="147">
        <v>0</v>
      </c>
      <c r="H2263" s="147">
        <v>0</v>
      </c>
      <c r="I2263" s="147">
        <v>0</v>
      </c>
      <c r="J2263" s="147">
        <v>0</v>
      </c>
      <c r="K2263" s="147">
        <v>0</v>
      </c>
      <c r="L2263" s="174">
        <v>0</v>
      </c>
      <c r="M2263" s="149">
        <f t="shared" ref="M2263:M2269" si="865">+C2263+E2263+G2263+I2263+K2263</f>
        <v>0</v>
      </c>
      <c r="N2263" s="150">
        <f t="shared" si="862"/>
        <v>0</v>
      </c>
      <c r="O2263" s="167">
        <f t="shared" si="863"/>
        <v>0</v>
      </c>
      <c r="P2263" s="152">
        <f t="shared" si="864"/>
        <v>0</v>
      </c>
    </row>
    <row r="2264" spans="1:16">
      <c r="A2264" s="474"/>
      <c r="B2264" s="127">
        <v>3</v>
      </c>
      <c r="C2264" s="147">
        <v>1</v>
      </c>
      <c r="D2264" s="147">
        <v>0</v>
      </c>
      <c r="E2264" s="147">
        <v>0</v>
      </c>
      <c r="F2264" s="147">
        <v>0</v>
      </c>
      <c r="G2264" s="147">
        <v>0</v>
      </c>
      <c r="H2264" s="147">
        <v>0</v>
      </c>
      <c r="I2264" s="147">
        <v>1</v>
      </c>
      <c r="J2264" s="147">
        <v>0</v>
      </c>
      <c r="K2264" s="147">
        <v>0</v>
      </c>
      <c r="L2264" s="174">
        <v>0</v>
      </c>
      <c r="M2264" s="149">
        <f t="shared" si="865"/>
        <v>2</v>
      </c>
      <c r="N2264" s="150">
        <f t="shared" si="862"/>
        <v>0</v>
      </c>
      <c r="O2264" s="167">
        <f t="shared" si="863"/>
        <v>6.4516129032258063E-2</v>
      </c>
      <c r="P2264" s="152">
        <f t="shared" si="864"/>
        <v>0</v>
      </c>
    </row>
    <row r="2265" spans="1:16">
      <c r="A2265" s="474"/>
      <c r="B2265" s="127">
        <v>4</v>
      </c>
      <c r="C2265" s="158">
        <v>0</v>
      </c>
      <c r="D2265" s="158">
        <v>6</v>
      </c>
      <c r="E2265" s="158">
        <v>0</v>
      </c>
      <c r="F2265" s="158">
        <v>0</v>
      </c>
      <c r="G2265" s="158">
        <v>1</v>
      </c>
      <c r="H2265" s="158">
        <v>1</v>
      </c>
      <c r="I2265" s="158">
        <v>0</v>
      </c>
      <c r="J2265" s="158">
        <v>2</v>
      </c>
      <c r="K2265" s="158">
        <v>0</v>
      </c>
      <c r="L2265" s="159">
        <v>0</v>
      </c>
      <c r="M2265" s="154">
        <f t="shared" si="865"/>
        <v>1</v>
      </c>
      <c r="N2265" s="155">
        <f t="shared" si="862"/>
        <v>9</v>
      </c>
      <c r="O2265" s="168">
        <f t="shared" si="863"/>
        <v>3.2258064516129031E-2</v>
      </c>
      <c r="P2265" s="157">
        <f t="shared" si="864"/>
        <v>0.29032258064516131</v>
      </c>
    </row>
    <row r="2266" spans="1:16">
      <c r="A2266" s="474"/>
      <c r="B2266" s="127">
        <v>5</v>
      </c>
      <c r="C2266" s="158">
        <v>3</v>
      </c>
      <c r="D2266" s="158">
        <v>2</v>
      </c>
      <c r="E2266" s="158">
        <v>0</v>
      </c>
      <c r="F2266" s="158">
        <v>0</v>
      </c>
      <c r="G2266" s="158">
        <v>0</v>
      </c>
      <c r="H2266" s="158">
        <v>0</v>
      </c>
      <c r="I2266" s="158">
        <v>0</v>
      </c>
      <c r="J2266" s="158">
        <v>0</v>
      </c>
      <c r="K2266" s="158">
        <v>0</v>
      </c>
      <c r="L2266" s="159">
        <v>0</v>
      </c>
      <c r="M2266" s="154">
        <f t="shared" si="865"/>
        <v>3</v>
      </c>
      <c r="N2266" s="155">
        <f t="shared" si="862"/>
        <v>2</v>
      </c>
      <c r="O2266" s="168">
        <f t="shared" si="863"/>
        <v>9.6774193548387094E-2</v>
      </c>
      <c r="P2266" s="157">
        <f t="shared" si="864"/>
        <v>6.4516129032258063E-2</v>
      </c>
    </row>
    <row r="2267" spans="1:16">
      <c r="A2267" s="474"/>
      <c r="B2267" s="127">
        <v>6</v>
      </c>
      <c r="C2267" s="158">
        <v>6</v>
      </c>
      <c r="D2267" s="158">
        <v>7</v>
      </c>
      <c r="E2267" s="158">
        <v>0</v>
      </c>
      <c r="F2267" s="158">
        <v>0</v>
      </c>
      <c r="G2267" s="158">
        <v>2</v>
      </c>
      <c r="H2267" s="158">
        <v>2</v>
      </c>
      <c r="I2267" s="158">
        <v>1</v>
      </c>
      <c r="J2267" s="158">
        <v>0</v>
      </c>
      <c r="K2267" s="158">
        <v>0</v>
      </c>
      <c r="L2267" s="158">
        <v>0</v>
      </c>
      <c r="M2267" s="154">
        <f t="shared" si="865"/>
        <v>9</v>
      </c>
      <c r="N2267" s="155">
        <f t="shared" si="862"/>
        <v>9</v>
      </c>
      <c r="O2267" s="168">
        <f>M2267/30</f>
        <v>0.3</v>
      </c>
      <c r="P2267" s="157">
        <f>N2267/30</f>
        <v>0.3</v>
      </c>
    </row>
    <row r="2268" spans="1:16">
      <c r="A2268" s="474"/>
      <c r="B2268" s="127">
        <v>7</v>
      </c>
      <c r="C2268" s="158">
        <v>2</v>
      </c>
      <c r="D2268" s="158">
        <v>2</v>
      </c>
      <c r="E2268" s="158">
        <v>0</v>
      </c>
      <c r="F2268" s="158">
        <v>0</v>
      </c>
      <c r="G2268" s="158">
        <v>0</v>
      </c>
      <c r="H2268" s="158">
        <v>0</v>
      </c>
      <c r="I2268" s="158">
        <v>1</v>
      </c>
      <c r="J2268" s="158">
        <v>2</v>
      </c>
      <c r="K2268" s="158">
        <v>0</v>
      </c>
      <c r="L2268" s="158">
        <v>0</v>
      </c>
      <c r="M2268" s="154">
        <f t="shared" si="865"/>
        <v>3</v>
      </c>
      <c r="N2268" s="155">
        <f t="shared" si="862"/>
        <v>4</v>
      </c>
      <c r="O2268" s="168">
        <f t="shared" ref="O2268:O2269" si="866">M2268/31</f>
        <v>9.6774193548387094E-2</v>
      </c>
      <c r="P2268" s="157">
        <f t="shared" ref="P2268:P2269" si="867">N2268/31</f>
        <v>0.12903225806451613</v>
      </c>
    </row>
    <row r="2269" spans="1:16">
      <c r="A2269" s="474"/>
      <c r="B2269" s="127">
        <v>8</v>
      </c>
      <c r="C2269" s="158">
        <v>4</v>
      </c>
      <c r="D2269" s="158">
        <v>6</v>
      </c>
      <c r="E2269" s="158">
        <v>0</v>
      </c>
      <c r="F2269" s="158">
        <v>0</v>
      </c>
      <c r="G2269" s="158">
        <v>0</v>
      </c>
      <c r="H2269" s="158">
        <v>0</v>
      </c>
      <c r="I2269" s="158">
        <v>1</v>
      </c>
      <c r="J2269" s="158">
        <v>2</v>
      </c>
      <c r="K2269" s="158">
        <v>0</v>
      </c>
      <c r="L2269" s="159">
        <v>0</v>
      </c>
      <c r="M2269" s="177">
        <f t="shared" si="865"/>
        <v>5</v>
      </c>
      <c r="N2269" s="158">
        <f t="shared" si="862"/>
        <v>8</v>
      </c>
      <c r="O2269" s="168">
        <f t="shared" si="866"/>
        <v>0.16129032258064516</v>
      </c>
      <c r="P2269" s="157">
        <f t="shared" si="867"/>
        <v>0.25806451612903225</v>
      </c>
    </row>
    <row r="2270" spans="1:16">
      <c r="A2270" s="474"/>
      <c r="B2270" s="127">
        <v>9</v>
      </c>
      <c r="C2270" s="147">
        <v>0</v>
      </c>
      <c r="D2270" s="147">
        <v>3</v>
      </c>
      <c r="E2270" s="147">
        <v>0</v>
      </c>
      <c r="F2270" s="147">
        <v>0</v>
      </c>
      <c r="G2270" s="147">
        <v>0</v>
      </c>
      <c r="H2270" s="147">
        <v>0</v>
      </c>
      <c r="I2270" s="147">
        <v>2</v>
      </c>
      <c r="J2270" s="147">
        <v>1</v>
      </c>
      <c r="K2270" s="147">
        <v>0</v>
      </c>
      <c r="L2270" s="147">
        <v>0</v>
      </c>
      <c r="M2270" s="177">
        <v>2</v>
      </c>
      <c r="N2270" s="158">
        <v>4</v>
      </c>
      <c r="O2270" s="168">
        <v>6.4516129032258063E-2</v>
      </c>
      <c r="P2270" s="157">
        <v>0.12903225806451613</v>
      </c>
    </row>
    <row r="2271" spans="1:16">
      <c r="A2271" s="474"/>
      <c r="B2271" s="127">
        <v>10</v>
      </c>
      <c r="C2271" s="147">
        <v>2</v>
      </c>
      <c r="D2271" s="147">
        <v>0</v>
      </c>
      <c r="E2271" s="147">
        <v>0</v>
      </c>
      <c r="F2271" s="181">
        <v>0</v>
      </c>
      <c r="G2271" s="147">
        <v>0</v>
      </c>
      <c r="H2271" s="147">
        <v>0</v>
      </c>
      <c r="I2271" s="147">
        <v>0</v>
      </c>
      <c r="J2271" s="147">
        <v>6</v>
      </c>
      <c r="K2271" s="147">
        <v>0</v>
      </c>
      <c r="L2271" s="148">
        <v>0</v>
      </c>
      <c r="M2271" s="154">
        <f t="shared" ref="M2271:M2273" si="868">+C2271+E2271+G2271+I2271+K2271</f>
        <v>2</v>
      </c>
      <c r="N2271" s="155">
        <f t="shared" ref="N2271:N2273" si="869">+D2271+F2271+H2271+J2271+L2271</f>
        <v>6</v>
      </c>
      <c r="O2271" s="168">
        <f t="shared" ref="O2271:O2273" si="870">M2271/31</f>
        <v>6.4516129032258063E-2</v>
      </c>
      <c r="P2271" s="157">
        <f t="shared" ref="P2271:P2273" si="871">N2271/31</f>
        <v>0.19354838709677419</v>
      </c>
    </row>
    <row r="2272" spans="1:16">
      <c r="A2272" s="474"/>
      <c r="B2272" s="127">
        <v>11</v>
      </c>
      <c r="C2272" s="367">
        <v>6</v>
      </c>
      <c r="D2272" s="367">
        <v>10</v>
      </c>
      <c r="E2272" s="367">
        <v>0</v>
      </c>
      <c r="F2272" s="367">
        <v>0</v>
      </c>
      <c r="G2272" s="367">
        <v>0</v>
      </c>
      <c r="H2272" s="367">
        <v>0</v>
      </c>
      <c r="I2272" s="367">
        <v>0</v>
      </c>
      <c r="J2272" s="367">
        <v>0</v>
      </c>
      <c r="K2272" s="367">
        <v>2</v>
      </c>
      <c r="L2272" s="368">
        <v>4</v>
      </c>
      <c r="M2272" s="154">
        <f t="shared" si="868"/>
        <v>8</v>
      </c>
      <c r="N2272" s="155">
        <f t="shared" si="869"/>
        <v>14</v>
      </c>
      <c r="O2272" s="168">
        <f t="shared" si="870"/>
        <v>0.25806451612903225</v>
      </c>
      <c r="P2272" s="157">
        <f t="shared" si="871"/>
        <v>0.45161290322580644</v>
      </c>
    </row>
    <row r="2273" spans="1:16" ht="14.25" thickBot="1">
      <c r="A2273" s="475"/>
      <c r="B2273" s="127">
        <v>12</v>
      </c>
      <c r="C2273" s="187">
        <v>8</v>
      </c>
      <c r="D2273" s="187">
        <v>13</v>
      </c>
      <c r="E2273" s="187">
        <v>0</v>
      </c>
      <c r="F2273" s="188">
        <v>0</v>
      </c>
      <c r="G2273" s="187">
        <v>0</v>
      </c>
      <c r="H2273" s="187">
        <v>0</v>
      </c>
      <c r="I2273" s="187">
        <v>2</v>
      </c>
      <c r="J2273" s="187">
        <v>3</v>
      </c>
      <c r="K2273" s="187">
        <v>0</v>
      </c>
      <c r="L2273" s="189">
        <v>0</v>
      </c>
      <c r="M2273" s="190">
        <f t="shared" si="868"/>
        <v>10</v>
      </c>
      <c r="N2273" s="191">
        <f t="shared" si="869"/>
        <v>16</v>
      </c>
      <c r="O2273" s="192">
        <f t="shared" si="870"/>
        <v>0.32258064516129031</v>
      </c>
      <c r="P2273" s="193">
        <f t="shared" si="871"/>
        <v>0.5161290322580645</v>
      </c>
    </row>
    <row r="2274" spans="1:16">
      <c r="A2274" s="473">
        <v>2020</v>
      </c>
      <c r="B2274" s="410">
        <v>1</v>
      </c>
      <c r="C2274" s="434">
        <v>2</v>
      </c>
      <c r="D2274" s="434">
        <v>4</v>
      </c>
      <c r="E2274" s="434">
        <v>0</v>
      </c>
      <c r="F2274" s="434">
        <v>0</v>
      </c>
      <c r="G2274" s="434">
        <v>0</v>
      </c>
      <c r="H2274" s="434">
        <v>0</v>
      </c>
      <c r="I2274" s="434">
        <v>0</v>
      </c>
      <c r="J2274" s="434">
        <v>0</v>
      </c>
      <c r="K2274" s="434">
        <v>0</v>
      </c>
      <c r="L2274" s="436">
        <v>0</v>
      </c>
      <c r="M2274" s="424">
        <f>+C2274+E2274+G2274+I2274+K2274</f>
        <v>2</v>
      </c>
      <c r="N2274" s="425">
        <f t="shared" ref="N2274:N2285" si="872">+D2274+F2274+H2274+J2274+L2274</f>
        <v>4</v>
      </c>
      <c r="O2274" s="430">
        <f t="shared" ref="O2274:O2278" si="873">M2274/31</f>
        <v>6.4516129032258063E-2</v>
      </c>
      <c r="P2274" s="427">
        <f t="shared" ref="P2274:P2278" si="874">N2274/31</f>
        <v>0.12903225806451613</v>
      </c>
    </row>
    <row r="2275" spans="1:16">
      <c r="A2275" s="474"/>
      <c r="B2275" s="127">
        <v>2</v>
      </c>
      <c r="C2275" s="147">
        <v>0</v>
      </c>
      <c r="D2275" s="147">
        <v>0</v>
      </c>
      <c r="E2275" s="147">
        <v>0</v>
      </c>
      <c r="F2275" s="147">
        <v>0</v>
      </c>
      <c r="G2275" s="147">
        <v>0</v>
      </c>
      <c r="H2275" s="147">
        <v>0</v>
      </c>
      <c r="I2275" s="147">
        <v>0</v>
      </c>
      <c r="J2275" s="147">
        <v>0</v>
      </c>
      <c r="K2275" s="147">
        <v>0</v>
      </c>
      <c r="L2275" s="148">
        <v>0</v>
      </c>
      <c r="M2275" s="149">
        <f t="shared" ref="M2275:M2285" si="875">+C2275+E2275+G2275+I2275+K2275</f>
        <v>0</v>
      </c>
      <c r="N2275" s="150">
        <f t="shared" si="872"/>
        <v>0</v>
      </c>
      <c r="O2275" s="167">
        <f t="shared" si="873"/>
        <v>0</v>
      </c>
      <c r="P2275" s="152">
        <f t="shared" si="874"/>
        <v>0</v>
      </c>
    </row>
    <row r="2276" spans="1:16">
      <c r="A2276" s="474"/>
      <c r="B2276" s="127">
        <v>3</v>
      </c>
      <c r="C2276" s="147">
        <v>0</v>
      </c>
      <c r="D2276" s="147">
        <v>0</v>
      </c>
      <c r="E2276" s="147">
        <v>0</v>
      </c>
      <c r="F2276" s="147">
        <v>0</v>
      </c>
      <c r="G2276" s="147">
        <v>0</v>
      </c>
      <c r="H2276" s="147">
        <v>0</v>
      </c>
      <c r="I2276" s="147">
        <v>0</v>
      </c>
      <c r="J2276" s="147">
        <v>0</v>
      </c>
      <c r="K2276" s="147">
        <v>0</v>
      </c>
      <c r="L2276" s="148">
        <v>0</v>
      </c>
      <c r="M2276" s="149">
        <f t="shared" si="875"/>
        <v>0</v>
      </c>
      <c r="N2276" s="150">
        <f t="shared" si="872"/>
        <v>0</v>
      </c>
      <c r="O2276" s="167">
        <f t="shared" si="873"/>
        <v>0</v>
      </c>
      <c r="P2276" s="152">
        <f t="shared" si="874"/>
        <v>0</v>
      </c>
    </row>
    <row r="2277" spans="1:16">
      <c r="A2277" s="474"/>
      <c r="B2277" s="127">
        <v>4</v>
      </c>
      <c r="C2277" s="147">
        <v>0</v>
      </c>
      <c r="D2277" s="147">
        <v>0</v>
      </c>
      <c r="E2277" s="147">
        <v>0</v>
      </c>
      <c r="F2277" s="147">
        <v>0</v>
      </c>
      <c r="G2277" s="147">
        <v>0</v>
      </c>
      <c r="H2277" s="147">
        <v>0</v>
      </c>
      <c r="I2277" s="147">
        <v>0</v>
      </c>
      <c r="J2277" s="147">
        <v>0</v>
      </c>
      <c r="K2277" s="147">
        <v>0</v>
      </c>
      <c r="L2277" s="148">
        <v>0</v>
      </c>
      <c r="M2277" s="154">
        <f t="shared" si="875"/>
        <v>0</v>
      </c>
      <c r="N2277" s="155">
        <f t="shared" si="872"/>
        <v>0</v>
      </c>
      <c r="O2277" s="168">
        <f t="shared" si="873"/>
        <v>0</v>
      </c>
      <c r="P2277" s="157">
        <f t="shared" si="874"/>
        <v>0</v>
      </c>
    </row>
    <row r="2278" spans="1:16">
      <c r="A2278" s="474"/>
      <c r="B2278" s="127">
        <v>5</v>
      </c>
      <c r="C2278" s="147">
        <v>0</v>
      </c>
      <c r="D2278" s="147">
        <v>0</v>
      </c>
      <c r="E2278" s="147">
        <v>0</v>
      </c>
      <c r="F2278" s="147">
        <v>0</v>
      </c>
      <c r="G2278" s="147">
        <v>0</v>
      </c>
      <c r="H2278" s="147">
        <v>0</v>
      </c>
      <c r="I2278" s="147">
        <v>0</v>
      </c>
      <c r="J2278" s="147">
        <v>0</v>
      </c>
      <c r="K2278" s="147">
        <v>0</v>
      </c>
      <c r="L2278" s="148">
        <v>0</v>
      </c>
      <c r="M2278" s="154">
        <f t="shared" si="875"/>
        <v>0</v>
      </c>
      <c r="N2278" s="155">
        <f t="shared" si="872"/>
        <v>0</v>
      </c>
      <c r="O2278" s="168">
        <f t="shared" si="873"/>
        <v>0</v>
      </c>
      <c r="P2278" s="157">
        <f t="shared" si="874"/>
        <v>0</v>
      </c>
    </row>
    <row r="2279" spans="1:16">
      <c r="A2279" s="474"/>
      <c r="B2279" s="127">
        <v>6</v>
      </c>
      <c r="C2279" s="147">
        <f>集計用!C94</f>
        <v>0</v>
      </c>
      <c r="D2279" s="147">
        <f>集計用!S94</f>
        <v>0</v>
      </c>
      <c r="E2279" s="147">
        <f>集計用!E94</f>
        <v>0</v>
      </c>
      <c r="F2279" s="147">
        <f>集計用!U94</f>
        <v>0</v>
      </c>
      <c r="G2279" s="147">
        <f>集計用!G94</f>
        <v>0</v>
      </c>
      <c r="H2279" s="147">
        <f>集計用!W94</f>
        <v>0</v>
      </c>
      <c r="I2279" s="147">
        <f>集計用!I94</f>
        <v>0</v>
      </c>
      <c r="J2279" s="147">
        <f>集計用!Y94</f>
        <v>0</v>
      </c>
      <c r="K2279" s="147">
        <f>集計用!K94</f>
        <v>0</v>
      </c>
      <c r="L2279" s="148">
        <f>集計用!AA94</f>
        <v>0</v>
      </c>
      <c r="M2279" s="154">
        <f t="shared" si="875"/>
        <v>0</v>
      </c>
      <c r="N2279" s="155">
        <f t="shared" si="872"/>
        <v>0</v>
      </c>
      <c r="O2279" s="168">
        <f>M2279/30</f>
        <v>0</v>
      </c>
      <c r="P2279" s="157">
        <f>N2279/30</f>
        <v>0</v>
      </c>
    </row>
    <row r="2280" spans="1:16">
      <c r="A2280" s="474"/>
      <c r="B2280" s="127">
        <v>7</v>
      </c>
      <c r="C2280" s="158"/>
      <c r="D2280" s="158"/>
      <c r="E2280" s="158"/>
      <c r="F2280" s="158"/>
      <c r="G2280" s="158"/>
      <c r="H2280" s="158"/>
      <c r="I2280" s="158"/>
      <c r="J2280" s="158"/>
      <c r="K2280" s="158"/>
      <c r="L2280" s="158"/>
      <c r="M2280" s="154">
        <f t="shared" si="875"/>
        <v>0</v>
      </c>
      <c r="N2280" s="155">
        <f t="shared" si="872"/>
        <v>0</v>
      </c>
      <c r="O2280" s="168">
        <f t="shared" ref="O2280:O2285" si="876">M2280/31</f>
        <v>0</v>
      </c>
      <c r="P2280" s="157">
        <f t="shared" ref="P2280:P2285" si="877">N2280/31</f>
        <v>0</v>
      </c>
    </row>
    <row r="2281" spans="1:16">
      <c r="A2281" s="474"/>
      <c r="B2281" s="127">
        <v>8</v>
      </c>
      <c r="C2281" s="158"/>
      <c r="D2281" s="158"/>
      <c r="E2281" s="158"/>
      <c r="F2281" s="158"/>
      <c r="G2281" s="158"/>
      <c r="H2281" s="158"/>
      <c r="I2281" s="158"/>
      <c r="J2281" s="158"/>
      <c r="K2281" s="158"/>
      <c r="L2281" s="159"/>
      <c r="M2281" s="177">
        <f t="shared" si="875"/>
        <v>0</v>
      </c>
      <c r="N2281" s="158">
        <f t="shared" si="872"/>
        <v>0</v>
      </c>
      <c r="O2281" s="168">
        <f t="shared" si="876"/>
        <v>0</v>
      </c>
      <c r="P2281" s="157">
        <f t="shared" si="877"/>
        <v>0</v>
      </c>
    </row>
    <row r="2282" spans="1:16">
      <c r="A2282" s="474"/>
      <c r="B2282" s="127">
        <v>9</v>
      </c>
      <c r="C2282" s="147"/>
      <c r="D2282" s="147"/>
      <c r="E2282" s="147"/>
      <c r="F2282" s="147"/>
      <c r="G2282" s="147"/>
      <c r="H2282" s="147"/>
      <c r="I2282" s="147"/>
      <c r="J2282" s="147"/>
      <c r="K2282" s="147"/>
      <c r="L2282" s="147"/>
      <c r="M2282" s="177">
        <f t="shared" ref="M2282" si="878">+C2282+E2282+G2282+I2282+K2282</f>
        <v>0</v>
      </c>
      <c r="N2282" s="158">
        <f t="shared" ref="N2282" si="879">+D2282+F2282+H2282+J2282+L2282</f>
        <v>0</v>
      </c>
      <c r="O2282" s="168">
        <f>M2282/30</f>
        <v>0</v>
      </c>
      <c r="P2282" s="157">
        <f>N2282/30</f>
        <v>0</v>
      </c>
    </row>
    <row r="2283" spans="1:16">
      <c r="A2283" s="474"/>
      <c r="B2283" s="127">
        <v>10</v>
      </c>
      <c r="C2283" s="147"/>
      <c r="D2283" s="147"/>
      <c r="E2283" s="147"/>
      <c r="F2283" s="181"/>
      <c r="G2283" s="147"/>
      <c r="H2283" s="147"/>
      <c r="I2283" s="147"/>
      <c r="J2283" s="147"/>
      <c r="K2283" s="147"/>
      <c r="L2283" s="148"/>
      <c r="M2283" s="154">
        <f t="shared" ref="M2283" si="880">+C2283+E2283+G2283+I2283+K2283</f>
        <v>0</v>
      </c>
      <c r="N2283" s="155">
        <f t="shared" ref="N2283" si="881">+D2283+F2283+H2283+J2283+L2283</f>
        <v>0</v>
      </c>
      <c r="O2283" s="168">
        <f t="shared" ref="O2283" si="882">M2283/31</f>
        <v>0</v>
      </c>
      <c r="P2283" s="157">
        <f t="shared" ref="P2283" si="883">N2283/31</f>
        <v>0</v>
      </c>
    </row>
    <row r="2284" spans="1:16">
      <c r="A2284" s="474"/>
      <c r="B2284" s="127">
        <v>11</v>
      </c>
      <c r="C2284" s="367"/>
      <c r="D2284" s="367"/>
      <c r="E2284" s="367"/>
      <c r="F2284" s="367"/>
      <c r="G2284" s="367"/>
      <c r="H2284" s="367"/>
      <c r="I2284" s="367"/>
      <c r="J2284" s="367"/>
      <c r="K2284" s="367"/>
      <c r="L2284" s="368"/>
      <c r="M2284" s="154">
        <f t="shared" si="875"/>
        <v>0</v>
      </c>
      <c r="N2284" s="155">
        <f t="shared" si="872"/>
        <v>0</v>
      </c>
      <c r="O2284" s="168">
        <f t="shared" si="876"/>
        <v>0</v>
      </c>
      <c r="P2284" s="157">
        <f t="shared" si="877"/>
        <v>0</v>
      </c>
    </row>
    <row r="2285" spans="1:16" ht="14.25" thickBot="1">
      <c r="A2285" s="475"/>
      <c r="B2285" s="127">
        <v>12</v>
      </c>
      <c r="C2285" s="187"/>
      <c r="D2285" s="187"/>
      <c r="E2285" s="187"/>
      <c r="F2285" s="188"/>
      <c r="G2285" s="187"/>
      <c r="H2285" s="187"/>
      <c r="I2285" s="187"/>
      <c r="J2285" s="187"/>
      <c r="K2285" s="187"/>
      <c r="L2285" s="189"/>
      <c r="M2285" s="190">
        <f t="shared" si="875"/>
        <v>0</v>
      </c>
      <c r="N2285" s="191">
        <f t="shared" si="872"/>
        <v>0</v>
      </c>
      <c r="O2285" s="192">
        <f t="shared" si="876"/>
        <v>0</v>
      </c>
      <c r="P2285" s="193">
        <f t="shared" si="877"/>
        <v>0</v>
      </c>
    </row>
    <row r="2286" spans="1:16" ht="14.25" thickBot="1">
      <c r="A2286" s="180"/>
      <c r="B2286" s="160" t="s">
        <v>5</v>
      </c>
      <c r="C2286" s="161">
        <f>SUM(C2262:C2285)</f>
        <v>35</v>
      </c>
      <c r="D2286" s="161">
        <f t="shared" ref="D2286:L2286" si="884">SUM(D2262:D2285)</f>
        <v>55</v>
      </c>
      <c r="E2286" s="161">
        <f t="shared" si="884"/>
        <v>0</v>
      </c>
      <c r="F2286" s="161">
        <f t="shared" si="884"/>
        <v>0</v>
      </c>
      <c r="G2286" s="161">
        <f t="shared" si="884"/>
        <v>3</v>
      </c>
      <c r="H2286" s="161">
        <f t="shared" si="884"/>
        <v>3</v>
      </c>
      <c r="I2286" s="161">
        <f t="shared" si="884"/>
        <v>8</v>
      </c>
      <c r="J2286" s="161">
        <f t="shared" si="884"/>
        <v>16</v>
      </c>
      <c r="K2286" s="161">
        <f t="shared" si="884"/>
        <v>2</v>
      </c>
      <c r="L2286" s="161">
        <f t="shared" si="884"/>
        <v>4</v>
      </c>
      <c r="M2286" s="162">
        <f>SUM(M2262:M2285)</f>
        <v>48</v>
      </c>
      <c r="N2286" s="161">
        <f t="shared" ref="N2286:P2286" si="885">SUM(N2262:N2285)</f>
        <v>78</v>
      </c>
      <c r="O2286" s="161">
        <f t="shared" si="885"/>
        <v>1.5580645161290321</v>
      </c>
      <c r="P2286" s="161">
        <f t="shared" si="885"/>
        <v>2.5258064516129028</v>
      </c>
    </row>
    <row r="2288" spans="1:16">
      <c r="B2288" s="467" t="s">
        <v>203</v>
      </c>
      <c r="C2288" s="469" t="s">
        <v>29</v>
      </c>
      <c r="D2288" s="470"/>
      <c r="E2288" s="469" t="s">
        <v>30</v>
      </c>
      <c r="F2288" s="470"/>
      <c r="G2288" s="469" t="s">
        <v>31</v>
      </c>
      <c r="H2288" s="470"/>
      <c r="I2288" s="469" t="s">
        <v>58</v>
      </c>
      <c r="J2288" s="470"/>
      <c r="K2288" s="469" t="s">
        <v>57</v>
      </c>
      <c r="L2288" s="471"/>
      <c r="M2288" s="470" t="s">
        <v>5</v>
      </c>
      <c r="N2288" s="472"/>
      <c r="O2288" s="472" t="s">
        <v>33</v>
      </c>
      <c r="P2288" s="472"/>
    </row>
    <row r="2289" spans="1:16" ht="14.25" thickBot="1">
      <c r="B2289" s="468"/>
      <c r="C2289" s="13" t="s">
        <v>34</v>
      </c>
      <c r="D2289" s="13" t="s">
        <v>35</v>
      </c>
      <c r="E2289" s="13" t="s">
        <v>34</v>
      </c>
      <c r="F2289" s="13" t="s">
        <v>35</v>
      </c>
      <c r="G2289" s="13" t="s">
        <v>34</v>
      </c>
      <c r="H2289" s="13" t="s">
        <v>35</v>
      </c>
      <c r="I2289" s="13" t="s">
        <v>59</v>
      </c>
      <c r="J2289" s="13" t="s">
        <v>60</v>
      </c>
      <c r="K2289" s="13" t="s">
        <v>34</v>
      </c>
      <c r="L2289" s="14" t="s">
        <v>35</v>
      </c>
      <c r="M2289" s="15" t="s">
        <v>34</v>
      </c>
      <c r="N2289" s="13" t="s">
        <v>35</v>
      </c>
      <c r="O2289" s="163" t="s">
        <v>34</v>
      </c>
      <c r="P2289" s="163" t="s">
        <v>35</v>
      </c>
    </row>
    <row r="2290" spans="1:16">
      <c r="A2290" s="473">
        <v>2019</v>
      </c>
      <c r="B2290" s="410">
        <v>1</v>
      </c>
      <c r="C2290" s="422">
        <v>0</v>
      </c>
      <c r="D2290" s="422">
        <v>0</v>
      </c>
      <c r="E2290" s="422">
        <v>0</v>
      </c>
      <c r="F2290" s="422">
        <v>0</v>
      </c>
      <c r="G2290" s="422">
        <v>0</v>
      </c>
      <c r="H2290" s="422">
        <v>0</v>
      </c>
      <c r="I2290" s="422">
        <v>0</v>
      </c>
      <c r="J2290" s="422">
        <v>0</v>
      </c>
      <c r="K2290" s="422">
        <v>0</v>
      </c>
      <c r="L2290" s="422">
        <v>0</v>
      </c>
      <c r="M2290" s="424">
        <f>+C2290+E2290+G2290+I2290+K2290</f>
        <v>0</v>
      </c>
      <c r="N2290" s="425">
        <f t="shared" ref="N2290:N2297" si="886">+D2290+F2290+H2290+J2290+L2290</f>
        <v>0</v>
      </c>
      <c r="O2290" s="430">
        <f t="shared" ref="O2290:O2294" si="887">M2290/31</f>
        <v>0</v>
      </c>
      <c r="P2290" s="427">
        <f t="shared" ref="P2290:P2294" si="888">N2290/31</f>
        <v>0</v>
      </c>
    </row>
    <row r="2291" spans="1:16">
      <c r="A2291" s="474"/>
      <c r="B2291" s="127">
        <v>2</v>
      </c>
      <c r="C2291" s="147">
        <v>1</v>
      </c>
      <c r="D2291" s="147">
        <v>0</v>
      </c>
      <c r="E2291" s="147">
        <v>0</v>
      </c>
      <c r="F2291" s="147">
        <v>0</v>
      </c>
      <c r="G2291" s="147">
        <v>0</v>
      </c>
      <c r="H2291" s="147">
        <v>0</v>
      </c>
      <c r="I2291" s="147">
        <v>0</v>
      </c>
      <c r="J2291" s="147">
        <v>0</v>
      </c>
      <c r="K2291" s="147">
        <v>0</v>
      </c>
      <c r="L2291" s="174">
        <v>0</v>
      </c>
      <c r="M2291" s="149">
        <f t="shared" ref="M2291:M2297" si="889">+C2291+E2291+G2291+I2291+K2291</f>
        <v>1</v>
      </c>
      <c r="N2291" s="150">
        <f t="shared" si="886"/>
        <v>0</v>
      </c>
      <c r="O2291" s="167">
        <f t="shared" si="887"/>
        <v>3.2258064516129031E-2</v>
      </c>
      <c r="P2291" s="152">
        <f t="shared" si="888"/>
        <v>0</v>
      </c>
    </row>
    <row r="2292" spans="1:16">
      <c r="A2292" s="474"/>
      <c r="B2292" s="127">
        <v>3</v>
      </c>
      <c r="C2292" s="147">
        <v>0</v>
      </c>
      <c r="D2292" s="147">
        <v>2</v>
      </c>
      <c r="E2292" s="147">
        <v>0</v>
      </c>
      <c r="F2292" s="147">
        <v>0</v>
      </c>
      <c r="G2292" s="147">
        <v>0</v>
      </c>
      <c r="H2292" s="147">
        <v>0</v>
      </c>
      <c r="I2292" s="147">
        <v>0</v>
      </c>
      <c r="J2292" s="147">
        <v>0</v>
      </c>
      <c r="K2292" s="147">
        <v>0</v>
      </c>
      <c r="L2292" s="174">
        <v>0</v>
      </c>
      <c r="M2292" s="149">
        <f t="shared" si="889"/>
        <v>0</v>
      </c>
      <c r="N2292" s="150">
        <f t="shared" si="886"/>
        <v>2</v>
      </c>
      <c r="O2292" s="167">
        <f t="shared" si="887"/>
        <v>0</v>
      </c>
      <c r="P2292" s="152">
        <f t="shared" si="888"/>
        <v>6.4516129032258063E-2</v>
      </c>
    </row>
    <row r="2293" spans="1:16">
      <c r="A2293" s="474"/>
      <c r="B2293" s="127">
        <v>4</v>
      </c>
      <c r="C2293" s="158">
        <v>0</v>
      </c>
      <c r="D2293" s="158">
        <v>0</v>
      </c>
      <c r="E2293" s="158">
        <v>0</v>
      </c>
      <c r="F2293" s="158">
        <v>0</v>
      </c>
      <c r="G2293" s="158">
        <v>0</v>
      </c>
      <c r="H2293" s="158">
        <v>0</v>
      </c>
      <c r="I2293" s="158">
        <v>0</v>
      </c>
      <c r="J2293" s="158">
        <v>0</v>
      </c>
      <c r="K2293" s="158">
        <v>0</v>
      </c>
      <c r="L2293" s="159">
        <v>0</v>
      </c>
      <c r="M2293" s="154">
        <f t="shared" si="889"/>
        <v>0</v>
      </c>
      <c r="N2293" s="155">
        <f t="shared" si="886"/>
        <v>0</v>
      </c>
      <c r="O2293" s="168">
        <f t="shared" si="887"/>
        <v>0</v>
      </c>
      <c r="P2293" s="157">
        <f t="shared" si="888"/>
        <v>0</v>
      </c>
    </row>
    <row r="2294" spans="1:16">
      <c r="A2294" s="474"/>
      <c r="B2294" s="127">
        <v>5</v>
      </c>
      <c r="C2294" s="158">
        <v>1</v>
      </c>
      <c r="D2294" s="158">
        <v>0</v>
      </c>
      <c r="E2294" s="158">
        <v>0</v>
      </c>
      <c r="F2294" s="158">
        <v>0</v>
      </c>
      <c r="G2294" s="158">
        <v>0</v>
      </c>
      <c r="H2294" s="158">
        <v>0</v>
      </c>
      <c r="I2294" s="158">
        <v>0</v>
      </c>
      <c r="J2294" s="158">
        <v>0</v>
      </c>
      <c r="K2294" s="158">
        <v>0</v>
      </c>
      <c r="L2294" s="159">
        <v>0</v>
      </c>
      <c r="M2294" s="154">
        <f t="shared" si="889"/>
        <v>1</v>
      </c>
      <c r="N2294" s="155">
        <f t="shared" si="886"/>
        <v>0</v>
      </c>
      <c r="O2294" s="168">
        <f t="shared" si="887"/>
        <v>3.2258064516129031E-2</v>
      </c>
      <c r="P2294" s="157">
        <f t="shared" si="888"/>
        <v>0</v>
      </c>
    </row>
    <row r="2295" spans="1:16">
      <c r="A2295" s="474"/>
      <c r="B2295" s="127">
        <v>6</v>
      </c>
      <c r="C2295" s="158">
        <v>0</v>
      </c>
      <c r="D2295" s="158">
        <v>4</v>
      </c>
      <c r="E2295" s="158">
        <v>0</v>
      </c>
      <c r="F2295" s="158">
        <v>0</v>
      </c>
      <c r="G2295" s="158">
        <v>0</v>
      </c>
      <c r="H2295" s="158">
        <v>0</v>
      </c>
      <c r="I2295" s="158">
        <v>1</v>
      </c>
      <c r="J2295" s="158">
        <v>0</v>
      </c>
      <c r="K2295" s="158">
        <v>0</v>
      </c>
      <c r="L2295" s="158">
        <v>0</v>
      </c>
      <c r="M2295" s="154">
        <f t="shared" si="889"/>
        <v>1</v>
      </c>
      <c r="N2295" s="155">
        <f t="shared" si="886"/>
        <v>4</v>
      </c>
      <c r="O2295" s="168">
        <f>M2295/30</f>
        <v>3.3333333333333333E-2</v>
      </c>
      <c r="P2295" s="157">
        <f>N2295/30</f>
        <v>0.13333333333333333</v>
      </c>
    </row>
    <row r="2296" spans="1:16">
      <c r="A2296" s="474"/>
      <c r="B2296" s="127">
        <v>7</v>
      </c>
      <c r="C2296" s="158">
        <v>1</v>
      </c>
      <c r="D2296" s="158">
        <v>0</v>
      </c>
      <c r="E2296" s="158">
        <v>0</v>
      </c>
      <c r="F2296" s="158">
        <v>0</v>
      </c>
      <c r="G2296" s="158">
        <v>2</v>
      </c>
      <c r="H2296" s="158">
        <v>0</v>
      </c>
      <c r="I2296" s="158">
        <v>0</v>
      </c>
      <c r="J2296" s="158">
        <v>3</v>
      </c>
      <c r="K2296" s="158">
        <v>0</v>
      </c>
      <c r="L2296" s="158">
        <v>0</v>
      </c>
      <c r="M2296" s="154">
        <f t="shared" si="889"/>
        <v>3</v>
      </c>
      <c r="N2296" s="155">
        <f t="shared" si="886"/>
        <v>3</v>
      </c>
      <c r="O2296" s="168">
        <f t="shared" ref="O2296:O2297" si="890">M2296/31</f>
        <v>9.6774193548387094E-2</v>
      </c>
      <c r="P2296" s="157">
        <f t="shared" ref="P2296:P2297" si="891">N2296/31</f>
        <v>9.6774193548387094E-2</v>
      </c>
    </row>
    <row r="2297" spans="1:16">
      <c r="A2297" s="474"/>
      <c r="B2297" s="127">
        <v>8</v>
      </c>
      <c r="C2297" s="158">
        <v>1</v>
      </c>
      <c r="D2297" s="158">
        <v>2</v>
      </c>
      <c r="E2297" s="158">
        <v>0</v>
      </c>
      <c r="F2297" s="158">
        <v>0</v>
      </c>
      <c r="G2297" s="158">
        <v>0</v>
      </c>
      <c r="H2297" s="158">
        <v>2</v>
      </c>
      <c r="I2297" s="158">
        <v>0</v>
      </c>
      <c r="J2297" s="158">
        <v>0</v>
      </c>
      <c r="K2297" s="158">
        <v>0</v>
      </c>
      <c r="L2297" s="159">
        <v>0</v>
      </c>
      <c r="M2297" s="177">
        <f t="shared" si="889"/>
        <v>1</v>
      </c>
      <c r="N2297" s="158">
        <f t="shared" si="886"/>
        <v>4</v>
      </c>
      <c r="O2297" s="168">
        <f t="shared" si="890"/>
        <v>3.2258064516129031E-2</v>
      </c>
      <c r="P2297" s="157">
        <f t="shared" si="891"/>
        <v>0.12903225806451613</v>
      </c>
    </row>
    <row r="2298" spans="1:16">
      <c r="A2298" s="474"/>
      <c r="B2298" s="127">
        <v>9</v>
      </c>
      <c r="C2298" s="147">
        <v>1</v>
      </c>
      <c r="D2298" s="147">
        <v>2</v>
      </c>
      <c r="E2298" s="147">
        <v>0</v>
      </c>
      <c r="F2298" s="147">
        <v>0</v>
      </c>
      <c r="G2298" s="147">
        <v>0</v>
      </c>
      <c r="H2298" s="147">
        <v>0</v>
      </c>
      <c r="I2298" s="147">
        <v>0</v>
      </c>
      <c r="J2298" s="147">
        <v>0</v>
      </c>
      <c r="K2298" s="147">
        <v>0</v>
      </c>
      <c r="L2298" s="147">
        <v>0</v>
      </c>
      <c r="M2298" s="177">
        <v>1</v>
      </c>
      <c r="N2298" s="158">
        <v>2</v>
      </c>
      <c r="O2298" s="168">
        <v>3.2258064516129031E-2</v>
      </c>
      <c r="P2298" s="157">
        <v>6.4516129032258063E-2</v>
      </c>
    </row>
    <row r="2299" spans="1:16">
      <c r="A2299" s="474"/>
      <c r="B2299" s="127">
        <v>10</v>
      </c>
      <c r="C2299" s="147">
        <v>1</v>
      </c>
      <c r="D2299" s="147">
        <v>4</v>
      </c>
      <c r="E2299" s="147">
        <v>0</v>
      </c>
      <c r="F2299" s="181">
        <v>0</v>
      </c>
      <c r="G2299" s="147">
        <v>0</v>
      </c>
      <c r="H2299" s="147">
        <v>0</v>
      </c>
      <c r="I2299" s="147">
        <v>0</v>
      </c>
      <c r="J2299" s="147">
        <v>0</v>
      </c>
      <c r="K2299" s="147">
        <v>0</v>
      </c>
      <c r="L2299" s="148">
        <v>0</v>
      </c>
      <c r="M2299" s="154">
        <f t="shared" ref="M2299:M2301" si="892">+C2299+E2299+G2299+I2299+K2299</f>
        <v>1</v>
      </c>
      <c r="N2299" s="155">
        <f t="shared" ref="N2299:N2301" si="893">+D2299+F2299+H2299+J2299+L2299</f>
        <v>4</v>
      </c>
      <c r="O2299" s="168">
        <f t="shared" ref="O2299:O2301" si="894">M2299/31</f>
        <v>3.2258064516129031E-2</v>
      </c>
      <c r="P2299" s="157">
        <f t="shared" ref="P2299:P2301" si="895">N2299/31</f>
        <v>0.12903225806451613</v>
      </c>
    </row>
    <row r="2300" spans="1:16">
      <c r="A2300" s="474"/>
      <c r="B2300" s="127">
        <v>11</v>
      </c>
      <c r="C2300" s="367">
        <v>0</v>
      </c>
      <c r="D2300" s="367">
        <v>0</v>
      </c>
      <c r="E2300" s="367">
        <v>0</v>
      </c>
      <c r="F2300" s="367">
        <v>0</v>
      </c>
      <c r="G2300" s="367">
        <v>0</v>
      </c>
      <c r="H2300" s="367">
        <v>0</v>
      </c>
      <c r="I2300" s="367">
        <v>1</v>
      </c>
      <c r="J2300" s="367">
        <v>1</v>
      </c>
      <c r="K2300" s="367">
        <v>0</v>
      </c>
      <c r="L2300" s="368">
        <v>0</v>
      </c>
      <c r="M2300" s="154">
        <f t="shared" si="892"/>
        <v>1</v>
      </c>
      <c r="N2300" s="155">
        <f t="shared" si="893"/>
        <v>1</v>
      </c>
      <c r="O2300" s="168">
        <f t="shared" si="894"/>
        <v>3.2258064516129031E-2</v>
      </c>
      <c r="P2300" s="157">
        <f t="shared" si="895"/>
        <v>3.2258064516129031E-2</v>
      </c>
    </row>
    <row r="2301" spans="1:16" ht="14.25" thickBot="1">
      <c r="A2301" s="475"/>
      <c r="B2301" s="127">
        <v>12</v>
      </c>
      <c r="C2301" s="187">
        <v>0</v>
      </c>
      <c r="D2301" s="187">
        <v>0</v>
      </c>
      <c r="E2301" s="187">
        <v>0</v>
      </c>
      <c r="F2301" s="188">
        <v>0</v>
      </c>
      <c r="G2301" s="187">
        <v>0</v>
      </c>
      <c r="H2301" s="187">
        <v>0</v>
      </c>
      <c r="I2301" s="187">
        <v>0</v>
      </c>
      <c r="J2301" s="187">
        <v>0</v>
      </c>
      <c r="K2301" s="187">
        <v>0</v>
      </c>
      <c r="L2301" s="189">
        <v>0</v>
      </c>
      <c r="M2301" s="190">
        <f t="shared" si="892"/>
        <v>0</v>
      </c>
      <c r="N2301" s="191">
        <f t="shared" si="893"/>
        <v>0</v>
      </c>
      <c r="O2301" s="192">
        <f t="shared" si="894"/>
        <v>0</v>
      </c>
      <c r="P2301" s="193">
        <f t="shared" si="895"/>
        <v>0</v>
      </c>
    </row>
    <row r="2302" spans="1:16">
      <c r="A2302" s="473">
        <v>2020</v>
      </c>
      <c r="B2302" s="410">
        <v>1</v>
      </c>
      <c r="C2302" s="434">
        <v>0</v>
      </c>
      <c r="D2302" s="434">
        <v>0</v>
      </c>
      <c r="E2302" s="434">
        <v>0</v>
      </c>
      <c r="F2302" s="434">
        <v>0</v>
      </c>
      <c r="G2302" s="434">
        <v>0</v>
      </c>
      <c r="H2302" s="434">
        <v>0</v>
      </c>
      <c r="I2302" s="434">
        <v>2</v>
      </c>
      <c r="J2302" s="434">
        <v>3</v>
      </c>
      <c r="K2302" s="434">
        <v>0</v>
      </c>
      <c r="L2302" s="436">
        <v>0</v>
      </c>
      <c r="M2302" s="424">
        <f>+C2302+E2302+G2302+I2302+K2302</f>
        <v>2</v>
      </c>
      <c r="N2302" s="425">
        <f t="shared" ref="N2302:N2313" si="896">+D2302+F2302+H2302+J2302+L2302</f>
        <v>3</v>
      </c>
      <c r="O2302" s="430">
        <f t="shared" ref="O2302:O2306" si="897">M2302/31</f>
        <v>6.4516129032258063E-2</v>
      </c>
      <c r="P2302" s="427">
        <f t="shared" ref="P2302:P2306" si="898">N2302/31</f>
        <v>9.6774193548387094E-2</v>
      </c>
    </row>
    <row r="2303" spans="1:16">
      <c r="A2303" s="474"/>
      <c r="B2303" s="127">
        <v>2</v>
      </c>
      <c r="C2303" s="147">
        <v>1</v>
      </c>
      <c r="D2303" s="147">
        <v>3</v>
      </c>
      <c r="E2303" s="147">
        <v>0</v>
      </c>
      <c r="F2303" s="147">
        <v>0</v>
      </c>
      <c r="G2303" s="147">
        <v>0</v>
      </c>
      <c r="H2303" s="147">
        <v>0</v>
      </c>
      <c r="I2303" s="147">
        <v>0</v>
      </c>
      <c r="J2303" s="147">
        <v>0</v>
      </c>
      <c r="K2303" s="147">
        <v>0</v>
      </c>
      <c r="L2303" s="148">
        <v>0</v>
      </c>
      <c r="M2303" s="149">
        <f t="shared" ref="M2303:M2313" si="899">+C2303+E2303+G2303+I2303+K2303</f>
        <v>1</v>
      </c>
      <c r="N2303" s="150">
        <f t="shared" si="896"/>
        <v>3</v>
      </c>
      <c r="O2303" s="167">
        <f t="shared" si="897"/>
        <v>3.2258064516129031E-2</v>
      </c>
      <c r="P2303" s="152">
        <f t="shared" si="898"/>
        <v>9.6774193548387094E-2</v>
      </c>
    </row>
    <row r="2304" spans="1:16">
      <c r="A2304" s="474"/>
      <c r="B2304" s="127">
        <v>3</v>
      </c>
      <c r="C2304" s="147">
        <v>0</v>
      </c>
      <c r="D2304" s="147">
        <v>0</v>
      </c>
      <c r="E2304" s="147">
        <v>0</v>
      </c>
      <c r="F2304" s="147">
        <v>0</v>
      </c>
      <c r="G2304" s="147">
        <v>0</v>
      </c>
      <c r="H2304" s="147">
        <v>0</v>
      </c>
      <c r="I2304" s="147">
        <v>0</v>
      </c>
      <c r="J2304" s="147">
        <v>0</v>
      </c>
      <c r="K2304" s="147">
        <v>0</v>
      </c>
      <c r="L2304" s="148">
        <v>0</v>
      </c>
      <c r="M2304" s="149">
        <f t="shared" si="899"/>
        <v>0</v>
      </c>
      <c r="N2304" s="150">
        <f t="shared" si="896"/>
        <v>0</v>
      </c>
      <c r="O2304" s="167">
        <f t="shared" si="897"/>
        <v>0</v>
      </c>
      <c r="P2304" s="152">
        <f t="shared" si="898"/>
        <v>0</v>
      </c>
    </row>
    <row r="2305" spans="1:16">
      <c r="A2305" s="474"/>
      <c r="B2305" s="127">
        <v>4</v>
      </c>
      <c r="C2305" s="147">
        <v>0</v>
      </c>
      <c r="D2305" s="147">
        <v>0</v>
      </c>
      <c r="E2305" s="147">
        <v>0</v>
      </c>
      <c r="F2305" s="147">
        <v>0</v>
      </c>
      <c r="G2305" s="147">
        <v>0</v>
      </c>
      <c r="H2305" s="147">
        <v>0</v>
      </c>
      <c r="I2305" s="147">
        <v>0</v>
      </c>
      <c r="J2305" s="147">
        <v>0</v>
      </c>
      <c r="K2305" s="147">
        <v>0</v>
      </c>
      <c r="L2305" s="148">
        <v>0</v>
      </c>
      <c r="M2305" s="154">
        <f t="shared" si="899"/>
        <v>0</v>
      </c>
      <c r="N2305" s="155">
        <f t="shared" si="896"/>
        <v>0</v>
      </c>
      <c r="O2305" s="168">
        <f t="shared" si="897"/>
        <v>0</v>
      </c>
      <c r="P2305" s="157">
        <f t="shared" si="898"/>
        <v>0</v>
      </c>
    </row>
    <row r="2306" spans="1:16">
      <c r="A2306" s="474"/>
      <c r="B2306" s="127">
        <v>5</v>
      </c>
      <c r="C2306" s="147">
        <v>0</v>
      </c>
      <c r="D2306" s="147">
        <v>0</v>
      </c>
      <c r="E2306" s="147">
        <v>0</v>
      </c>
      <c r="F2306" s="147">
        <v>0</v>
      </c>
      <c r="G2306" s="147">
        <v>0</v>
      </c>
      <c r="H2306" s="147">
        <v>0</v>
      </c>
      <c r="I2306" s="147">
        <v>0</v>
      </c>
      <c r="J2306" s="147">
        <v>0</v>
      </c>
      <c r="K2306" s="147">
        <v>0</v>
      </c>
      <c r="L2306" s="148">
        <v>0</v>
      </c>
      <c r="M2306" s="154">
        <f t="shared" si="899"/>
        <v>0</v>
      </c>
      <c r="N2306" s="155">
        <f t="shared" si="896"/>
        <v>0</v>
      </c>
      <c r="O2306" s="168">
        <f t="shared" si="897"/>
        <v>0</v>
      </c>
      <c r="P2306" s="157">
        <f t="shared" si="898"/>
        <v>0</v>
      </c>
    </row>
    <row r="2307" spans="1:16">
      <c r="A2307" s="474"/>
      <c r="B2307" s="127">
        <v>6</v>
      </c>
      <c r="C2307" s="147">
        <f>集計用!C96</f>
        <v>0</v>
      </c>
      <c r="D2307" s="147">
        <f>集計用!S96</f>
        <v>0</v>
      </c>
      <c r="E2307" s="147">
        <f>集計用!E96</f>
        <v>1</v>
      </c>
      <c r="F2307" s="147">
        <f>集計用!U96</f>
        <v>1</v>
      </c>
      <c r="G2307" s="147">
        <f>集計用!G96</f>
        <v>0</v>
      </c>
      <c r="H2307" s="147">
        <f>集計用!W96</f>
        <v>0</v>
      </c>
      <c r="I2307" s="147">
        <f>集計用!I96</f>
        <v>0</v>
      </c>
      <c r="J2307" s="147">
        <f>集計用!Y96</f>
        <v>0</v>
      </c>
      <c r="K2307" s="147">
        <f>集計用!K96</f>
        <v>0</v>
      </c>
      <c r="L2307" s="148">
        <f>集計用!AA96</f>
        <v>0</v>
      </c>
      <c r="M2307" s="154">
        <f t="shared" si="899"/>
        <v>1</v>
      </c>
      <c r="N2307" s="155">
        <f t="shared" si="896"/>
        <v>1</v>
      </c>
      <c r="O2307" s="168">
        <f>M2307/30</f>
        <v>3.3333333333333333E-2</v>
      </c>
      <c r="P2307" s="157">
        <f>N2307/30</f>
        <v>3.3333333333333333E-2</v>
      </c>
    </row>
    <row r="2308" spans="1:16">
      <c r="A2308" s="474"/>
      <c r="B2308" s="127">
        <v>7</v>
      </c>
      <c r="C2308" s="158"/>
      <c r="D2308" s="158"/>
      <c r="E2308" s="158"/>
      <c r="F2308" s="158"/>
      <c r="G2308" s="158"/>
      <c r="H2308" s="158"/>
      <c r="I2308" s="158"/>
      <c r="J2308" s="158"/>
      <c r="K2308" s="158"/>
      <c r="L2308" s="158"/>
      <c r="M2308" s="154">
        <f t="shared" si="899"/>
        <v>0</v>
      </c>
      <c r="N2308" s="155">
        <f t="shared" si="896"/>
        <v>0</v>
      </c>
      <c r="O2308" s="168">
        <f t="shared" ref="O2308:O2313" si="900">M2308/31</f>
        <v>0</v>
      </c>
      <c r="P2308" s="157">
        <f t="shared" ref="P2308:P2313" si="901">N2308/31</f>
        <v>0</v>
      </c>
    </row>
    <row r="2309" spans="1:16">
      <c r="A2309" s="474"/>
      <c r="B2309" s="127">
        <v>8</v>
      </c>
      <c r="C2309" s="158"/>
      <c r="D2309" s="158"/>
      <c r="E2309" s="158"/>
      <c r="F2309" s="158"/>
      <c r="G2309" s="158"/>
      <c r="H2309" s="158"/>
      <c r="I2309" s="158"/>
      <c r="J2309" s="158"/>
      <c r="K2309" s="158"/>
      <c r="L2309" s="159"/>
      <c r="M2309" s="177">
        <f t="shared" si="899"/>
        <v>0</v>
      </c>
      <c r="N2309" s="158">
        <f t="shared" si="896"/>
        <v>0</v>
      </c>
      <c r="O2309" s="168">
        <f t="shared" si="900"/>
        <v>0</v>
      </c>
      <c r="P2309" s="157">
        <f t="shared" si="901"/>
        <v>0</v>
      </c>
    </row>
    <row r="2310" spans="1:16">
      <c r="A2310" s="474"/>
      <c r="B2310" s="127">
        <v>9</v>
      </c>
      <c r="C2310" s="147"/>
      <c r="D2310" s="147"/>
      <c r="E2310" s="147"/>
      <c r="F2310" s="147"/>
      <c r="G2310" s="147"/>
      <c r="H2310" s="147"/>
      <c r="I2310" s="147"/>
      <c r="J2310" s="147"/>
      <c r="K2310" s="147"/>
      <c r="L2310" s="147"/>
      <c r="M2310" s="177">
        <f t="shared" ref="M2310" si="902">+C2310+E2310+G2310+I2310+K2310</f>
        <v>0</v>
      </c>
      <c r="N2310" s="158">
        <f t="shared" ref="N2310" si="903">+D2310+F2310+H2310+J2310+L2310</f>
        <v>0</v>
      </c>
      <c r="O2310" s="168">
        <f>M2310/30</f>
        <v>0</v>
      </c>
      <c r="P2310" s="157">
        <f>N2310/30</f>
        <v>0</v>
      </c>
    </row>
    <row r="2311" spans="1:16">
      <c r="A2311" s="474"/>
      <c r="B2311" s="127">
        <v>10</v>
      </c>
      <c r="C2311" s="147"/>
      <c r="D2311" s="147"/>
      <c r="E2311" s="147"/>
      <c r="F2311" s="181"/>
      <c r="G2311" s="147"/>
      <c r="H2311" s="147"/>
      <c r="I2311" s="147"/>
      <c r="J2311" s="147"/>
      <c r="K2311" s="147"/>
      <c r="L2311" s="148"/>
      <c r="M2311" s="154">
        <f t="shared" ref="M2311" si="904">+C2311+E2311+G2311+I2311+K2311</f>
        <v>0</v>
      </c>
      <c r="N2311" s="155">
        <f t="shared" ref="N2311" si="905">+D2311+F2311+H2311+J2311+L2311</f>
        <v>0</v>
      </c>
      <c r="O2311" s="168">
        <f t="shared" ref="O2311" si="906">M2311/31</f>
        <v>0</v>
      </c>
      <c r="P2311" s="157">
        <f t="shared" ref="P2311" si="907">N2311/31</f>
        <v>0</v>
      </c>
    </row>
    <row r="2312" spans="1:16">
      <c r="A2312" s="474"/>
      <c r="B2312" s="127">
        <v>11</v>
      </c>
      <c r="C2312" s="367"/>
      <c r="D2312" s="367"/>
      <c r="E2312" s="367"/>
      <c r="F2312" s="367"/>
      <c r="G2312" s="367"/>
      <c r="H2312" s="367"/>
      <c r="I2312" s="367"/>
      <c r="J2312" s="367"/>
      <c r="K2312" s="367"/>
      <c r="L2312" s="368"/>
      <c r="M2312" s="154">
        <f t="shared" si="899"/>
        <v>0</v>
      </c>
      <c r="N2312" s="155">
        <f t="shared" si="896"/>
        <v>0</v>
      </c>
      <c r="O2312" s="168">
        <f t="shared" si="900"/>
        <v>0</v>
      </c>
      <c r="P2312" s="157">
        <f t="shared" si="901"/>
        <v>0</v>
      </c>
    </row>
    <row r="2313" spans="1:16" ht="14.25" thickBot="1">
      <c r="A2313" s="475"/>
      <c r="B2313" s="127">
        <v>12</v>
      </c>
      <c r="C2313" s="187"/>
      <c r="D2313" s="187"/>
      <c r="E2313" s="187"/>
      <c r="F2313" s="188"/>
      <c r="G2313" s="187"/>
      <c r="H2313" s="187"/>
      <c r="I2313" s="187"/>
      <c r="J2313" s="187"/>
      <c r="K2313" s="187"/>
      <c r="L2313" s="189"/>
      <c r="M2313" s="190">
        <f t="shared" si="899"/>
        <v>0</v>
      </c>
      <c r="N2313" s="191">
        <f t="shared" si="896"/>
        <v>0</v>
      </c>
      <c r="O2313" s="192">
        <f t="shared" si="900"/>
        <v>0</v>
      </c>
      <c r="P2313" s="193">
        <f t="shared" si="901"/>
        <v>0</v>
      </c>
    </row>
    <row r="2314" spans="1:16" ht="14.25" thickBot="1">
      <c r="A2314" s="180"/>
      <c r="B2314" s="160" t="s">
        <v>5</v>
      </c>
      <c r="C2314" s="161">
        <f>SUM(C2290:C2313)</f>
        <v>7</v>
      </c>
      <c r="D2314" s="161">
        <f t="shared" ref="D2314:M2314" si="908">SUM(D2290:D2313)</f>
        <v>17</v>
      </c>
      <c r="E2314" s="161">
        <f t="shared" si="908"/>
        <v>1</v>
      </c>
      <c r="F2314" s="161">
        <f t="shared" si="908"/>
        <v>1</v>
      </c>
      <c r="G2314" s="161">
        <f t="shared" si="908"/>
        <v>2</v>
      </c>
      <c r="H2314" s="161">
        <f t="shared" si="908"/>
        <v>2</v>
      </c>
      <c r="I2314" s="161">
        <f t="shared" si="908"/>
        <v>4</v>
      </c>
      <c r="J2314" s="161">
        <f t="shared" si="908"/>
        <v>7</v>
      </c>
      <c r="K2314" s="161">
        <f t="shared" si="908"/>
        <v>0</v>
      </c>
      <c r="L2314" s="161">
        <f t="shared" si="908"/>
        <v>0</v>
      </c>
      <c r="M2314" s="162">
        <f t="shared" si="908"/>
        <v>14</v>
      </c>
      <c r="N2314" s="161">
        <f t="shared" ref="N2314" si="909">SUM(N2290:N2313)</f>
        <v>27</v>
      </c>
      <c r="O2314" s="161">
        <f t="shared" ref="O2314" si="910">SUM(O2290:O2313)</f>
        <v>0.45376344086021503</v>
      </c>
      <c r="P2314" s="161">
        <f t="shared" ref="P2314" si="911">SUM(P2290:P2313)</f>
        <v>0.87634408602150538</v>
      </c>
    </row>
    <row r="2323" spans="1:16">
      <c r="B2323" s="467" t="s">
        <v>200</v>
      </c>
      <c r="C2323" s="469" t="s">
        <v>29</v>
      </c>
      <c r="D2323" s="470"/>
      <c r="E2323" s="469" t="s">
        <v>30</v>
      </c>
      <c r="F2323" s="470"/>
      <c r="G2323" s="469" t="s">
        <v>31</v>
      </c>
      <c r="H2323" s="470"/>
      <c r="I2323" s="469" t="s">
        <v>58</v>
      </c>
      <c r="J2323" s="470"/>
      <c r="K2323" s="469" t="s">
        <v>57</v>
      </c>
      <c r="L2323" s="471"/>
      <c r="M2323" s="470" t="s">
        <v>5</v>
      </c>
      <c r="N2323" s="472"/>
      <c r="O2323" s="472" t="s">
        <v>33</v>
      </c>
      <c r="P2323" s="472"/>
    </row>
    <row r="2324" spans="1:16" ht="14.25" thickBot="1">
      <c r="B2324" s="468"/>
      <c r="C2324" s="13" t="s">
        <v>34</v>
      </c>
      <c r="D2324" s="13" t="s">
        <v>35</v>
      </c>
      <c r="E2324" s="13" t="s">
        <v>34</v>
      </c>
      <c r="F2324" s="13" t="s">
        <v>35</v>
      </c>
      <c r="G2324" s="13" t="s">
        <v>34</v>
      </c>
      <c r="H2324" s="13" t="s">
        <v>35</v>
      </c>
      <c r="I2324" s="13" t="s">
        <v>59</v>
      </c>
      <c r="J2324" s="13" t="s">
        <v>60</v>
      </c>
      <c r="K2324" s="13" t="s">
        <v>34</v>
      </c>
      <c r="L2324" s="14" t="s">
        <v>35</v>
      </c>
      <c r="M2324" s="15" t="s">
        <v>34</v>
      </c>
      <c r="N2324" s="13" t="s">
        <v>35</v>
      </c>
      <c r="O2324" s="163" t="s">
        <v>34</v>
      </c>
      <c r="P2324" s="163" t="s">
        <v>35</v>
      </c>
    </row>
    <row r="2325" spans="1:16">
      <c r="A2325" s="473">
        <v>2019</v>
      </c>
      <c r="B2325" s="410">
        <v>1</v>
      </c>
      <c r="C2325" s="422">
        <v>0</v>
      </c>
      <c r="D2325" s="422">
        <v>0</v>
      </c>
      <c r="E2325" s="422">
        <v>0</v>
      </c>
      <c r="F2325" s="422">
        <v>0</v>
      </c>
      <c r="G2325" s="422">
        <v>0</v>
      </c>
      <c r="H2325" s="422">
        <v>0</v>
      </c>
      <c r="I2325" s="422">
        <v>0</v>
      </c>
      <c r="J2325" s="422">
        <v>0</v>
      </c>
      <c r="K2325" s="422">
        <v>0</v>
      </c>
      <c r="L2325" s="422">
        <v>0</v>
      </c>
      <c r="M2325" s="424">
        <f>+C2325+E2325+G2325+I2325+K2325</f>
        <v>0</v>
      </c>
      <c r="N2325" s="425">
        <f t="shared" ref="N2325:N2336" si="912">+D2325+F2325+H2325+J2325+L2325</f>
        <v>0</v>
      </c>
      <c r="O2325" s="430">
        <f t="shared" ref="O2325:O2329" si="913">M2325/31</f>
        <v>0</v>
      </c>
      <c r="P2325" s="427">
        <f t="shared" ref="P2325:P2329" si="914">N2325/31</f>
        <v>0</v>
      </c>
    </row>
    <row r="2326" spans="1:16">
      <c r="A2326" s="474"/>
      <c r="B2326" s="127">
        <v>2</v>
      </c>
      <c r="C2326" s="147">
        <v>2</v>
      </c>
      <c r="D2326" s="147">
        <v>2</v>
      </c>
      <c r="E2326" s="147">
        <v>0</v>
      </c>
      <c r="F2326" s="147">
        <v>0</v>
      </c>
      <c r="G2326" s="147">
        <v>0</v>
      </c>
      <c r="H2326" s="147">
        <v>0</v>
      </c>
      <c r="I2326" s="147">
        <v>0</v>
      </c>
      <c r="J2326" s="147">
        <v>0</v>
      </c>
      <c r="K2326" s="147">
        <v>0</v>
      </c>
      <c r="L2326" s="174">
        <v>0</v>
      </c>
      <c r="M2326" s="149">
        <f t="shared" ref="M2326:M2336" si="915">+C2326+E2326+G2326+I2326+K2326</f>
        <v>2</v>
      </c>
      <c r="N2326" s="150">
        <f t="shared" si="912"/>
        <v>2</v>
      </c>
      <c r="O2326" s="167">
        <f t="shared" si="913"/>
        <v>6.4516129032258063E-2</v>
      </c>
      <c r="P2326" s="152">
        <f t="shared" si="914"/>
        <v>6.4516129032258063E-2</v>
      </c>
    </row>
    <row r="2327" spans="1:16">
      <c r="A2327" s="474"/>
      <c r="B2327" s="127">
        <v>3</v>
      </c>
      <c r="C2327" s="147">
        <v>3</v>
      </c>
      <c r="D2327" s="147">
        <v>4</v>
      </c>
      <c r="E2327" s="147">
        <v>0</v>
      </c>
      <c r="F2327" s="147">
        <v>0</v>
      </c>
      <c r="G2327" s="147">
        <v>0</v>
      </c>
      <c r="H2327" s="147">
        <v>0</v>
      </c>
      <c r="I2327" s="147">
        <v>0</v>
      </c>
      <c r="J2327" s="147">
        <v>0</v>
      </c>
      <c r="K2327" s="147">
        <v>0</v>
      </c>
      <c r="L2327" s="174">
        <v>0</v>
      </c>
      <c r="M2327" s="149">
        <f t="shared" si="915"/>
        <v>3</v>
      </c>
      <c r="N2327" s="150">
        <f t="shared" si="912"/>
        <v>4</v>
      </c>
      <c r="O2327" s="167">
        <f t="shared" si="913"/>
        <v>9.6774193548387094E-2</v>
      </c>
      <c r="P2327" s="152">
        <f t="shared" si="914"/>
        <v>0.12903225806451613</v>
      </c>
    </row>
    <row r="2328" spans="1:16">
      <c r="A2328" s="474"/>
      <c r="B2328" s="127">
        <v>4</v>
      </c>
      <c r="C2328" s="158">
        <v>1</v>
      </c>
      <c r="D2328" s="158">
        <v>3</v>
      </c>
      <c r="E2328" s="158">
        <v>0</v>
      </c>
      <c r="F2328" s="158">
        <v>0</v>
      </c>
      <c r="G2328" s="158">
        <v>0</v>
      </c>
      <c r="H2328" s="158">
        <v>0</v>
      </c>
      <c r="I2328" s="158">
        <v>0</v>
      </c>
      <c r="J2328" s="158">
        <v>0</v>
      </c>
      <c r="K2328" s="158">
        <v>0</v>
      </c>
      <c r="L2328" s="159">
        <v>0</v>
      </c>
      <c r="M2328" s="154">
        <f t="shared" si="915"/>
        <v>1</v>
      </c>
      <c r="N2328" s="155">
        <f t="shared" si="912"/>
        <v>3</v>
      </c>
      <c r="O2328" s="168">
        <f t="shared" si="913"/>
        <v>3.2258064516129031E-2</v>
      </c>
      <c r="P2328" s="157">
        <f t="shared" si="914"/>
        <v>9.6774193548387094E-2</v>
      </c>
    </row>
    <row r="2329" spans="1:16">
      <c r="A2329" s="474"/>
      <c r="B2329" s="127">
        <v>5</v>
      </c>
      <c r="C2329" s="158">
        <v>1</v>
      </c>
      <c r="D2329" s="158">
        <v>1</v>
      </c>
      <c r="E2329" s="158">
        <v>0</v>
      </c>
      <c r="F2329" s="158">
        <v>0</v>
      </c>
      <c r="G2329" s="158">
        <v>0</v>
      </c>
      <c r="H2329" s="158">
        <v>1</v>
      </c>
      <c r="I2329" s="158">
        <v>0</v>
      </c>
      <c r="J2329" s="158">
        <v>0</v>
      </c>
      <c r="K2329" s="158">
        <v>0</v>
      </c>
      <c r="L2329" s="159">
        <v>0</v>
      </c>
      <c r="M2329" s="154">
        <f t="shared" si="915"/>
        <v>1</v>
      </c>
      <c r="N2329" s="155">
        <f t="shared" si="912"/>
        <v>2</v>
      </c>
      <c r="O2329" s="168">
        <f t="shared" si="913"/>
        <v>3.2258064516129031E-2</v>
      </c>
      <c r="P2329" s="157">
        <f t="shared" si="914"/>
        <v>6.4516129032258063E-2</v>
      </c>
    </row>
    <row r="2330" spans="1:16">
      <c r="A2330" s="474"/>
      <c r="B2330" s="127">
        <v>6</v>
      </c>
      <c r="C2330" s="158">
        <v>2</v>
      </c>
      <c r="D2330" s="158">
        <v>3</v>
      </c>
      <c r="E2330" s="158">
        <v>0</v>
      </c>
      <c r="F2330" s="158">
        <v>0</v>
      </c>
      <c r="G2330" s="158">
        <v>0</v>
      </c>
      <c r="H2330" s="158">
        <v>0</v>
      </c>
      <c r="I2330" s="158">
        <v>0</v>
      </c>
      <c r="J2330" s="158">
        <v>0</v>
      </c>
      <c r="K2330" s="158">
        <v>0</v>
      </c>
      <c r="L2330" s="158">
        <v>0</v>
      </c>
      <c r="M2330" s="154">
        <f t="shared" si="915"/>
        <v>2</v>
      </c>
      <c r="N2330" s="155">
        <f t="shared" si="912"/>
        <v>3</v>
      </c>
      <c r="O2330" s="168">
        <f>M2330/30</f>
        <v>6.6666666666666666E-2</v>
      </c>
      <c r="P2330" s="157">
        <f>N2330/30</f>
        <v>0.1</v>
      </c>
    </row>
    <row r="2331" spans="1:16">
      <c r="A2331" s="474"/>
      <c r="B2331" s="127">
        <v>7</v>
      </c>
      <c r="C2331" s="158">
        <v>2</v>
      </c>
      <c r="D2331" s="158">
        <v>2</v>
      </c>
      <c r="E2331" s="158">
        <v>0</v>
      </c>
      <c r="F2331" s="158">
        <v>0</v>
      </c>
      <c r="G2331" s="158">
        <v>0</v>
      </c>
      <c r="H2331" s="158">
        <v>0</v>
      </c>
      <c r="I2331" s="158">
        <v>0</v>
      </c>
      <c r="J2331" s="158">
        <v>0</v>
      </c>
      <c r="K2331" s="158">
        <v>0</v>
      </c>
      <c r="L2331" s="158">
        <v>0</v>
      </c>
      <c r="M2331" s="154">
        <f t="shared" si="915"/>
        <v>2</v>
      </c>
      <c r="N2331" s="155">
        <f t="shared" si="912"/>
        <v>2</v>
      </c>
      <c r="O2331" s="168">
        <f t="shared" ref="O2331:O2341" si="916">M2331/31</f>
        <v>6.4516129032258063E-2</v>
      </c>
      <c r="P2331" s="157">
        <f t="shared" ref="P2331:P2341" si="917">N2331/31</f>
        <v>6.4516129032258063E-2</v>
      </c>
    </row>
    <row r="2332" spans="1:16">
      <c r="A2332" s="474"/>
      <c r="B2332" s="127">
        <v>8</v>
      </c>
      <c r="C2332" s="158">
        <v>1</v>
      </c>
      <c r="D2332" s="158">
        <v>2</v>
      </c>
      <c r="E2332" s="158">
        <v>0</v>
      </c>
      <c r="F2332" s="158">
        <v>0</v>
      </c>
      <c r="G2332" s="158">
        <v>0</v>
      </c>
      <c r="H2332" s="158">
        <v>0</v>
      </c>
      <c r="I2332" s="158">
        <v>1</v>
      </c>
      <c r="J2332" s="158">
        <v>1</v>
      </c>
      <c r="K2332" s="158">
        <v>0</v>
      </c>
      <c r="L2332" s="159">
        <v>0</v>
      </c>
      <c r="M2332" s="177">
        <f t="shared" si="915"/>
        <v>2</v>
      </c>
      <c r="N2332" s="158">
        <f t="shared" si="912"/>
        <v>3</v>
      </c>
      <c r="O2332" s="168">
        <f t="shared" si="916"/>
        <v>6.4516129032258063E-2</v>
      </c>
      <c r="P2332" s="157">
        <f t="shared" si="917"/>
        <v>9.6774193548387094E-2</v>
      </c>
    </row>
    <row r="2333" spans="1:16">
      <c r="A2333" s="474"/>
      <c r="B2333" s="127">
        <v>9</v>
      </c>
      <c r="C2333" s="147">
        <v>1</v>
      </c>
      <c r="D2333" s="147">
        <v>1</v>
      </c>
      <c r="E2333" s="147">
        <v>0</v>
      </c>
      <c r="F2333" s="147">
        <v>0</v>
      </c>
      <c r="G2333" s="147">
        <v>0</v>
      </c>
      <c r="H2333" s="147">
        <v>0</v>
      </c>
      <c r="I2333" s="147">
        <v>0</v>
      </c>
      <c r="J2333" s="147">
        <v>0</v>
      </c>
      <c r="K2333" s="147">
        <v>0</v>
      </c>
      <c r="L2333" s="147">
        <v>0</v>
      </c>
      <c r="M2333" s="177">
        <v>1</v>
      </c>
      <c r="N2333" s="158">
        <v>1</v>
      </c>
      <c r="O2333" s="168">
        <v>3.2258064516129031E-2</v>
      </c>
      <c r="P2333" s="157">
        <v>3.2258064516129031E-2</v>
      </c>
    </row>
    <row r="2334" spans="1:16">
      <c r="A2334" s="474"/>
      <c r="B2334" s="127">
        <v>10</v>
      </c>
      <c r="C2334" s="147">
        <v>1</v>
      </c>
      <c r="D2334" s="147">
        <v>1</v>
      </c>
      <c r="E2334" s="147">
        <v>0</v>
      </c>
      <c r="F2334" s="181">
        <v>0</v>
      </c>
      <c r="G2334" s="147">
        <v>0</v>
      </c>
      <c r="H2334" s="147">
        <v>0</v>
      </c>
      <c r="I2334" s="147">
        <v>1</v>
      </c>
      <c r="J2334" s="147">
        <v>1</v>
      </c>
      <c r="K2334" s="147">
        <v>0</v>
      </c>
      <c r="L2334" s="148">
        <v>0</v>
      </c>
      <c r="M2334" s="154">
        <f t="shared" ref="M2334" si="918">+C2334+E2334+G2334+I2334+K2334</f>
        <v>2</v>
      </c>
      <c r="N2334" s="155">
        <f t="shared" ref="N2334" si="919">+D2334+F2334+H2334+J2334+L2334</f>
        <v>2</v>
      </c>
      <c r="O2334" s="168">
        <f t="shared" ref="O2334" si="920">M2334/31</f>
        <v>6.4516129032258063E-2</v>
      </c>
      <c r="P2334" s="157">
        <f t="shared" ref="P2334" si="921">N2334/31</f>
        <v>6.4516129032258063E-2</v>
      </c>
    </row>
    <row r="2335" spans="1:16">
      <c r="A2335" s="474"/>
      <c r="B2335" s="127">
        <v>11</v>
      </c>
      <c r="C2335" s="367">
        <v>1</v>
      </c>
      <c r="D2335" s="367">
        <v>1</v>
      </c>
      <c r="E2335" s="367">
        <v>0</v>
      </c>
      <c r="F2335" s="367">
        <v>0</v>
      </c>
      <c r="G2335" s="367">
        <v>0</v>
      </c>
      <c r="H2335" s="367">
        <v>0</v>
      </c>
      <c r="I2335" s="367">
        <v>0</v>
      </c>
      <c r="J2335" s="367">
        <v>0</v>
      </c>
      <c r="K2335" s="367">
        <v>0</v>
      </c>
      <c r="L2335" s="368">
        <v>0</v>
      </c>
      <c r="M2335" s="154">
        <f t="shared" si="915"/>
        <v>1</v>
      </c>
      <c r="N2335" s="155">
        <f t="shared" si="912"/>
        <v>1</v>
      </c>
      <c r="O2335" s="168">
        <f t="shared" si="916"/>
        <v>3.2258064516129031E-2</v>
      </c>
      <c r="P2335" s="157">
        <f t="shared" si="917"/>
        <v>3.2258064516129031E-2</v>
      </c>
    </row>
    <row r="2336" spans="1:16" ht="14.25" thickBot="1">
      <c r="A2336" s="475"/>
      <c r="B2336" s="127">
        <v>12</v>
      </c>
      <c r="C2336" s="187">
        <v>2</v>
      </c>
      <c r="D2336" s="187">
        <v>2</v>
      </c>
      <c r="E2336" s="187">
        <v>0</v>
      </c>
      <c r="F2336" s="188">
        <v>0</v>
      </c>
      <c r="G2336" s="187">
        <v>0</v>
      </c>
      <c r="H2336" s="187">
        <v>0</v>
      </c>
      <c r="I2336" s="187">
        <v>0</v>
      </c>
      <c r="J2336" s="187">
        <v>0</v>
      </c>
      <c r="K2336" s="187">
        <v>0</v>
      </c>
      <c r="L2336" s="189">
        <v>0</v>
      </c>
      <c r="M2336" s="190">
        <f t="shared" si="915"/>
        <v>2</v>
      </c>
      <c r="N2336" s="191">
        <f t="shared" si="912"/>
        <v>2</v>
      </c>
      <c r="O2336" s="192">
        <f t="shared" si="916"/>
        <v>6.4516129032258063E-2</v>
      </c>
      <c r="P2336" s="193">
        <f t="shared" si="917"/>
        <v>6.4516129032258063E-2</v>
      </c>
    </row>
    <row r="2337" spans="1:16">
      <c r="A2337" s="473">
        <v>2020</v>
      </c>
      <c r="B2337" s="410">
        <v>1</v>
      </c>
      <c r="C2337" s="434">
        <v>2</v>
      </c>
      <c r="D2337" s="434">
        <v>3</v>
      </c>
      <c r="E2337" s="434">
        <v>0</v>
      </c>
      <c r="F2337" s="434">
        <v>0</v>
      </c>
      <c r="G2337" s="434">
        <v>0</v>
      </c>
      <c r="H2337" s="434">
        <v>0</v>
      </c>
      <c r="I2337" s="434">
        <v>1</v>
      </c>
      <c r="J2337" s="434">
        <v>1</v>
      </c>
      <c r="K2337" s="434">
        <v>0</v>
      </c>
      <c r="L2337" s="436">
        <v>0</v>
      </c>
      <c r="M2337" s="424">
        <f>+C2337+E2337+G2337+I2337+K2337</f>
        <v>3</v>
      </c>
      <c r="N2337" s="425">
        <f t="shared" ref="N2337:N2344" si="922">+D2337+F2337+H2337+J2337+L2337</f>
        <v>4</v>
      </c>
      <c r="O2337" s="430">
        <f t="shared" si="916"/>
        <v>9.6774193548387094E-2</v>
      </c>
      <c r="P2337" s="427">
        <f t="shared" si="917"/>
        <v>0.12903225806451613</v>
      </c>
    </row>
    <row r="2338" spans="1:16">
      <c r="A2338" s="474"/>
      <c r="B2338" s="127">
        <v>2</v>
      </c>
      <c r="C2338" s="147">
        <v>3</v>
      </c>
      <c r="D2338" s="147">
        <v>4</v>
      </c>
      <c r="E2338" s="147">
        <v>0</v>
      </c>
      <c r="F2338" s="147">
        <v>0</v>
      </c>
      <c r="G2338" s="147">
        <v>0</v>
      </c>
      <c r="H2338" s="147">
        <v>0</v>
      </c>
      <c r="I2338" s="147">
        <v>0</v>
      </c>
      <c r="J2338" s="147">
        <v>0</v>
      </c>
      <c r="K2338" s="147">
        <v>0</v>
      </c>
      <c r="L2338" s="148">
        <v>0</v>
      </c>
      <c r="M2338" s="149">
        <f t="shared" ref="M2338:M2344" si="923">+C2338+E2338+G2338+I2338+K2338</f>
        <v>3</v>
      </c>
      <c r="N2338" s="150">
        <f t="shared" si="922"/>
        <v>4</v>
      </c>
      <c r="O2338" s="167">
        <f t="shared" si="916"/>
        <v>9.6774193548387094E-2</v>
      </c>
      <c r="P2338" s="152">
        <f t="shared" si="917"/>
        <v>0.12903225806451613</v>
      </c>
    </row>
    <row r="2339" spans="1:16">
      <c r="A2339" s="474"/>
      <c r="B2339" s="127">
        <v>3</v>
      </c>
      <c r="C2339" s="147">
        <v>0</v>
      </c>
      <c r="D2339" s="147">
        <v>0</v>
      </c>
      <c r="E2339" s="147">
        <v>0</v>
      </c>
      <c r="F2339" s="147">
        <v>0</v>
      </c>
      <c r="G2339" s="147">
        <v>0</v>
      </c>
      <c r="H2339" s="147">
        <v>0</v>
      </c>
      <c r="I2339" s="147">
        <v>0</v>
      </c>
      <c r="J2339" s="147">
        <v>0</v>
      </c>
      <c r="K2339" s="147">
        <v>0</v>
      </c>
      <c r="L2339" s="148">
        <v>0</v>
      </c>
      <c r="M2339" s="149">
        <f t="shared" si="923"/>
        <v>0</v>
      </c>
      <c r="N2339" s="150">
        <f t="shared" si="922"/>
        <v>0</v>
      </c>
      <c r="O2339" s="167">
        <f t="shared" si="916"/>
        <v>0</v>
      </c>
      <c r="P2339" s="152">
        <f t="shared" si="917"/>
        <v>0</v>
      </c>
    </row>
    <row r="2340" spans="1:16">
      <c r="A2340" s="474"/>
      <c r="B2340" s="127">
        <v>4</v>
      </c>
      <c r="C2340" s="147">
        <v>0</v>
      </c>
      <c r="D2340" s="147">
        <v>0</v>
      </c>
      <c r="E2340" s="147">
        <v>0</v>
      </c>
      <c r="F2340" s="147">
        <v>0</v>
      </c>
      <c r="G2340" s="147">
        <v>0</v>
      </c>
      <c r="H2340" s="147">
        <v>0</v>
      </c>
      <c r="I2340" s="147">
        <v>0</v>
      </c>
      <c r="J2340" s="147">
        <v>0</v>
      </c>
      <c r="K2340" s="147">
        <v>0</v>
      </c>
      <c r="L2340" s="148">
        <v>0</v>
      </c>
      <c r="M2340" s="154">
        <f t="shared" si="923"/>
        <v>0</v>
      </c>
      <c r="N2340" s="155">
        <f t="shared" si="922"/>
        <v>0</v>
      </c>
      <c r="O2340" s="168">
        <f t="shared" si="916"/>
        <v>0</v>
      </c>
      <c r="P2340" s="157">
        <f t="shared" si="917"/>
        <v>0</v>
      </c>
    </row>
    <row r="2341" spans="1:16">
      <c r="A2341" s="474"/>
      <c r="B2341" s="127">
        <v>5</v>
      </c>
      <c r="C2341" s="147">
        <v>0</v>
      </c>
      <c r="D2341" s="147">
        <v>0</v>
      </c>
      <c r="E2341" s="147">
        <v>0</v>
      </c>
      <c r="F2341" s="147">
        <v>0</v>
      </c>
      <c r="G2341" s="147">
        <v>0</v>
      </c>
      <c r="H2341" s="147">
        <v>0</v>
      </c>
      <c r="I2341" s="147">
        <v>0</v>
      </c>
      <c r="J2341" s="147">
        <v>0</v>
      </c>
      <c r="K2341" s="147">
        <v>0</v>
      </c>
      <c r="L2341" s="148">
        <v>0</v>
      </c>
      <c r="M2341" s="154">
        <f t="shared" si="923"/>
        <v>0</v>
      </c>
      <c r="N2341" s="155">
        <f t="shared" si="922"/>
        <v>0</v>
      </c>
      <c r="O2341" s="168">
        <f t="shared" si="916"/>
        <v>0</v>
      </c>
      <c r="P2341" s="157">
        <f t="shared" si="917"/>
        <v>0</v>
      </c>
    </row>
    <row r="2342" spans="1:16">
      <c r="A2342" s="474"/>
      <c r="B2342" s="127">
        <v>6</v>
      </c>
      <c r="C2342" s="147">
        <f>集計用!C98</f>
        <v>0</v>
      </c>
      <c r="D2342" s="147">
        <f>集計用!S98</f>
        <v>0</v>
      </c>
      <c r="E2342" s="147">
        <f>集計用!E98</f>
        <v>0</v>
      </c>
      <c r="F2342" s="147">
        <f>集計用!U98</f>
        <v>0</v>
      </c>
      <c r="G2342" s="147">
        <f>集計用!G98</f>
        <v>0</v>
      </c>
      <c r="H2342" s="147">
        <f>集計用!W98</f>
        <v>0</v>
      </c>
      <c r="I2342" s="147">
        <f>集計用!I98</f>
        <v>0</v>
      </c>
      <c r="J2342" s="147">
        <f>集計用!Y98</f>
        <v>0</v>
      </c>
      <c r="K2342" s="147">
        <f>集計用!K98</f>
        <v>0</v>
      </c>
      <c r="L2342" s="148">
        <f>集計用!AA98</f>
        <v>0</v>
      </c>
      <c r="M2342" s="154">
        <f t="shared" si="923"/>
        <v>0</v>
      </c>
      <c r="N2342" s="155">
        <f t="shared" si="922"/>
        <v>0</v>
      </c>
      <c r="O2342" s="168">
        <f>M2342/30</f>
        <v>0</v>
      </c>
      <c r="P2342" s="157">
        <f>N2342/30</f>
        <v>0</v>
      </c>
    </row>
    <row r="2343" spans="1:16">
      <c r="A2343" s="474"/>
      <c r="B2343" s="127">
        <v>7</v>
      </c>
      <c r="C2343" s="158"/>
      <c r="D2343" s="158"/>
      <c r="E2343" s="158"/>
      <c r="F2343" s="158"/>
      <c r="G2343" s="158"/>
      <c r="H2343" s="158"/>
      <c r="I2343" s="158"/>
      <c r="J2343" s="158"/>
      <c r="K2343" s="158"/>
      <c r="L2343" s="158"/>
      <c r="M2343" s="154">
        <f t="shared" si="923"/>
        <v>0</v>
      </c>
      <c r="N2343" s="155">
        <f t="shared" si="922"/>
        <v>0</v>
      </c>
      <c r="O2343" s="168">
        <f t="shared" ref="O2343:O2344" si="924">M2343/31</f>
        <v>0</v>
      </c>
      <c r="P2343" s="157">
        <f t="shared" ref="P2343:P2344" si="925">N2343/31</f>
        <v>0</v>
      </c>
    </row>
    <row r="2344" spans="1:16">
      <c r="A2344" s="474"/>
      <c r="B2344" s="127">
        <v>8</v>
      </c>
      <c r="C2344" s="158"/>
      <c r="D2344" s="158"/>
      <c r="E2344" s="158"/>
      <c r="F2344" s="158"/>
      <c r="G2344" s="158"/>
      <c r="H2344" s="158"/>
      <c r="I2344" s="158"/>
      <c r="J2344" s="158"/>
      <c r="K2344" s="158"/>
      <c r="L2344" s="159"/>
      <c r="M2344" s="177">
        <f t="shared" si="923"/>
        <v>0</v>
      </c>
      <c r="N2344" s="158">
        <f t="shared" si="922"/>
        <v>0</v>
      </c>
      <c r="O2344" s="168">
        <f t="shared" si="924"/>
        <v>0</v>
      </c>
      <c r="P2344" s="157">
        <f t="shared" si="925"/>
        <v>0</v>
      </c>
    </row>
    <row r="2345" spans="1:16">
      <c r="A2345" s="474"/>
      <c r="B2345" s="127">
        <v>9</v>
      </c>
      <c r="C2345" s="147"/>
      <c r="D2345" s="147"/>
      <c r="E2345" s="147"/>
      <c r="F2345" s="147"/>
      <c r="G2345" s="147"/>
      <c r="H2345" s="147"/>
      <c r="I2345" s="147"/>
      <c r="J2345" s="147"/>
      <c r="K2345" s="147"/>
      <c r="L2345" s="147"/>
      <c r="M2345" s="177">
        <f t="shared" ref="M2345" si="926">+C2345+E2345+G2345+I2345+K2345</f>
        <v>0</v>
      </c>
      <c r="N2345" s="158">
        <f t="shared" ref="N2345" si="927">+D2345+F2345+H2345+J2345+L2345</f>
        <v>0</v>
      </c>
      <c r="O2345" s="168">
        <f>M2345/30</f>
        <v>0</v>
      </c>
      <c r="P2345" s="157">
        <f>N2345/30</f>
        <v>0</v>
      </c>
    </row>
    <row r="2346" spans="1:16">
      <c r="A2346" s="474"/>
      <c r="B2346" s="127">
        <v>10</v>
      </c>
      <c r="C2346" s="147"/>
      <c r="D2346" s="147"/>
      <c r="E2346" s="147"/>
      <c r="F2346" s="181"/>
      <c r="G2346" s="147"/>
      <c r="H2346" s="147"/>
      <c r="I2346" s="147"/>
      <c r="J2346" s="147"/>
      <c r="K2346" s="147"/>
      <c r="L2346" s="148"/>
      <c r="M2346" s="154">
        <f t="shared" ref="M2346:M2348" si="928">+C2346+E2346+G2346+I2346+K2346</f>
        <v>0</v>
      </c>
      <c r="N2346" s="155">
        <f t="shared" ref="N2346:N2348" si="929">+D2346+F2346+H2346+J2346+L2346</f>
        <v>0</v>
      </c>
      <c r="O2346" s="168">
        <f t="shared" ref="O2346:O2348" si="930">M2346/31</f>
        <v>0</v>
      </c>
      <c r="P2346" s="157">
        <f t="shared" ref="P2346:P2348" si="931">N2346/31</f>
        <v>0</v>
      </c>
    </row>
    <row r="2347" spans="1:16">
      <c r="A2347" s="474"/>
      <c r="B2347" s="127">
        <v>11</v>
      </c>
      <c r="C2347" s="367"/>
      <c r="D2347" s="367"/>
      <c r="E2347" s="367"/>
      <c r="F2347" s="367"/>
      <c r="G2347" s="367"/>
      <c r="H2347" s="367"/>
      <c r="I2347" s="367"/>
      <c r="J2347" s="367"/>
      <c r="K2347" s="367"/>
      <c r="L2347" s="368"/>
      <c r="M2347" s="154">
        <f t="shared" si="928"/>
        <v>0</v>
      </c>
      <c r="N2347" s="155">
        <f t="shared" si="929"/>
        <v>0</v>
      </c>
      <c r="O2347" s="168">
        <f t="shared" si="930"/>
        <v>0</v>
      </c>
      <c r="P2347" s="157">
        <f t="shared" si="931"/>
        <v>0</v>
      </c>
    </row>
    <row r="2348" spans="1:16" ht="14.25" thickBot="1">
      <c r="A2348" s="475"/>
      <c r="B2348" s="127">
        <v>12</v>
      </c>
      <c r="C2348" s="187"/>
      <c r="D2348" s="187"/>
      <c r="E2348" s="187"/>
      <c r="F2348" s="188"/>
      <c r="G2348" s="187"/>
      <c r="H2348" s="187"/>
      <c r="I2348" s="187"/>
      <c r="J2348" s="187"/>
      <c r="K2348" s="187"/>
      <c r="L2348" s="189"/>
      <c r="M2348" s="190">
        <f t="shared" si="928"/>
        <v>0</v>
      </c>
      <c r="N2348" s="191">
        <f t="shared" si="929"/>
        <v>0</v>
      </c>
      <c r="O2348" s="192">
        <f t="shared" si="930"/>
        <v>0</v>
      </c>
      <c r="P2348" s="193">
        <f t="shared" si="931"/>
        <v>0</v>
      </c>
    </row>
    <row r="2349" spans="1:16" ht="14.25" thickBot="1">
      <c r="A2349" s="180"/>
      <c r="B2349" s="160" t="s">
        <v>5</v>
      </c>
      <c r="C2349" s="161">
        <f>SUM(C2325:C2348)</f>
        <v>22</v>
      </c>
      <c r="D2349" s="161">
        <f t="shared" ref="D2349:P2349" si="932">SUM(D2325:D2348)</f>
        <v>29</v>
      </c>
      <c r="E2349" s="161">
        <f t="shared" si="932"/>
        <v>0</v>
      </c>
      <c r="F2349" s="161">
        <f t="shared" si="932"/>
        <v>0</v>
      </c>
      <c r="G2349" s="161">
        <f t="shared" si="932"/>
        <v>0</v>
      </c>
      <c r="H2349" s="161">
        <f t="shared" si="932"/>
        <v>1</v>
      </c>
      <c r="I2349" s="161">
        <f t="shared" si="932"/>
        <v>3</v>
      </c>
      <c r="J2349" s="161">
        <f t="shared" si="932"/>
        <v>3</v>
      </c>
      <c r="K2349" s="161">
        <f t="shared" si="932"/>
        <v>0</v>
      </c>
      <c r="L2349" s="161">
        <f t="shared" si="932"/>
        <v>0</v>
      </c>
      <c r="M2349" s="162">
        <f t="shared" si="932"/>
        <v>25</v>
      </c>
      <c r="N2349" s="161">
        <f t="shared" si="932"/>
        <v>33</v>
      </c>
      <c r="O2349" s="161">
        <f t="shared" si="932"/>
        <v>0.8086021505376344</v>
      </c>
      <c r="P2349" s="161">
        <f t="shared" si="932"/>
        <v>1.0677419354838709</v>
      </c>
    </row>
    <row r="2351" spans="1:16">
      <c r="B2351" s="467" t="s">
        <v>206</v>
      </c>
      <c r="C2351" s="469" t="s">
        <v>29</v>
      </c>
      <c r="D2351" s="470"/>
      <c r="E2351" s="469" t="s">
        <v>30</v>
      </c>
      <c r="F2351" s="470"/>
      <c r="G2351" s="469" t="s">
        <v>31</v>
      </c>
      <c r="H2351" s="470"/>
      <c r="I2351" s="469" t="s">
        <v>58</v>
      </c>
      <c r="J2351" s="470"/>
      <c r="K2351" s="469" t="s">
        <v>57</v>
      </c>
      <c r="L2351" s="471"/>
      <c r="M2351" s="470" t="s">
        <v>5</v>
      </c>
      <c r="N2351" s="472"/>
      <c r="O2351" s="472" t="s">
        <v>33</v>
      </c>
      <c r="P2351" s="472"/>
    </row>
    <row r="2352" spans="1:16" ht="14.25" thickBot="1">
      <c r="B2352" s="468"/>
      <c r="C2352" s="13" t="s">
        <v>34</v>
      </c>
      <c r="D2352" s="13" t="s">
        <v>35</v>
      </c>
      <c r="E2352" s="13" t="s">
        <v>34</v>
      </c>
      <c r="F2352" s="13" t="s">
        <v>35</v>
      </c>
      <c r="G2352" s="13" t="s">
        <v>34</v>
      </c>
      <c r="H2352" s="13" t="s">
        <v>35</v>
      </c>
      <c r="I2352" s="13" t="s">
        <v>59</v>
      </c>
      <c r="J2352" s="13" t="s">
        <v>60</v>
      </c>
      <c r="K2352" s="13" t="s">
        <v>34</v>
      </c>
      <c r="L2352" s="14" t="s">
        <v>35</v>
      </c>
      <c r="M2352" s="15" t="s">
        <v>34</v>
      </c>
      <c r="N2352" s="13" t="s">
        <v>35</v>
      </c>
      <c r="O2352" s="163" t="s">
        <v>34</v>
      </c>
      <c r="P2352" s="163" t="s">
        <v>35</v>
      </c>
    </row>
    <row r="2353" spans="1:16">
      <c r="A2353" s="473">
        <v>2019</v>
      </c>
      <c r="B2353" s="410">
        <v>1</v>
      </c>
      <c r="C2353" s="422">
        <v>0</v>
      </c>
      <c r="D2353" s="422">
        <v>0</v>
      </c>
      <c r="E2353" s="422">
        <v>0</v>
      </c>
      <c r="F2353" s="422">
        <v>0</v>
      </c>
      <c r="G2353" s="422">
        <v>0</v>
      </c>
      <c r="H2353" s="422">
        <v>0</v>
      </c>
      <c r="I2353" s="422">
        <v>0</v>
      </c>
      <c r="J2353" s="422">
        <v>0</v>
      </c>
      <c r="K2353" s="422">
        <v>0</v>
      </c>
      <c r="L2353" s="422">
        <v>0</v>
      </c>
      <c r="M2353" s="424">
        <f>+C2353+E2353+G2353+I2353+K2353</f>
        <v>0</v>
      </c>
      <c r="N2353" s="425">
        <f t="shared" ref="N2353:N2360" si="933">+D2353+F2353+H2353+J2353+L2353</f>
        <v>0</v>
      </c>
      <c r="O2353" s="430">
        <f t="shared" ref="O2353:O2357" si="934">M2353/31</f>
        <v>0</v>
      </c>
      <c r="P2353" s="427">
        <f t="shared" ref="P2353:P2357" si="935">N2353/31</f>
        <v>0</v>
      </c>
    </row>
    <row r="2354" spans="1:16">
      <c r="A2354" s="474"/>
      <c r="B2354" s="127">
        <v>2</v>
      </c>
      <c r="C2354" s="147">
        <v>0</v>
      </c>
      <c r="D2354" s="147">
        <v>0</v>
      </c>
      <c r="E2354" s="147">
        <v>0</v>
      </c>
      <c r="F2354" s="147">
        <v>0</v>
      </c>
      <c r="G2354" s="147">
        <v>0</v>
      </c>
      <c r="H2354" s="147">
        <v>0</v>
      </c>
      <c r="I2354" s="147">
        <v>1</v>
      </c>
      <c r="J2354" s="147">
        <v>0</v>
      </c>
      <c r="K2354" s="147">
        <v>0</v>
      </c>
      <c r="L2354" s="174">
        <v>0</v>
      </c>
      <c r="M2354" s="149">
        <f t="shared" ref="M2354:M2360" si="936">+C2354+E2354+G2354+I2354+K2354</f>
        <v>1</v>
      </c>
      <c r="N2354" s="150">
        <f t="shared" si="933"/>
        <v>0</v>
      </c>
      <c r="O2354" s="167">
        <f t="shared" si="934"/>
        <v>3.2258064516129031E-2</v>
      </c>
      <c r="P2354" s="152">
        <f t="shared" si="935"/>
        <v>0</v>
      </c>
    </row>
    <row r="2355" spans="1:16">
      <c r="A2355" s="474"/>
      <c r="B2355" s="127">
        <v>3</v>
      </c>
      <c r="C2355" s="147">
        <v>0</v>
      </c>
      <c r="D2355" s="147">
        <v>0</v>
      </c>
      <c r="E2355" s="147">
        <v>1</v>
      </c>
      <c r="F2355" s="147">
        <v>1</v>
      </c>
      <c r="G2355" s="147">
        <v>0</v>
      </c>
      <c r="H2355" s="147">
        <v>0</v>
      </c>
      <c r="I2355" s="147">
        <v>0</v>
      </c>
      <c r="J2355" s="147">
        <v>1</v>
      </c>
      <c r="K2355" s="147">
        <v>0</v>
      </c>
      <c r="L2355" s="174">
        <v>0</v>
      </c>
      <c r="M2355" s="149">
        <f t="shared" si="936"/>
        <v>1</v>
      </c>
      <c r="N2355" s="150">
        <f t="shared" si="933"/>
        <v>2</v>
      </c>
      <c r="O2355" s="167">
        <f t="shared" si="934"/>
        <v>3.2258064516129031E-2</v>
      </c>
      <c r="P2355" s="152">
        <f t="shared" si="935"/>
        <v>6.4516129032258063E-2</v>
      </c>
    </row>
    <row r="2356" spans="1:16">
      <c r="A2356" s="474"/>
      <c r="B2356" s="127">
        <v>4</v>
      </c>
      <c r="C2356" s="158">
        <v>1</v>
      </c>
      <c r="D2356" s="158">
        <v>1</v>
      </c>
      <c r="E2356" s="158">
        <v>0</v>
      </c>
      <c r="F2356" s="158">
        <v>0</v>
      </c>
      <c r="G2356" s="158">
        <v>0</v>
      </c>
      <c r="H2356" s="158">
        <v>0</v>
      </c>
      <c r="I2356" s="158">
        <v>0</v>
      </c>
      <c r="J2356" s="158">
        <v>0</v>
      </c>
      <c r="K2356" s="158">
        <v>0</v>
      </c>
      <c r="L2356" s="159">
        <v>0</v>
      </c>
      <c r="M2356" s="154">
        <f t="shared" si="936"/>
        <v>1</v>
      </c>
      <c r="N2356" s="155">
        <f t="shared" si="933"/>
        <v>1</v>
      </c>
      <c r="O2356" s="168">
        <f t="shared" si="934"/>
        <v>3.2258064516129031E-2</v>
      </c>
      <c r="P2356" s="157">
        <f t="shared" si="935"/>
        <v>3.2258064516129031E-2</v>
      </c>
    </row>
    <row r="2357" spans="1:16">
      <c r="A2357" s="474"/>
      <c r="B2357" s="127">
        <v>5</v>
      </c>
      <c r="C2357" s="158">
        <v>1</v>
      </c>
      <c r="D2357" s="158">
        <v>0</v>
      </c>
      <c r="E2357" s="158">
        <v>0</v>
      </c>
      <c r="F2357" s="158">
        <v>0</v>
      </c>
      <c r="G2357" s="158">
        <v>0</v>
      </c>
      <c r="H2357" s="158">
        <v>0</v>
      </c>
      <c r="I2357" s="158">
        <v>1</v>
      </c>
      <c r="J2357" s="158">
        <v>0</v>
      </c>
      <c r="K2357" s="158">
        <v>0</v>
      </c>
      <c r="L2357" s="159">
        <v>0</v>
      </c>
      <c r="M2357" s="154">
        <f t="shared" si="936"/>
        <v>2</v>
      </c>
      <c r="N2357" s="155">
        <f t="shared" si="933"/>
        <v>0</v>
      </c>
      <c r="O2357" s="168">
        <f t="shared" si="934"/>
        <v>6.4516129032258063E-2</v>
      </c>
      <c r="P2357" s="157">
        <f t="shared" si="935"/>
        <v>0</v>
      </c>
    </row>
    <row r="2358" spans="1:16">
      <c r="A2358" s="474"/>
      <c r="B2358" s="127">
        <v>6</v>
      </c>
      <c r="C2358" s="158">
        <v>2</v>
      </c>
      <c r="D2358" s="158">
        <v>2</v>
      </c>
      <c r="E2358" s="158">
        <v>0</v>
      </c>
      <c r="F2358" s="158">
        <v>0</v>
      </c>
      <c r="G2358" s="158">
        <v>0</v>
      </c>
      <c r="H2358" s="158">
        <v>0</v>
      </c>
      <c r="I2358" s="158">
        <v>0</v>
      </c>
      <c r="J2358" s="158">
        <v>2</v>
      </c>
      <c r="K2358" s="158">
        <v>0</v>
      </c>
      <c r="L2358" s="158">
        <v>0</v>
      </c>
      <c r="M2358" s="154">
        <f t="shared" si="936"/>
        <v>2</v>
      </c>
      <c r="N2358" s="155">
        <f t="shared" si="933"/>
        <v>4</v>
      </c>
      <c r="O2358" s="168">
        <f>M2358/30</f>
        <v>6.6666666666666666E-2</v>
      </c>
      <c r="P2358" s="157">
        <f>N2358/30</f>
        <v>0.13333333333333333</v>
      </c>
    </row>
    <row r="2359" spans="1:16">
      <c r="A2359" s="474"/>
      <c r="B2359" s="127">
        <v>7</v>
      </c>
      <c r="C2359" s="158">
        <v>3</v>
      </c>
      <c r="D2359" s="158">
        <v>6</v>
      </c>
      <c r="E2359" s="158">
        <v>1</v>
      </c>
      <c r="F2359" s="158">
        <v>0</v>
      </c>
      <c r="G2359" s="158">
        <v>1</v>
      </c>
      <c r="H2359" s="158">
        <v>2</v>
      </c>
      <c r="I2359" s="158">
        <v>0</v>
      </c>
      <c r="J2359" s="158">
        <v>0</v>
      </c>
      <c r="K2359" s="158">
        <v>0</v>
      </c>
      <c r="L2359" s="158">
        <v>0</v>
      </c>
      <c r="M2359" s="154">
        <f t="shared" si="936"/>
        <v>5</v>
      </c>
      <c r="N2359" s="155">
        <f t="shared" si="933"/>
        <v>8</v>
      </c>
      <c r="O2359" s="168">
        <f t="shared" ref="O2359:O2360" si="937">M2359/31</f>
        <v>0.16129032258064516</v>
      </c>
      <c r="P2359" s="157">
        <f t="shared" ref="P2359:P2360" si="938">N2359/31</f>
        <v>0.25806451612903225</v>
      </c>
    </row>
    <row r="2360" spans="1:16">
      <c r="A2360" s="474"/>
      <c r="B2360" s="127">
        <v>8</v>
      </c>
      <c r="C2360" s="158">
        <v>2</v>
      </c>
      <c r="D2360" s="158">
        <v>2</v>
      </c>
      <c r="E2360" s="158">
        <v>0</v>
      </c>
      <c r="F2360" s="158">
        <v>1</v>
      </c>
      <c r="G2360" s="158">
        <v>1</v>
      </c>
      <c r="H2360" s="158">
        <v>1</v>
      </c>
      <c r="I2360" s="158">
        <v>0</v>
      </c>
      <c r="J2360" s="158">
        <v>0</v>
      </c>
      <c r="K2360" s="158">
        <v>0</v>
      </c>
      <c r="L2360" s="159">
        <v>0</v>
      </c>
      <c r="M2360" s="177">
        <f t="shared" si="936"/>
        <v>3</v>
      </c>
      <c r="N2360" s="158">
        <f t="shared" si="933"/>
        <v>4</v>
      </c>
      <c r="O2360" s="168">
        <f t="shared" si="937"/>
        <v>9.6774193548387094E-2</v>
      </c>
      <c r="P2360" s="157">
        <f t="shared" si="938"/>
        <v>0.12903225806451613</v>
      </c>
    </row>
    <row r="2361" spans="1:16">
      <c r="A2361" s="474"/>
      <c r="B2361" s="127">
        <v>9</v>
      </c>
      <c r="C2361" s="147">
        <v>0</v>
      </c>
      <c r="D2361" s="147">
        <v>0</v>
      </c>
      <c r="E2361" s="147">
        <v>0</v>
      </c>
      <c r="F2361" s="147">
        <v>0</v>
      </c>
      <c r="G2361" s="147">
        <v>0</v>
      </c>
      <c r="H2361" s="147">
        <v>0</v>
      </c>
      <c r="I2361" s="147">
        <v>1</v>
      </c>
      <c r="J2361" s="147">
        <v>1</v>
      </c>
      <c r="K2361" s="147">
        <v>0</v>
      </c>
      <c r="L2361" s="147">
        <v>0</v>
      </c>
      <c r="M2361" s="177">
        <v>1</v>
      </c>
      <c r="N2361" s="158">
        <v>1</v>
      </c>
      <c r="O2361" s="168">
        <v>3.2258064516129031E-2</v>
      </c>
      <c r="P2361" s="157">
        <v>3.2258064516129031E-2</v>
      </c>
    </row>
    <row r="2362" spans="1:16">
      <c r="A2362" s="474"/>
      <c r="B2362" s="127">
        <v>10</v>
      </c>
      <c r="C2362" s="147">
        <v>0</v>
      </c>
      <c r="D2362" s="147">
        <v>0</v>
      </c>
      <c r="E2362" s="147">
        <v>0</v>
      </c>
      <c r="F2362" s="181">
        <v>0</v>
      </c>
      <c r="G2362" s="147">
        <v>0</v>
      </c>
      <c r="H2362" s="147">
        <v>0</v>
      </c>
      <c r="I2362" s="147">
        <v>0</v>
      </c>
      <c r="J2362" s="147">
        <v>0</v>
      </c>
      <c r="K2362" s="147">
        <v>0</v>
      </c>
      <c r="L2362" s="148">
        <v>0</v>
      </c>
      <c r="M2362" s="154">
        <f t="shared" ref="M2362:M2364" si="939">+C2362+E2362+G2362+I2362+K2362</f>
        <v>0</v>
      </c>
      <c r="N2362" s="155">
        <f t="shared" ref="N2362:N2364" si="940">+D2362+F2362+H2362+J2362+L2362</f>
        <v>0</v>
      </c>
      <c r="O2362" s="168">
        <f t="shared" ref="O2362:O2364" si="941">M2362/31</f>
        <v>0</v>
      </c>
      <c r="P2362" s="157">
        <f t="shared" ref="P2362:P2364" si="942">N2362/31</f>
        <v>0</v>
      </c>
    </row>
    <row r="2363" spans="1:16">
      <c r="A2363" s="474"/>
      <c r="B2363" s="127">
        <v>11</v>
      </c>
      <c r="C2363" s="367">
        <v>0</v>
      </c>
      <c r="D2363" s="367">
        <v>0</v>
      </c>
      <c r="E2363" s="367">
        <v>1</v>
      </c>
      <c r="F2363" s="367">
        <v>3</v>
      </c>
      <c r="G2363" s="367">
        <v>0</v>
      </c>
      <c r="H2363" s="367">
        <v>0</v>
      </c>
      <c r="I2363" s="367">
        <v>0</v>
      </c>
      <c r="J2363" s="367">
        <v>0</v>
      </c>
      <c r="K2363" s="367">
        <v>0</v>
      </c>
      <c r="L2363" s="368">
        <v>0</v>
      </c>
      <c r="M2363" s="154">
        <f t="shared" si="939"/>
        <v>1</v>
      </c>
      <c r="N2363" s="155">
        <f t="shared" si="940"/>
        <v>3</v>
      </c>
      <c r="O2363" s="168">
        <f t="shared" si="941"/>
        <v>3.2258064516129031E-2</v>
      </c>
      <c r="P2363" s="157">
        <f t="shared" si="942"/>
        <v>9.6774193548387094E-2</v>
      </c>
    </row>
    <row r="2364" spans="1:16" ht="14.25" thickBot="1">
      <c r="A2364" s="475"/>
      <c r="B2364" s="127">
        <v>12</v>
      </c>
      <c r="C2364" s="187">
        <v>0</v>
      </c>
      <c r="D2364" s="187">
        <v>0</v>
      </c>
      <c r="E2364" s="187">
        <v>0</v>
      </c>
      <c r="F2364" s="188">
        <v>0</v>
      </c>
      <c r="G2364" s="187">
        <v>0</v>
      </c>
      <c r="H2364" s="187">
        <v>0</v>
      </c>
      <c r="I2364" s="187">
        <v>0</v>
      </c>
      <c r="J2364" s="187">
        <v>0</v>
      </c>
      <c r="K2364" s="187">
        <v>0</v>
      </c>
      <c r="L2364" s="189">
        <v>0</v>
      </c>
      <c r="M2364" s="190">
        <f t="shared" si="939"/>
        <v>0</v>
      </c>
      <c r="N2364" s="191">
        <f t="shared" si="940"/>
        <v>0</v>
      </c>
      <c r="O2364" s="192">
        <f t="shared" si="941"/>
        <v>0</v>
      </c>
      <c r="P2364" s="193">
        <f t="shared" si="942"/>
        <v>0</v>
      </c>
    </row>
    <row r="2365" spans="1:16">
      <c r="A2365" s="473">
        <v>2020</v>
      </c>
      <c r="B2365" s="410">
        <v>1</v>
      </c>
      <c r="C2365" s="434">
        <v>0</v>
      </c>
      <c r="D2365" s="434">
        <v>0</v>
      </c>
      <c r="E2365" s="434">
        <v>0</v>
      </c>
      <c r="F2365" s="434">
        <v>0</v>
      </c>
      <c r="G2365" s="434">
        <v>0</v>
      </c>
      <c r="H2365" s="434">
        <v>0</v>
      </c>
      <c r="I2365" s="434">
        <v>1</v>
      </c>
      <c r="J2365" s="434">
        <v>1</v>
      </c>
      <c r="K2365" s="434">
        <v>0</v>
      </c>
      <c r="L2365" s="436">
        <v>0</v>
      </c>
      <c r="M2365" s="424">
        <f>+C2365+E2365+G2365+I2365+K2365</f>
        <v>1</v>
      </c>
      <c r="N2365" s="425">
        <f t="shared" ref="N2365:N2376" si="943">+D2365+F2365+H2365+J2365+L2365</f>
        <v>1</v>
      </c>
      <c r="O2365" s="430">
        <f t="shared" ref="O2365:O2369" si="944">M2365/31</f>
        <v>3.2258064516129031E-2</v>
      </c>
      <c r="P2365" s="427">
        <f t="shared" ref="P2365:P2369" si="945">N2365/31</f>
        <v>3.2258064516129031E-2</v>
      </c>
    </row>
    <row r="2366" spans="1:16">
      <c r="A2366" s="474"/>
      <c r="B2366" s="127">
        <v>2</v>
      </c>
      <c r="C2366" s="147">
        <v>0</v>
      </c>
      <c r="D2366" s="147">
        <v>0</v>
      </c>
      <c r="E2366" s="147">
        <v>0</v>
      </c>
      <c r="F2366" s="147">
        <v>0</v>
      </c>
      <c r="G2366" s="147">
        <v>0</v>
      </c>
      <c r="H2366" s="147">
        <v>0</v>
      </c>
      <c r="I2366" s="147">
        <v>0</v>
      </c>
      <c r="J2366" s="147">
        <v>0</v>
      </c>
      <c r="K2366" s="147">
        <v>0</v>
      </c>
      <c r="L2366" s="148">
        <v>0</v>
      </c>
      <c r="M2366" s="149">
        <f t="shared" ref="M2366:M2376" si="946">+C2366+E2366+G2366+I2366+K2366</f>
        <v>0</v>
      </c>
      <c r="N2366" s="150">
        <f t="shared" si="943"/>
        <v>0</v>
      </c>
      <c r="O2366" s="167">
        <f t="shared" si="944"/>
        <v>0</v>
      </c>
      <c r="P2366" s="152">
        <f t="shared" si="945"/>
        <v>0</v>
      </c>
    </row>
    <row r="2367" spans="1:16">
      <c r="A2367" s="474"/>
      <c r="B2367" s="127">
        <v>3</v>
      </c>
      <c r="C2367" s="147">
        <v>0</v>
      </c>
      <c r="D2367" s="147">
        <v>0</v>
      </c>
      <c r="E2367" s="147">
        <v>0</v>
      </c>
      <c r="F2367" s="147">
        <v>0</v>
      </c>
      <c r="G2367" s="147">
        <v>0</v>
      </c>
      <c r="H2367" s="147">
        <v>0</v>
      </c>
      <c r="I2367" s="147">
        <v>0</v>
      </c>
      <c r="J2367" s="147">
        <v>0</v>
      </c>
      <c r="K2367" s="147">
        <v>0</v>
      </c>
      <c r="L2367" s="148">
        <v>0</v>
      </c>
      <c r="M2367" s="149">
        <f t="shared" si="946"/>
        <v>0</v>
      </c>
      <c r="N2367" s="150">
        <f t="shared" si="943"/>
        <v>0</v>
      </c>
      <c r="O2367" s="167">
        <f t="shared" si="944"/>
        <v>0</v>
      </c>
      <c r="P2367" s="152">
        <f t="shared" si="945"/>
        <v>0</v>
      </c>
    </row>
    <row r="2368" spans="1:16">
      <c r="A2368" s="474"/>
      <c r="B2368" s="127">
        <v>4</v>
      </c>
      <c r="C2368" s="147">
        <v>0</v>
      </c>
      <c r="D2368" s="147">
        <v>0</v>
      </c>
      <c r="E2368" s="147">
        <v>0</v>
      </c>
      <c r="F2368" s="147">
        <v>0</v>
      </c>
      <c r="G2368" s="147">
        <v>0</v>
      </c>
      <c r="H2368" s="147">
        <v>0</v>
      </c>
      <c r="I2368" s="147">
        <v>0</v>
      </c>
      <c r="J2368" s="147">
        <v>0</v>
      </c>
      <c r="K2368" s="147">
        <v>0</v>
      </c>
      <c r="L2368" s="148">
        <v>0</v>
      </c>
      <c r="M2368" s="154">
        <f t="shared" si="946"/>
        <v>0</v>
      </c>
      <c r="N2368" s="155">
        <f t="shared" si="943"/>
        <v>0</v>
      </c>
      <c r="O2368" s="168">
        <f t="shared" si="944"/>
        <v>0</v>
      </c>
      <c r="P2368" s="157">
        <f t="shared" si="945"/>
        <v>0</v>
      </c>
    </row>
    <row r="2369" spans="1:16">
      <c r="A2369" s="474"/>
      <c r="B2369" s="127">
        <v>5</v>
      </c>
      <c r="C2369" s="147">
        <v>0</v>
      </c>
      <c r="D2369" s="147">
        <v>0</v>
      </c>
      <c r="E2369" s="147">
        <v>0</v>
      </c>
      <c r="F2369" s="147">
        <v>0</v>
      </c>
      <c r="G2369" s="147">
        <v>0</v>
      </c>
      <c r="H2369" s="147">
        <v>0</v>
      </c>
      <c r="I2369" s="147">
        <v>0</v>
      </c>
      <c r="J2369" s="147">
        <v>0</v>
      </c>
      <c r="K2369" s="147">
        <v>0</v>
      </c>
      <c r="L2369" s="148">
        <v>0</v>
      </c>
      <c r="M2369" s="154">
        <f t="shared" si="946"/>
        <v>0</v>
      </c>
      <c r="N2369" s="155">
        <f t="shared" si="943"/>
        <v>0</v>
      </c>
      <c r="O2369" s="168">
        <f t="shared" si="944"/>
        <v>0</v>
      </c>
      <c r="P2369" s="157">
        <f t="shared" si="945"/>
        <v>0</v>
      </c>
    </row>
    <row r="2370" spans="1:16">
      <c r="A2370" s="474"/>
      <c r="B2370" s="127">
        <v>6</v>
      </c>
      <c r="C2370" s="147">
        <f>集計用!C100</f>
        <v>0</v>
      </c>
      <c r="D2370" s="147">
        <f>集計用!S100</f>
        <v>0</v>
      </c>
      <c r="E2370" s="147">
        <f>集計用!E100</f>
        <v>0</v>
      </c>
      <c r="F2370" s="147">
        <f>集計用!U100</f>
        <v>0</v>
      </c>
      <c r="G2370" s="147">
        <f>集計用!G100</f>
        <v>0</v>
      </c>
      <c r="H2370" s="147">
        <f>集計用!W100</f>
        <v>0</v>
      </c>
      <c r="I2370" s="147">
        <f>集計用!I100</f>
        <v>0</v>
      </c>
      <c r="J2370" s="147">
        <f>集計用!Y100</f>
        <v>0</v>
      </c>
      <c r="K2370" s="147">
        <f>集計用!K100</f>
        <v>0</v>
      </c>
      <c r="L2370" s="148">
        <f>集計用!AA100</f>
        <v>0</v>
      </c>
      <c r="M2370" s="154">
        <f t="shared" si="946"/>
        <v>0</v>
      </c>
      <c r="N2370" s="155">
        <f t="shared" si="943"/>
        <v>0</v>
      </c>
      <c r="O2370" s="168">
        <f>M2370/30</f>
        <v>0</v>
      </c>
      <c r="P2370" s="157">
        <f>N2370/30</f>
        <v>0</v>
      </c>
    </row>
    <row r="2371" spans="1:16">
      <c r="A2371" s="474"/>
      <c r="B2371" s="127">
        <v>7</v>
      </c>
      <c r="C2371" s="158"/>
      <c r="D2371" s="158"/>
      <c r="E2371" s="158"/>
      <c r="F2371" s="158"/>
      <c r="G2371" s="158"/>
      <c r="H2371" s="158"/>
      <c r="I2371" s="158"/>
      <c r="J2371" s="158"/>
      <c r="K2371" s="158"/>
      <c r="L2371" s="158"/>
      <c r="M2371" s="154">
        <f t="shared" si="946"/>
        <v>0</v>
      </c>
      <c r="N2371" s="155">
        <f t="shared" si="943"/>
        <v>0</v>
      </c>
      <c r="O2371" s="168">
        <f t="shared" ref="O2371:O2376" si="947">M2371/31</f>
        <v>0</v>
      </c>
      <c r="P2371" s="157">
        <f t="shared" ref="P2371:P2376" si="948">N2371/31</f>
        <v>0</v>
      </c>
    </row>
    <row r="2372" spans="1:16">
      <c r="A2372" s="474"/>
      <c r="B2372" s="127">
        <v>8</v>
      </c>
      <c r="C2372" s="158"/>
      <c r="D2372" s="158"/>
      <c r="E2372" s="158"/>
      <c r="F2372" s="158"/>
      <c r="G2372" s="158"/>
      <c r="H2372" s="158"/>
      <c r="I2372" s="158"/>
      <c r="J2372" s="158"/>
      <c r="K2372" s="158"/>
      <c r="L2372" s="159"/>
      <c r="M2372" s="177">
        <f t="shared" si="946"/>
        <v>0</v>
      </c>
      <c r="N2372" s="158">
        <f t="shared" si="943"/>
        <v>0</v>
      </c>
      <c r="O2372" s="168">
        <f t="shared" si="947"/>
        <v>0</v>
      </c>
      <c r="P2372" s="157">
        <f t="shared" si="948"/>
        <v>0</v>
      </c>
    </row>
    <row r="2373" spans="1:16">
      <c r="A2373" s="474"/>
      <c r="B2373" s="127">
        <v>9</v>
      </c>
      <c r="C2373" s="147"/>
      <c r="D2373" s="147"/>
      <c r="E2373" s="147"/>
      <c r="F2373" s="147"/>
      <c r="G2373" s="147"/>
      <c r="H2373" s="147"/>
      <c r="I2373" s="147"/>
      <c r="J2373" s="147"/>
      <c r="K2373" s="147"/>
      <c r="L2373" s="147"/>
      <c r="M2373" s="177">
        <f t="shared" ref="M2373" si="949">+C2373+E2373+G2373+I2373+K2373</f>
        <v>0</v>
      </c>
      <c r="N2373" s="158">
        <f t="shared" ref="N2373" si="950">+D2373+F2373+H2373+J2373+L2373</f>
        <v>0</v>
      </c>
      <c r="O2373" s="168">
        <f>M2373/30</f>
        <v>0</v>
      </c>
      <c r="P2373" s="157">
        <f>N2373/30</f>
        <v>0</v>
      </c>
    </row>
    <row r="2374" spans="1:16">
      <c r="A2374" s="474"/>
      <c r="B2374" s="127">
        <v>10</v>
      </c>
      <c r="C2374" s="147"/>
      <c r="D2374" s="147"/>
      <c r="E2374" s="147"/>
      <c r="F2374" s="181"/>
      <c r="G2374" s="147"/>
      <c r="H2374" s="147"/>
      <c r="I2374" s="147"/>
      <c r="J2374" s="147"/>
      <c r="K2374" s="147"/>
      <c r="L2374" s="148"/>
      <c r="M2374" s="154">
        <f t="shared" ref="M2374" si="951">+C2374+E2374+G2374+I2374+K2374</f>
        <v>0</v>
      </c>
      <c r="N2374" s="155">
        <f t="shared" ref="N2374" si="952">+D2374+F2374+H2374+J2374+L2374</f>
        <v>0</v>
      </c>
      <c r="O2374" s="168">
        <f t="shared" ref="O2374" si="953">M2374/31</f>
        <v>0</v>
      </c>
      <c r="P2374" s="157">
        <f t="shared" ref="P2374" si="954">N2374/31</f>
        <v>0</v>
      </c>
    </row>
    <row r="2375" spans="1:16">
      <c r="A2375" s="474"/>
      <c r="B2375" s="127">
        <v>11</v>
      </c>
      <c r="C2375" s="367"/>
      <c r="D2375" s="367"/>
      <c r="E2375" s="367"/>
      <c r="F2375" s="367"/>
      <c r="G2375" s="367"/>
      <c r="H2375" s="367"/>
      <c r="I2375" s="367"/>
      <c r="J2375" s="367"/>
      <c r="K2375" s="367"/>
      <c r="L2375" s="368"/>
      <c r="M2375" s="154">
        <f t="shared" si="946"/>
        <v>0</v>
      </c>
      <c r="N2375" s="155">
        <f t="shared" si="943"/>
        <v>0</v>
      </c>
      <c r="O2375" s="168">
        <f t="shared" si="947"/>
        <v>0</v>
      </c>
      <c r="P2375" s="157">
        <f t="shared" si="948"/>
        <v>0</v>
      </c>
    </row>
    <row r="2376" spans="1:16" ht="14.25" thickBot="1">
      <c r="A2376" s="475"/>
      <c r="B2376" s="127">
        <v>12</v>
      </c>
      <c r="C2376" s="187"/>
      <c r="D2376" s="187"/>
      <c r="E2376" s="187"/>
      <c r="F2376" s="188"/>
      <c r="G2376" s="187"/>
      <c r="H2376" s="187"/>
      <c r="I2376" s="187"/>
      <c r="J2376" s="187"/>
      <c r="K2376" s="187"/>
      <c r="L2376" s="189"/>
      <c r="M2376" s="190">
        <f t="shared" si="946"/>
        <v>0</v>
      </c>
      <c r="N2376" s="191">
        <f t="shared" si="943"/>
        <v>0</v>
      </c>
      <c r="O2376" s="192">
        <f t="shared" si="947"/>
        <v>0</v>
      </c>
      <c r="P2376" s="193">
        <f t="shared" si="948"/>
        <v>0</v>
      </c>
    </row>
    <row r="2377" spans="1:16" ht="14.25" thickBot="1">
      <c r="A2377" s="180"/>
      <c r="B2377" s="160" t="s">
        <v>5</v>
      </c>
      <c r="C2377" s="161">
        <f>SUM(C2353:C2376)</f>
        <v>9</v>
      </c>
      <c r="D2377" s="161">
        <f t="shared" ref="D2377:P2377" si="955">SUM(D2353:D2376)</f>
        <v>11</v>
      </c>
      <c r="E2377" s="161">
        <f t="shared" si="955"/>
        <v>3</v>
      </c>
      <c r="F2377" s="161">
        <f t="shared" si="955"/>
        <v>5</v>
      </c>
      <c r="G2377" s="161">
        <f t="shared" si="955"/>
        <v>2</v>
      </c>
      <c r="H2377" s="161">
        <f t="shared" si="955"/>
        <v>3</v>
      </c>
      <c r="I2377" s="161">
        <f t="shared" si="955"/>
        <v>4</v>
      </c>
      <c r="J2377" s="161">
        <f t="shared" si="955"/>
        <v>5</v>
      </c>
      <c r="K2377" s="161">
        <f t="shared" si="955"/>
        <v>0</v>
      </c>
      <c r="L2377" s="161">
        <f t="shared" si="955"/>
        <v>0</v>
      </c>
      <c r="M2377" s="162">
        <f t="shared" si="955"/>
        <v>18</v>
      </c>
      <c r="N2377" s="161">
        <f t="shared" si="955"/>
        <v>24</v>
      </c>
      <c r="O2377" s="161">
        <f t="shared" si="955"/>
        <v>0.58279569892473115</v>
      </c>
      <c r="P2377" s="161">
        <f t="shared" si="955"/>
        <v>0.77849462365591393</v>
      </c>
    </row>
    <row r="2379" spans="1:16">
      <c r="B2379" s="467" t="s">
        <v>202</v>
      </c>
      <c r="C2379" s="469" t="s">
        <v>29</v>
      </c>
      <c r="D2379" s="470"/>
      <c r="E2379" s="469" t="s">
        <v>30</v>
      </c>
      <c r="F2379" s="470"/>
      <c r="G2379" s="469" t="s">
        <v>31</v>
      </c>
      <c r="H2379" s="470"/>
      <c r="I2379" s="469" t="s">
        <v>58</v>
      </c>
      <c r="J2379" s="470"/>
      <c r="K2379" s="469" t="s">
        <v>57</v>
      </c>
      <c r="L2379" s="471"/>
      <c r="M2379" s="470" t="s">
        <v>5</v>
      </c>
      <c r="N2379" s="472"/>
      <c r="O2379" s="472" t="s">
        <v>33</v>
      </c>
      <c r="P2379" s="472"/>
    </row>
    <row r="2380" spans="1:16" ht="14.25" thickBot="1">
      <c r="B2380" s="468"/>
      <c r="C2380" s="13" t="s">
        <v>34</v>
      </c>
      <c r="D2380" s="13" t="s">
        <v>35</v>
      </c>
      <c r="E2380" s="13" t="s">
        <v>34</v>
      </c>
      <c r="F2380" s="13" t="s">
        <v>35</v>
      </c>
      <c r="G2380" s="13" t="s">
        <v>34</v>
      </c>
      <c r="H2380" s="13" t="s">
        <v>35</v>
      </c>
      <c r="I2380" s="13" t="s">
        <v>59</v>
      </c>
      <c r="J2380" s="13" t="s">
        <v>60</v>
      </c>
      <c r="K2380" s="13" t="s">
        <v>34</v>
      </c>
      <c r="L2380" s="14" t="s">
        <v>35</v>
      </c>
      <c r="M2380" s="15" t="s">
        <v>34</v>
      </c>
      <c r="N2380" s="13" t="s">
        <v>35</v>
      </c>
      <c r="O2380" s="163" t="s">
        <v>34</v>
      </c>
      <c r="P2380" s="163" t="s">
        <v>35</v>
      </c>
    </row>
    <row r="2381" spans="1:16">
      <c r="A2381" s="473">
        <v>2019</v>
      </c>
      <c r="B2381" s="410">
        <v>1</v>
      </c>
      <c r="C2381" s="422">
        <v>0</v>
      </c>
      <c r="D2381" s="422">
        <v>0</v>
      </c>
      <c r="E2381" s="422">
        <v>0</v>
      </c>
      <c r="F2381" s="422">
        <v>0</v>
      </c>
      <c r="G2381" s="422">
        <v>0</v>
      </c>
      <c r="H2381" s="422">
        <v>0</v>
      </c>
      <c r="I2381" s="422">
        <v>0</v>
      </c>
      <c r="J2381" s="422">
        <v>0</v>
      </c>
      <c r="K2381" s="422">
        <v>0</v>
      </c>
      <c r="L2381" s="422">
        <v>0</v>
      </c>
      <c r="M2381" s="424">
        <f>+C2381+E2381+G2381+I2381+K2381</f>
        <v>0</v>
      </c>
      <c r="N2381" s="425">
        <f t="shared" ref="N2381:N2392" si="956">+D2381+F2381+H2381+J2381+L2381</f>
        <v>0</v>
      </c>
      <c r="O2381" s="430">
        <f t="shared" ref="O2381:O2385" si="957">M2381/31</f>
        <v>0</v>
      </c>
      <c r="P2381" s="427">
        <f t="shared" ref="P2381:P2385" si="958">N2381/31</f>
        <v>0</v>
      </c>
    </row>
    <row r="2382" spans="1:16">
      <c r="A2382" s="474"/>
      <c r="B2382" s="127">
        <v>2</v>
      </c>
      <c r="C2382" s="147">
        <v>1</v>
      </c>
      <c r="D2382" s="147">
        <v>1</v>
      </c>
      <c r="E2382" s="147">
        <v>0</v>
      </c>
      <c r="F2382" s="147">
        <v>0</v>
      </c>
      <c r="G2382" s="147">
        <v>0</v>
      </c>
      <c r="H2382" s="147">
        <v>0</v>
      </c>
      <c r="I2382" s="147">
        <v>0</v>
      </c>
      <c r="J2382" s="147">
        <v>0</v>
      </c>
      <c r="K2382" s="147">
        <v>0</v>
      </c>
      <c r="L2382" s="174">
        <v>0</v>
      </c>
      <c r="M2382" s="149">
        <f t="shared" ref="M2382:M2392" si="959">+C2382+E2382+G2382+I2382+K2382</f>
        <v>1</v>
      </c>
      <c r="N2382" s="150">
        <f t="shared" si="956"/>
        <v>1</v>
      </c>
      <c r="O2382" s="167">
        <f t="shared" si="957"/>
        <v>3.2258064516129031E-2</v>
      </c>
      <c r="P2382" s="152">
        <f t="shared" si="958"/>
        <v>3.2258064516129031E-2</v>
      </c>
    </row>
    <row r="2383" spans="1:16">
      <c r="A2383" s="474"/>
      <c r="B2383" s="127">
        <v>3</v>
      </c>
      <c r="C2383" s="147">
        <v>2</v>
      </c>
      <c r="D2383" s="147">
        <v>1</v>
      </c>
      <c r="E2383" s="147">
        <v>0</v>
      </c>
      <c r="F2383" s="147">
        <v>0</v>
      </c>
      <c r="G2383" s="147">
        <v>0</v>
      </c>
      <c r="H2383" s="147">
        <v>0</v>
      </c>
      <c r="I2383" s="147">
        <v>0</v>
      </c>
      <c r="J2383" s="147">
        <v>0</v>
      </c>
      <c r="K2383" s="147">
        <v>0</v>
      </c>
      <c r="L2383" s="174">
        <v>0</v>
      </c>
      <c r="M2383" s="149">
        <f t="shared" si="959"/>
        <v>2</v>
      </c>
      <c r="N2383" s="150">
        <f t="shared" si="956"/>
        <v>1</v>
      </c>
      <c r="O2383" s="167">
        <f t="shared" si="957"/>
        <v>6.4516129032258063E-2</v>
      </c>
      <c r="P2383" s="152">
        <f t="shared" si="958"/>
        <v>3.2258064516129031E-2</v>
      </c>
    </row>
    <row r="2384" spans="1:16">
      <c r="A2384" s="474"/>
      <c r="B2384" s="127">
        <v>4</v>
      </c>
      <c r="C2384" s="158">
        <v>0</v>
      </c>
      <c r="D2384" s="158">
        <v>0</v>
      </c>
      <c r="E2384" s="158">
        <v>0</v>
      </c>
      <c r="F2384" s="158">
        <v>0</v>
      </c>
      <c r="G2384" s="158">
        <v>0</v>
      </c>
      <c r="H2384" s="158">
        <v>0</v>
      </c>
      <c r="I2384" s="158">
        <v>0</v>
      </c>
      <c r="J2384" s="158">
        <v>0</v>
      </c>
      <c r="K2384" s="158">
        <v>0</v>
      </c>
      <c r="L2384" s="159">
        <v>0</v>
      </c>
      <c r="M2384" s="154">
        <f t="shared" si="959"/>
        <v>0</v>
      </c>
      <c r="N2384" s="155">
        <f t="shared" si="956"/>
        <v>0</v>
      </c>
      <c r="O2384" s="168">
        <f t="shared" si="957"/>
        <v>0</v>
      </c>
      <c r="P2384" s="157">
        <f t="shared" si="958"/>
        <v>0</v>
      </c>
    </row>
    <row r="2385" spans="1:16">
      <c r="A2385" s="474"/>
      <c r="B2385" s="127">
        <v>5</v>
      </c>
      <c r="C2385" s="158">
        <v>2</v>
      </c>
      <c r="D2385" s="158">
        <v>2</v>
      </c>
      <c r="E2385" s="158">
        <v>0</v>
      </c>
      <c r="F2385" s="158">
        <v>0</v>
      </c>
      <c r="G2385" s="158">
        <v>1</v>
      </c>
      <c r="H2385" s="158">
        <v>0</v>
      </c>
      <c r="I2385" s="158">
        <v>0</v>
      </c>
      <c r="J2385" s="158">
        <v>0</v>
      </c>
      <c r="K2385" s="158">
        <v>0</v>
      </c>
      <c r="L2385" s="159">
        <v>0</v>
      </c>
      <c r="M2385" s="154">
        <f t="shared" si="959"/>
        <v>3</v>
      </c>
      <c r="N2385" s="155">
        <f t="shared" si="956"/>
        <v>2</v>
      </c>
      <c r="O2385" s="168">
        <f t="shared" si="957"/>
        <v>9.6774193548387094E-2</v>
      </c>
      <c r="P2385" s="157">
        <f t="shared" si="958"/>
        <v>6.4516129032258063E-2</v>
      </c>
    </row>
    <row r="2386" spans="1:16">
      <c r="A2386" s="474"/>
      <c r="B2386" s="127">
        <v>6</v>
      </c>
      <c r="C2386" s="158">
        <v>2</v>
      </c>
      <c r="D2386" s="158">
        <v>3</v>
      </c>
      <c r="E2386" s="158">
        <v>0</v>
      </c>
      <c r="F2386" s="158">
        <v>0</v>
      </c>
      <c r="G2386" s="158">
        <v>0</v>
      </c>
      <c r="H2386" s="158">
        <v>0</v>
      </c>
      <c r="I2386" s="158">
        <v>0</v>
      </c>
      <c r="J2386" s="158">
        <v>0</v>
      </c>
      <c r="K2386" s="158">
        <v>0</v>
      </c>
      <c r="L2386" s="158">
        <v>0</v>
      </c>
      <c r="M2386" s="154">
        <f t="shared" si="959"/>
        <v>2</v>
      </c>
      <c r="N2386" s="155">
        <f t="shared" si="956"/>
        <v>3</v>
      </c>
      <c r="O2386" s="168">
        <f>M2386/30</f>
        <v>6.6666666666666666E-2</v>
      </c>
      <c r="P2386" s="157">
        <f>N2386/30</f>
        <v>0.1</v>
      </c>
    </row>
    <row r="2387" spans="1:16">
      <c r="A2387" s="474"/>
      <c r="B2387" s="127">
        <v>7</v>
      </c>
      <c r="C2387" s="158">
        <v>2</v>
      </c>
      <c r="D2387" s="158">
        <v>2</v>
      </c>
      <c r="E2387" s="158">
        <v>0</v>
      </c>
      <c r="F2387" s="158">
        <v>0</v>
      </c>
      <c r="G2387" s="158">
        <v>0</v>
      </c>
      <c r="H2387" s="158">
        <v>0</v>
      </c>
      <c r="I2387" s="158">
        <v>0</v>
      </c>
      <c r="J2387" s="158">
        <v>0</v>
      </c>
      <c r="K2387" s="158">
        <v>0</v>
      </c>
      <c r="L2387" s="158">
        <v>0</v>
      </c>
      <c r="M2387" s="154">
        <f t="shared" si="959"/>
        <v>2</v>
      </c>
      <c r="N2387" s="155">
        <f t="shared" si="956"/>
        <v>2</v>
      </c>
      <c r="O2387" s="168">
        <f t="shared" ref="O2387:O2397" si="960">M2387/31</f>
        <v>6.4516129032258063E-2</v>
      </c>
      <c r="P2387" s="157">
        <f t="shared" ref="P2387:P2397" si="961">N2387/31</f>
        <v>6.4516129032258063E-2</v>
      </c>
    </row>
    <row r="2388" spans="1:16">
      <c r="A2388" s="474"/>
      <c r="B2388" s="127">
        <v>8</v>
      </c>
      <c r="C2388" s="158">
        <v>1</v>
      </c>
      <c r="D2388" s="158">
        <v>3</v>
      </c>
      <c r="E2388" s="158">
        <v>1</v>
      </c>
      <c r="F2388" s="158">
        <v>1</v>
      </c>
      <c r="G2388" s="158">
        <v>0</v>
      </c>
      <c r="H2388" s="158">
        <v>0</v>
      </c>
      <c r="I2388" s="158">
        <v>0</v>
      </c>
      <c r="J2388" s="158">
        <v>0</v>
      </c>
      <c r="K2388" s="158">
        <v>0</v>
      </c>
      <c r="L2388" s="159">
        <v>0</v>
      </c>
      <c r="M2388" s="177">
        <f t="shared" si="959"/>
        <v>2</v>
      </c>
      <c r="N2388" s="158">
        <f t="shared" si="956"/>
        <v>4</v>
      </c>
      <c r="O2388" s="168">
        <f t="shared" si="960"/>
        <v>6.4516129032258063E-2</v>
      </c>
      <c r="P2388" s="157">
        <f t="shared" si="961"/>
        <v>0.12903225806451613</v>
      </c>
    </row>
    <row r="2389" spans="1:16">
      <c r="A2389" s="474"/>
      <c r="B2389" s="127">
        <v>9</v>
      </c>
      <c r="C2389" s="147">
        <v>5</v>
      </c>
      <c r="D2389" s="147">
        <v>2</v>
      </c>
      <c r="E2389" s="147">
        <v>0</v>
      </c>
      <c r="F2389" s="147">
        <v>0</v>
      </c>
      <c r="G2389" s="147">
        <v>1</v>
      </c>
      <c r="H2389" s="147">
        <v>1</v>
      </c>
      <c r="I2389" s="147">
        <v>0</v>
      </c>
      <c r="J2389" s="147">
        <v>0</v>
      </c>
      <c r="K2389" s="147">
        <v>0</v>
      </c>
      <c r="L2389" s="147">
        <v>0</v>
      </c>
      <c r="M2389" s="177">
        <v>6</v>
      </c>
      <c r="N2389" s="158">
        <v>3</v>
      </c>
      <c r="O2389" s="168">
        <v>0.19354838709677419</v>
      </c>
      <c r="P2389" s="157">
        <v>9.6774193548387094E-2</v>
      </c>
    </row>
    <row r="2390" spans="1:16">
      <c r="A2390" s="474"/>
      <c r="B2390" s="127">
        <v>10</v>
      </c>
      <c r="C2390" s="147">
        <v>3</v>
      </c>
      <c r="D2390" s="147">
        <v>9</v>
      </c>
      <c r="E2390" s="147">
        <v>0</v>
      </c>
      <c r="F2390" s="181">
        <v>0</v>
      </c>
      <c r="G2390" s="147">
        <v>0</v>
      </c>
      <c r="H2390" s="147">
        <v>0</v>
      </c>
      <c r="I2390" s="147">
        <v>0</v>
      </c>
      <c r="J2390" s="147">
        <v>0</v>
      </c>
      <c r="K2390" s="147">
        <v>0</v>
      </c>
      <c r="L2390" s="148">
        <v>0</v>
      </c>
      <c r="M2390" s="154">
        <f t="shared" ref="M2390" si="962">+C2390+E2390+G2390+I2390+K2390</f>
        <v>3</v>
      </c>
      <c r="N2390" s="155">
        <f t="shared" ref="N2390" si="963">+D2390+F2390+H2390+J2390+L2390</f>
        <v>9</v>
      </c>
      <c r="O2390" s="168">
        <f t="shared" ref="O2390" si="964">M2390/31</f>
        <v>9.6774193548387094E-2</v>
      </c>
      <c r="P2390" s="157">
        <f t="shared" ref="P2390" si="965">N2390/31</f>
        <v>0.29032258064516131</v>
      </c>
    </row>
    <row r="2391" spans="1:16">
      <c r="A2391" s="474"/>
      <c r="B2391" s="127">
        <v>11</v>
      </c>
      <c r="C2391" s="367">
        <v>2</v>
      </c>
      <c r="D2391" s="367">
        <v>2</v>
      </c>
      <c r="E2391" s="367">
        <v>0</v>
      </c>
      <c r="F2391" s="367">
        <v>0</v>
      </c>
      <c r="G2391" s="367">
        <v>0</v>
      </c>
      <c r="H2391" s="367">
        <v>0</v>
      </c>
      <c r="I2391" s="367">
        <v>0</v>
      </c>
      <c r="J2391" s="367">
        <v>0</v>
      </c>
      <c r="K2391" s="367">
        <v>0</v>
      </c>
      <c r="L2391" s="368">
        <v>0</v>
      </c>
      <c r="M2391" s="154">
        <f t="shared" si="959"/>
        <v>2</v>
      </c>
      <c r="N2391" s="155">
        <f t="shared" si="956"/>
        <v>2</v>
      </c>
      <c r="O2391" s="168">
        <f t="shared" si="960"/>
        <v>6.4516129032258063E-2</v>
      </c>
      <c r="P2391" s="157">
        <f t="shared" si="961"/>
        <v>6.4516129032258063E-2</v>
      </c>
    </row>
    <row r="2392" spans="1:16" ht="14.25" thickBot="1">
      <c r="A2392" s="475"/>
      <c r="B2392" s="127">
        <v>12</v>
      </c>
      <c r="C2392" s="187">
        <v>5</v>
      </c>
      <c r="D2392" s="187">
        <v>5</v>
      </c>
      <c r="E2392" s="187">
        <v>0</v>
      </c>
      <c r="F2392" s="188">
        <v>0</v>
      </c>
      <c r="G2392" s="187">
        <v>1</v>
      </c>
      <c r="H2392" s="187">
        <v>1</v>
      </c>
      <c r="I2392" s="187">
        <v>0</v>
      </c>
      <c r="J2392" s="187">
        <v>0</v>
      </c>
      <c r="K2392" s="187">
        <v>0</v>
      </c>
      <c r="L2392" s="189">
        <v>0</v>
      </c>
      <c r="M2392" s="190">
        <f t="shared" si="959"/>
        <v>6</v>
      </c>
      <c r="N2392" s="191">
        <f t="shared" si="956"/>
        <v>6</v>
      </c>
      <c r="O2392" s="192">
        <f t="shared" si="960"/>
        <v>0.19354838709677419</v>
      </c>
      <c r="P2392" s="193">
        <f t="shared" si="961"/>
        <v>0.19354838709677419</v>
      </c>
    </row>
    <row r="2393" spans="1:16">
      <c r="A2393" s="473">
        <v>2020</v>
      </c>
      <c r="B2393" s="410">
        <v>1</v>
      </c>
      <c r="C2393" s="434">
        <v>4</v>
      </c>
      <c r="D2393" s="434">
        <v>6</v>
      </c>
      <c r="E2393" s="434">
        <v>1</v>
      </c>
      <c r="F2393" s="434">
        <v>0</v>
      </c>
      <c r="G2393" s="434">
        <v>0</v>
      </c>
      <c r="H2393" s="434">
        <v>0</v>
      </c>
      <c r="I2393" s="434">
        <v>0</v>
      </c>
      <c r="J2393" s="434">
        <v>0</v>
      </c>
      <c r="K2393" s="434">
        <v>0</v>
      </c>
      <c r="L2393" s="436">
        <v>0</v>
      </c>
      <c r="M2393" s="424">
        <f>+C2393+E2393+G2393+I2393+K2393</f>
        <v>5</v>
      </c>
      <c r="N2393" s="425">
        <f t="shared" ref="N2393:N2400" si="966">+D2393+F2393+H2393+J2393+L2393</f>
        <v>6</v>
      </c>
      <c r="O2393" s="430">
        <f t="shared" si="960"/>
        <v>0.16129032258064516</v>
      </c>
      <c r="P2393" s="427">
        <f t="shared" si="961"/>
        <v>0.19354838709677419</v>
      </c>
    </row>
    <row r="2394" spans="1:16">
      <c r="A2394" s="474"/>
      <c r="B2394" s="127">
        <v>2</v>
      </c>
      <c r="C2394" s="147">
        <v>3</v>
      </c>
      <c r="D2394" s="147">
        <v>6</v>
      </c>
      <c r="E2394" s="147">
        <v>0</v>
      </c>
      <c r="F2394" s="147">
        <v>1</v>
      </c>
      <c r="G2394" s="147">
        <v>0</v>
      </c>
      <c r="H2394" s="147">
        <v>0</v>
      </c>
      <c r="I2394" s="147">
        <v>0</v>
      </c>
      <c r="J2394" s="147">
        <v>0</v>
      </c>
      <c r="K2394" s="147">
        <v>0</v>
      </c>
      <c r="L2394" s="148">
        <v>0</v>
      </c>
      <c r="M2394" s="149">
        <f t="shared" ref="M2394:M2400" si="967">+C2394+E2394+G2394+I2394+K2394</f>
        <v>3</v>
      </c>
      <c r="N2394" s="150">
        <f t="shared" si="966"/>
        <v>7</v>
      </c>
      <c r="O2394" s="167">
        <f t="shared" si="960"/>
        <v>9.6774193548387094E-2</v>
      </c>
      <c r="P2394" s="152">
        <f t="shared" si="961"/>
        <v>0.22580645161290322</v>
      </c>
    </row>
    <row r="2395" spans="1:16">
      <c r="A2395" s="474"/>
      <c r="B2395" s="127">
        <v>3</v>
      </c>
      <c r="C2395" s="147">
        <v>2</v>
      </c>
      <c r="D2395" s="147">
        <v>2</v>
      </c>
      <c r="E2395" s="147">
        <v>0</v>
      </c>
      <c r="F2395" s="147">
        <v>0</v>
      </c>
      <c r="G2395" s="147">
        <v>0</v>
      </c>
      <c r="H2395" s="147">
        <v>0</v>
      </c>
      <c r="I2395" s="147">
        <v>0</v>
      </c>
      <c r="J2395" s="147">
        <v>0</v>
      </c>
      <c r="K2395" s="147">
        <v>0</v>
      </c>
      <c r="L2395" s="148">
        <v>0</v>
      </c>
      <c r="M2395" s="149">
        <f t="shared" si="967"/>
        <v>2</v>
      </c>
      <c r="N2395" s="150">
        <f t="shared" si="966"/>
        <v>2</v>
      </c>
      <c r="O2395" s="167">
        <f t="shared" si="960"/>
        <v>6.4516129032258063E-2</v>
      </c>
      <c r="P2395" s="152">
        <f t="shared" si="961"/>
        <v>6.4516129032258063E-2</v>
      </c>
    </row>
    <row r="2396" spans="1:16">
      <c r="A2396" s="474"/>
      <c r="B2396" s="127">
        <v>4</v>
      </c>
      <c r="C2396" s="147">
        <v>0</v>
      </c>
      <c r="D2396" s="147">
        <v>0</v>
      </c>
      <c r="E2396" s="147">
        <v>0</v>
      </c>
      <c r="F2396" s="147">
        <v>0</v>
      </c>
      <c r="G2396" s="147">
        <v>0</v>
      </c>
      <c r="H2396" s="147">
        <v>0</v>
      </c>
      <c r="I2396" s="147">
        <v>0</v>
      </c>
      <c r="J2396" s="147">
        <v>0</v>
      </c>
      <c r="K2396" s="147">
        <v>0</v>
      </c>
      <c r="L2396" s="148">
        <v>0</v>
      </c>
      <c r="M2396" s="154">
        <f t="shared" si="967"/>
        <v>0</v>
      </c>
      <c r="N2396" s="155">
        <f t="shared" si="966"/>
        <v>0</v>
      </c>
      <c r="O2396" s="168">
        <f t="shared" si="960"/>
        <v>0</v>
      </c>
      <c r="P2396" s="157">
        <f t="shared" si="961"/>
        <v>0</v>
      </c>
    </row>
    <row r="2397" spans="1:16">
      <c r="A2397" s="474"/>
      <c r="B2397" s="127">
        <v>5</v>
      </c>
      <c r="C2397" s="147">
        <v>0</v>
      </c>
      <c r="D2397" s="147">
        <v>0</v>
      </c>
      <c r="E2397" s="147">
        <v>0</v>
      </c>
      <c r="F2397" s="147">
        <v>0</v>
      </c>
      <c r="G2397" s="147">
        <v>0</v>
      </c>
      <c r="H2397" s="147">
        <v>0</v>
      </c>
      <c r="I2397" s="147">
        <v>0</v>
      </c>
      <c r="J2397" s="147">
        <v>0</v>
      </c>
      <c r="K2397" s="147">
        <v>0</v>
      </c>
      <c r="L2397" s="148">
        <v>0</v>
      </c>
      <c r="M2397" s="154">
        <f t="shared" si="967"/>
        <v>0</v>
      </c>
      <c r="N2397" s="155">
        <f t="shared" si="966"/>
        <v>0</v>
      </c>
      <c r="O2397" s="168">
        <f t="shared" si="960"/>
        <v>0</v>
      </c>
      <c r="P2397" s="157">
        <f t="shared" si="961"/>
        <v>0</v>
      </c>
    </row>
    <row r="2398" spans="1:16">
      <c r="A2398" s="474"/>
      <c r="B2398" s="127">
        <v>6</v>
      </c>
      <c r="C2398" s="147">
        <f>集計用!C102</f>
        <v>0</v>
      </c>
      <c r="D2398" s="147">
        <f>集計用!S102</f>
        <v>0</v>
      </c>
      <c r="E2398" s="147">
        <f>集計用!E102</f>
        <v>0</v>
      </c>
      <c r="F2398" s="147">
        <f>集計用!U102</f>
        <v>0</v>
      </c>
      <c r="G2398" s="147">
        <f>集計用!G102</f>
        <v>0</v>
      </c>
      <c r="H2398" s="147">
        <f>集計用!W102</f>
        <v>0</v>
      </c>
      <c r="I2398" s="147">
        <f>集計用!I102</f>
        <v>0</v>
      </c>
      <c r="J2398" s="147">
        <f>集計用!Y102</f>
        <v>0</v>
      </c>
      <c r="K2398" s="147">
        <f>集計用!K102</f>
        <v>0</v>
      </c>
      <c r="L2398" s="148">
        <f>集計用!AA102</f>
        <v>0</v>
      </c>
      <c r="M2398" s="154">
        <f t="shared" si="967"/>
        <v>0</v>
      </c>
      <c r="N2398" s="155">
        <f t="shared" si="966"/>
        <v>0</v>
      </c>
      <c r="O2398" s="168">
        <f>M2398/30</f>
        <v>0</v>
      </c>
      <c r="P2398" s="157">
        <f>N2398/30</f>
        <v>0</v>
      </c>
    </row>
    <row r="2399" spans="1:16">
      <c r="A2399" s="474"/>
      <c r="B2399" s="127">
        <v>7</v>
      </c>
      <c r="C2399" s="158"/>
      <c r="D2399" s="158"/>
      <c r="E2399" s="158"/>
      <c r="F2399" s="158"/>
      <c r="G2399" s="158"/>
      <c r="H2399" s="158"/>
      <c r="I2399" s="158"/>
      <c r="J2399" s="158"/>
      <c r="K2399" s="158"/>
      <c r="L2399" s="158"/>
      <c r="M2399" s="154">
        <f t="shared" si="967"/>
        <v>0</v>
      </c>
      <c r="N2399" s="155">
        <f t="shared" si="966"/>
        <v>0</v>
      </c>
      <c r="O2399" s="168">
        <f t="shared" ref="O2399:O2400" si="968">M2399/31</f>
        <v>0</v>
      </c>
      <c r="P2399" s="157">
        <f t="shared" ref="P2399:P2400" si="969">N2399/31</f>
        <v>0</v>
      </c>
    </row>
    <row r="2400" spans="1:16">
      <c r="A2400" s="474"/>
      <c r="B2400" s="127">
        <v>8</v>
      </c>
      <c r="C2400" s="158"/>
      <c r="D2400" s="158"/>
      <c r="E2400" s="158"/>
      <c r="F2400" s="158"/>
      <c r="G2400" s="158"/>
      <c r="H2400" s="158"/>
      <c r="I2400" s="158"/>
      <c r="J2400" s="158"/>
      <c r="K2400" s="158"/>
      <c r="L2400" s="159"/>
      <c r="M2400" s="177">
        <f t="shared" si="967"/>
        <v>0</v>
      </c>
      <c r="N2400" s="158">
        <f t="shared" si="966"/>
        <v>0</v>
      </c>
      <c r="O2400" s="168">
        <f t="shared" si="968"/>
        <v>0</v>
      </c>
      <c r="P2400" s="157">
        <f t="shared" si="969"/>
        <v>0</v>
      </c>
    </row>
    <row r="2401" spans="1:16">
      <c r="A2401" s="474"/>
      <c r="B2401" s="127">
        <v>9</v>
      </c>
      <c r="C2401" s="147"/>
      <c r="D2401" s="147"/>
      <c r="E2401" s="147"/>
      <c r="F2401" s="147"/>
      <c r="G2401" s="147"/>
      <c r="H2401" s="147"/>
      <c r="I2401" s="147"/>
      <c r="J2401" s="147"/>
      <c r="K2401" s="147"/>
      <c r="L2401" s="147"/>
      <c r="M2401" s="177">
        <f t="shared" ref="M2401" si="970">+C2401+E2401+G2401+I2401+K2401</f>
        <v>0</v>
      </c>
      <c r="N2401" s="158">
        <f t="shared" ref="N2401" si="971">+D2401+F2401+H2401+J2401+L2401</f>
        <v>0</v>
      </c>
      <c r="O2401" s="168">
        <f>M2401/30</f>
        <v>0</v>
      </c>
      <c r="P2401" s="157">
        <f>N2401/30</f>
        <v>0</v>
      </c>
    </row>
    <row r="2402" spans="1:16">
      <c r="A2402" s="474"/>
      <c r="B2402" s="127">
        <v>10</v>
      </c>
      <c r="C2402" s="147"/>
      <c r="D2402" s="147"/>
      <c r="E2402" s="147"/>
      <c r="F2402" s="181"/>
      <c r="G2402" s="147"/>
      <c r="H2402" s="147"/>
      <c r="I2402" s="147"/>
      <c r="J2402" s="147"/>
      <c r="K2402" s="147"/>
      <c r="L2402" s="148"/>
      <c r="M2402" s="154">
        <f t="shared" ref="M2402:M2404" si="972">+C2402+E2402+G2402+I2402+K2402</f>
        <v>0</v>
      </c>
      <c r="N2402" s="155">
        <f t="shared" ref="N2402:N2404" si="973">+D2402+F2402+H2402+J2402+L2402</f>
        <v>0</v>
      </c>
      <c r="O2402" s="168">
        <f t="shared" ref="O2402:O2404" si="974">M2402/31</f>
        <v>0</v>
      </c>
      <c r="P2402" s="157">
        <f t="shared" ref="P2402:P2404" si="975">N2402/31</f>
        <v>0</v>
      </c>
    </row>
    <row r="2403" spans="1:16">
      <c r="A2403" s="474"/>
      <c r="B2403" s="127">
        <v>11</v>
      </c>
      <c r="C2403" s="367"/>
      <c r="D2403" s="367"/>
      <c r="E2403" s="367"/>
      <c r="F2403" s="367"/>
      <c r="G2403" s="367"/>
      <c r="H2403" s="367"/>
      <c r="I2403" s="367"/>
      <c r="J2403" s="367"/>
      <c r="K2403" s="367"/>
      <c r="L2403" s="368"/>
      <c r="M2403" s="154">
        <f t="shared" si="972"/>
        <v>0</v>
      </c>
      <c r="N2403" s="155">
        <f t="shared" si="973"/>
        <v>0</v>
      </c>
      <c r="O2403" s="168">
        <f t="shared" si="974"/>
        <v>0</v>
      </c>
      <c r="P2403" s="157">
        <f t="shared" si="975"/>
        <v>0</v>
      </c>
    </row>
    <row r="2404" spans="1:16" ht="14.25" thickBot="1">
      <c r="A2404" s="475"/>
      <c r="B2404" s="127">
        <v>12</v>
      </c>
      <c r="C2404" s="187"/>
      <c r="D2404" s="187"/>
      <c r="E2404" s="187"/>
      <c r="F2404" s="188"/>
      <c r="G2404" s="187"/>
      <c r="H2404" s="187"/>
      <c r="I2404" s="187"/>
      <c r="J2404" s="187"/>
      <c r="K2404" s="187"/>
      <c r="L2404" s="189"/>
      <c r="M2404" s="190">
        <f t="shared" si="972"/>
        <v>0</v>
      </c>
      <c r="N2404" s="191">
        <f t="shared" si="973"/>
        <v>0</v>
      </c>
      <c r="O2404" s="192">
        <f t="shared" si="974"/>
        <v>0</v>
      </c>
      <c r="P2404" s="193">
        <f t="shared" si="975"/>
        <v>0</v>
      </c>
    </row>
    <row r="2405" spans="1:16" ht="14.25" thickBot="1">
      <c r="A2405" s="180"/>
      <c r="B2405" s="160" t="s">
        <v>5</v>
      </c>
      <c r="C2405" s="161">
        <f>SUM(C2381:C2404)</f>
        <v>34</v>
      </c>
      <c r="D2405" s="161">
        <f t="shared" ref="D2405:P2405" si="976">SUM(D2381:D2404)</f>
        <v>44</v>
      </c>
      <c r="E2405" s="161">
        <f t="shared" si="976"/>
        <v>2</v>
      </c>
      <c r="F2405" s="161">
        <f t="shared" si="976"/>
        <v>2</v>
      </c>
      <c r="G2405" s="161">
        <f t="shared" si="976"/>
        <v>3</v>
      </c>
      <c r="H2405" s="161">
        <f t="shared" si="976"/>
        <v>2</v>
      </c>
      <c r="I2405" s="161">
        <f t="shared" si="976"/>
        <v>0</v>
      </c>
      <c r="J2405" s="161">
        <f t="shared" si="976"/>
        <v>0</v>
      </c>
      <c r="K2405" s="161">
        <f t="shared" si="976"/>
        <v>0</v>
      </c>
      <c r="L2405" s="161">
        <f t="shared" si="976"/>
        <v>0</v>
      </c>
      <c r="M2405" s="161">
        <f t="shared" si="976"/>
        <v>39</v>
      </c>
      <c r="N2405" s="161">
        <f t="shared" si="976"/>
        <v>48</v>
      </c>
      <c r="O2405" s="161">
        <f t="shared" si="976"/>
        <v>1.2602150537634409</v>
      </c>
      <c r="P2405" s="161">
        <f t="shared" si="976"/>
        <v>1.5516129032258066</v>
      </c>
    </row>
    <row r="2407" spans="1:16">
      <c r="B2407" s="467" t="s">
        <v>217</v>
      </c>
      <c r="C2407" s="469" t="s">
        <v>29</v>
      </c>
      <c r="D2407" s="470"/>
      <c r="E2407" s="469" t="s">
        <v>30</v>
      </c>
      <c r="F2407" s="470"/>
      <c r="G2407" s="469" t="s">
        <v>31</v>
      </c>
      <c r="H2407" s="470"/>
      <c r="I2407" s="469" t="s">
        <v>58</v>
      </c>
      <c r="J2407" s="470"/>
      <c r="K2407" s="469" t="s">
        <v>57</v>
      </c>
      <c r="L2407" s="471"/>
      <c r="M2407" s="470" t="s">
        <v>5</v>
      </c>
      <c r="N2407" s="472"/>
      <c r="O2407" s="472" t="s">
        <v>33</v>
      </c>
      <c r="P2407" s="472"/>
    </row>
    <row r="2408" spans="1:16" ht="14.25" thickBot="1">
      <c r="B2408" s="468"/>
      <c r="C2408" s="13" t="s">
        <v>34</v>
      </c>
      <c r="D2408" s="13" t="s">
        <v>35</v>
      </c>
      <c r="E2408" s="13" t="s">
        <v>34</v>
      </c>
      <c r="F2408" s="13" t="s">
        <v>35</v>
      </c>
      <c r="G2408" s="13" t="s">
        <v>34</v>
      </c>
      <c r="H2408" s="13" t="s">
        <v>35</v>
      </c>
      <c r="I2408" s="13" t="s">
        <v>59</v>
      </c>
      <c r="J2408" s="13" t="s">
        <v>60</v>
      </c>
      <c r="K2408" s="13" t="s">
        <v>34</v>
      </c>
      <c r="L2408" s="14" t="s">
        <v>35</v>
      </c>
      <c r="M2408" s="15" t="s">
        <v>34</v>
      </c>
      <c r="N2408" s="13" t="s">
        <v>35</v>
      </c>
      <c r="O2408" s="163" t="s">
        <v>34</v>
      </c>
      <c r="P2408" s="163" t="s">
        <v>35</v>
      </c>
    </row>
    <row r="2409" spans="1:16">
      <c r="A2409" s="473">
        <v>2019</v>
      </c>
      <c r="B2409" s="410">
        <v>1</v>
      </c>
      <c r="C2409" s="422">
        <v>0</v>
      </c>
      <c r="D2409" s="422">
        <v>0</v>
      </c>
      <c r="E2409" s="422">
        <v>0</v>
      </c>
      <c r="F2409" s="422">
        <v>0</v>
      </c>
      <c r="G2409" s="422">
        <v>0</v>
      </c>
      <c r="H2409" s="422">
        <v>0</v>
      </c>
      <c r="I2409" s="422">
        <v>0</v>
      </c>
      <c r="J2409" s="422">
        <v>0</v>
      </c>
      <c r="K2409" s="422">
        <v>0</v>
      </c>
      <c r="L2409" s="422">
        <v>0</v>
      </c>
      <c r="M2409" s="424">
        <f>+C2409+E2409+G2409+I2409+K2409</f>
        <v>0</v>
      </c>
      <c r="N2409" s="425">
        <f t="shared" ref="N2409:N2420" si="977">+D2409+F2409+H2409+J2409+L2409</f>
        <v>0</v>
      </c>
      <c r="O2409" s="430">
        <f t="shared" ref="O2409:O2413" si="978">M2409/31</f>
        <v>0</v>
      </c>
      <c r="P2409" s="427">
        <f t="shared" ref="P2409:P2413" si="979">N2409/31</f>
        <v>0</v>
      </c>
    </row>
    <row r="2410" spans="1:16">
      <c r="A2410" s="474"/>
      <c r="B2410" s="127">
        <v>2</v>
      </c>
      <c r="C2410" s="147">
        <v>0</v>
      </c>
      <c r="D2410" s="147">
        <v>0</v>
      </c>
      <c r="E2410" s="147">
        <v>0</v>
      </c>
      <c r="F2410" s="147">
        <v>0</v>
      </c>
      <c r="G2410" s="147">
        <v>0</v>
      </c>
      <c r="H2410" s="147">
        <v>0</v>
      </c>
      <c r="I2410" s="147">
        <v>0</v>
      </c>
      <c r="J2410" s="147">
        <v>0</v>
      </c>
      <c r="K2410" s="147">
        <v>0</v>
      </c>
      <c r="L2410" s="174">
        <v>0</v>
      </c>
      <c r="M2410" s="149">
        <f t="shared" ref="M2410:M2420" si="980">+C2410+E2410+G2410+I2410+K2410</f>
        <v>0</v>
      </c>
      <c r="N2410" s="150">
        <f t="shared" si="977"/>
        <v>0</v>
      </c>
      <c r="O2410" s="167">
        <f t="shared" si="978"/>
        <v>0</v>
      </c>
      <c r="P2410" s="152">
        <f t="shared" si="979"/>
        <v>0</v>
      </c>
    </row>
    <row r="2411" spans="1:16">
      <c r="A2411" s="474"/>
      <c r="B2411" s="127">
        <v>3</v>
      </c>
      <c r="C2411" s="147">
        <v>1</v>
      </c>
      <c r="D2411" s="147">
        <v>2</v>
      </c>
      <c r="E2411" s="147">
        <v>0</v>
      </c>
      <c r="F2411" s="147">
        <v>0</v>
      </c>
      <c r="G2411" s="147">
        <v>1</v>
      </c>
      <c r="H2411" s="147">
        <v>2</v>
      </c>
      <c r="I2411" s="147">
        <v>0</v>
      </c>
      <c r="J2411" s="147">
        <v>0</v>
      </c>
      <c r="K2411" s="147">
        <v>0</v>
      </c>
      <c r="L2411" s="174">
        <v>0</v>
      </c>
      <c r="M2411" s="149">
        <f t="shared" si="980"/>
        <v>2</v>
      </c>
      <c r="N2411" s="150">
        <f t="shared" si="977"/>
        <v>4</v>
      </c>
      <c r="O2411" s="167">
        <f t="shared" si="978"/>
        <v>6.4516129032258063E-2</v>
      </c>
      <c r="P2411" s="152">
        <f t="shared" si="979"/>
        <v>0.12903225806451613</v>
      </c>
    </row>
    <row r="2412" spans="1:16">
      <c r="A2412" s="474"/>
      <c r="B2412" s="127">
        <v>4</v>
      </c>
      <c r="C2412" s="158">
        <v>2</v>
      </c>
      <c r="D2412" s="158">
        <v>3</v>
      </c>
      <c r="E2412" s="158">
        <v>0</v>
      </c>
      <c r="F2412" s="158">
        <v>0</v>
      </c>
      <c r="G2412" s="158">
        <v>0</v>
      </c>
      <c r="H2412" s="158">
        <v>0</v>
      </c>
      <c r="I2412" s="158">
        <v>0</v>
      </c>
      <c r="J2412" s="158">
        <v>0</v>
      </c>
      <c r="K2412" s="158">
        <v>0</v>
      </c>
      <c r="L2412" s="159">
        <v>0</v>
      </c>
      <c r="M2412" s="154">
        <f t="shared" si="980"/>
        <v>2</v>
      </c>
      <c r="N2412" s="155">
        <f t="shared" si="977"/>
        <v>3</v>
      </c>
      <c r="O2412" s="168">
        <f t="shared" si="978"/>
        <v>6.4516129032258063E-2</v>
      </c>
      <c r="P2412" s="157">
        <f t="shared" si="979"/>
        <v>9.6774193548387094E-2</v>
      </c>
    </row>
    <row r="2413" spans="1:16">
      <c r="A2413" s="474"/>
      <c r="B2413" s="127">
        <v>5</v>
      </c>
      <c r="C2413" s="158">
        <v>0</v>
      </c>
      <c r="D2413" s="158">
        <v>0</v>
      </c>
      <c r="E2413" s="158">
        <v>0</v>
      </c>
      <c r="F2413" s="158">
        <v>0</v>
      </c>
      <c r="G2413" s="158">
        <v>0</v>
      </c>
      <c r="H2413" s="158">
        <v>0</v>
      </c>
      <c r="I2413" s="158">
        <v>0</v>
      </c>
      <c r="J2413" s="158">
        <v>0</v>
      </c>
      <c r="K2413" s="158">
        <v>0</v>
      </c>
      <c r="L2413" s="159">
        <v>0</v>
      </c>
      <c r="M2413" s="154">
        <f t="shared" si="980"/>
        <v>0</v>
      </c>
      <c r="N2413" s="155">
        <f t="shared" si="977"/>
        <v>0</v>
      </c>
      <c r="O2413" s="168">
        <f t="shared" si="978"/>
        <v>0</v>
      </c>
      <c r="P2413" s="157">
        <f t="shared" si="979"/>
        <v>0</v>
      </c>
    </row>
    <row r="2414" spans="1:16">
      <c r="A2414" s="474"/>
      <c r="B2414" s="127">
        <v>6</v>
      </c>
      <c r="C2414" s="158">
        <v>0</v>
      </c>
      <c r="D2414" s="158">
        <v>1</v>
      </c>
      <c r="E2414" s="158">
        <v>0</v>
      </c>
      <c r="F2414" s="158">
        <v>0</v>
      </c>
      <c r="G2414" s="158">
        <v>0</v>
      </c>
      <c r="H2414" s="158">
        <v>0</v>
      </c>
      <c r="I2414" s="158">
        <v>0</v>
      </c>
      <c r="J2414" s="158">
        <v>0</v>
      </c>
      <c r="K2414" s="158">
        <v>0</v>
      </c>
      <c r="L2414" s="158">
        <v>0</v>
      </c>
      <c r="M2414" s="154">
        <f t="shared" si="980"/>
        <v>0</v>
      </c>
      <c r="N2414" s="155">
        <f t="shared" si="977"/>
        <v>1</v>
      </c>
      <c r="O2414" s="168">
        <f>M2414/30</f>
        <v>0</v>
      </c>
      <c r="P2414" s="157">
        <f>N2414/30</f>
        <v>3.3333333333333333E-2</v>
      </c>
    </row>
    <row r="2415" spans="1:16">
      <c r="A2415" s="474"/>
      <c r="B2415" s="127">
        <v>7</v>
      </c>
      <c r="C2415" s="158">
        <v>1</v>
      </c>
      <c r="D2415" s="158">
        <v>0</v>
      </c>
      <c r="E2415" s="158">
        <v>0</v>
      </c>
      <c r="F2415" s="158">
        <v>0</v>
      </c>
      <c r="G2415" s="158">
        <v>0</v>
      </c>
      <c r="H2415" s="158">
        <v>3</v>
      </c>
      <c r="I2415" s="158">
        <v>0</v>
      </c>
      <c r="J2415" s="158">
        <v>0</v>
      </c>
      <c r="K2415" s="158">
        <v>0</v>
      </c>
      <c r="L2415" s="158">
        <v>0</v>
      </c>
      <c r="M2415" s="154">
        <f t="shared" si="980"/>
        <v>1</v>
      </c>
      <c r="N2415" s="155">
        <f t="shared" si="977"/>
        <v>3</v>
      </c>
      <c r="O2415" s="168">
        <f t="shared" ref="O2415:O2425" si="981">M2415/31</f>
        <v>3.2258064516129031E-2</v>
      </c>
      <c r="P2415" s="157">
        <f t="shared" ref="P2415:P2425" si="982">N2415/31</f>
        <v>9.6774193548387094E-2</v>
      </c>
    </row>
    <row r="2416" spans="1:16">
      <c r="A2416" s="474"/>
      <c r="B2416" s="127">
        <v>8</v>
      </c>
      <c r="C2416" s="158">
        <v>2</v>
      </c>
      <c r="D2416" s="158">
        <v>3</v>
      </c>
      <c r="E2416" s="158">
        <v>0</v>
      </c>
      <c r="F2416" s="158">
        <v>0</v>
      </c>
      <c r="G2416" s="158">
        <v>0</v>
      </c>
      <c r="H2416" s="158">
        <v>0</v>
      </c>
      <c r="I2416" s="158">
        <v>1</v>
      </c>
      <c r="J2416" s="158">
        <v>0</v>
      </c>
      <c r="K2416" s="158">
        <v>0</v>
      </c>
      <c r="L2416" s="159">
        <v>0</v>
      </c>
      <c r="M2416" s="177">
        <f t="shared" si="980"/>
        <v>3</v>
      </c>
      <c r="N2416" s="158">
        <f t="shared" si="977"/>
        <v>3</v>
      </c>
      <c r="O2416" s="168">
        <f t="shared" si="981"/>
        <v>9.6774193548387094E-2</v>
      </c>
      <c r="P2416" s="157">
        <f t="shared" si="982"/>
        <v>9.6774193548387094E-2</v>
      </c>
    </row>
    <row r="2417" spans="1:16">
      <c r="A2417" s="474"/>
      <c r="B2417" s="127">
        <v>9</v>
      </c>
      <c r="C2417" s="147">
        <v>3</v>
      </c>
      <c r="D2417" s="147">
        <v>2</v>
      </c>
      <c r="E2417" s="147">
        <v>0</v>
      </c>
      <c r="F2417" s="147">
        <v>0</v>
      </c>
      <c r="G2417" s="147">
        <v>0</v>
      </c>
      <c r="H2417" s="147">
        <v>0</v>
      </c>
      <c r="I2417" s="147">
        <v>0</v>
      </c>
      <c r="J2417" s="147">
        <v>1</v>
      </c>
      <c r="K2417" s="147">
        <v>0</v>
      </c>
      <c r="L2417" s="147">
        <v>0</v>
      </c>
      <c r="M2417" s="177">
        <v>3</v>
      </c>
      <c r="N2417" s="158">
        <v>3</v>
      </c>
      <c r="O2417" s="168">
        <v>9.6774193548387094E-2</v>
      </c>
      <c r="P2417" s="157">
        <v>9.6774193548387094E-2</v>
      </c>
    </row>
    <row r="2418" spans="1:16">
      <c r="A2418" s="474"/>
      <c r="B2418" s="127">
        <v>10</v>
      </c>
      <c r="C2418" s="147">
        <v>0</v>
      </c>
      <c r="D2418" s="147">
        <v>3</v>
      </c>
      <c r="E2418" s="147">
        <v>1</v>
      </c>
      <c r="F2418" s="181">
        <v>1</v>
      </c>
      <c r="G2418" s="147">
        <v>0</v>
      </c>
      <c r="H2418" s="147">
        <v>0</v>
      </c>
      <c r="I2418" s="147">
        <v>1</v>
      </c>
      <c r="J2418" s="147">
        <v>1</v>
      </c>
      <c r="K2418" s="147">
        <v>0</v>
      </c>
      <c r="L2418" s="148">
        <v>0</v>
      </c>
      <c r="M2418" s="154">
        <f t="shared" ref="M2418" si="983">+C2418+E2418+G2418+I2418+K2418</f>
        <v>2</v>
      </c>
      <c r="N2418" s="155">
        <f t="shared" ref="N2418" si="984">+D2418+F2418+H2418+J2418+L2418</f>
        <v>5</v>
      </c>
      <c r="O2418" s="168">
        <f t="shared" ref="O2418" si="985">M2418/31</f>
        <v>6.4516129032258063E-2</v>
      </c>
      <c r="P2418" s="157">
        <f t="shared" ref="P2418" si="986">N2418/31</f>
        <v>0.16129032258064516</v>
      </c>
    </row>
    <row r="2419" spans="1:16">
      <c r="A2419" s="474"/>
      <c r="B2419" s="127">
        <v>11</v>
      </c>
      <c r="C2419" s="367">
        <v>5</v>
      </c>
      <c r="D2419" s="367">
        <v>0</v>
      </c>
      <c r="E2419" s="367">
        <v>0</v>
      </c>
      <c r="F2419" s="367">
        <v>0</v>
      </c>
      <c r="G2419" s="367">
        <v>0</v>
      </c>
      <c r="H2419" s="367">
        <v>0</v>
      </c>
      <c r="I2419" s="367">
        <v>0</v>
      </c>
      <c r="J2419" s="367">
        <v>0</v>
      </c>
      <c r="K2419" s="367">
        <v>0</v>
      </c>
      <c r="L2419" s="368">
        <v>0</v>
      </c>
      <c r="M2419" s="154">
        <f t="shared" si="980"/>
        <v>5</v>
      </c>
      <c r="N2419" s="155">
        <f t="shared" si="977"/>
        <v>0</v>
      </c>
      <c r="O2419" s="168">
        <f t="shared" si="981"/>
        <v>0.16129032258064516</v>
      </c>
      <c r="P2419" s="157">
        <f t="shared" si="982"/>
        <v>0</v>
      </c>
    </row>
    <row r="2420" spans="1:16" ht="14.25" thickBot="1">
      <c r="A2420" s="475"/>
      <c r="B2420" s="127">
        <v>12</v>
      </c>
      <c r="C2420" s="187">
        <v>2</v>
      </c>
      <c r="D2420" s="187">
        <v>3</v>
      </c>
      <c r="E2420" s="187">
        <v>0</v>
      </c>
      <c r="F2420" s="188">
        <v>0</v>
      </c>
      <c r="G2420" s="187">
        <v>0</v>
      </c>
      <c r="H2420" s="187">
        <v>0</v>
      </c>
      <c r="I2420" s="187">
        <v>0</v>
      </c>
      <c r="J2420" s="187">
        <v>0</v>
      </c>
      <c r="K2420" s="187">
        <v>0</v>
      </c>
      <c r="L2420" s="189">
        <v>0</v>
      </c>
      <c r="M2420" s="190">
        <f t="shared" si="980"/>
        <v>2</v>
      </c>
      <c r="N2420" s="191">
        <f t="shared" si="977"/>
        <v>3</v>
      </c>
      <c r="O2420" s="192">
        <f t="shared" si="981"/>
        <v>6.4516129032258063E-2</v>
      </c>
      <c r="P2420" s="193">
        <f t="shared" si="982"/>
        <v>9.6774193548387094E-2</v>
      </c>
    </row>
    <row r="2421" spans="1:16">
      <c r="A2421" s="473">
        <v>2020</v>
      </c>
      <c r="B2421" s="410">
        <v>1</v>
      </c>
      <c r="C2421" s="434">
        <v>5</v>
      </c>
      <c r="D2421" s="434">
        <v>7</v>
      </c>
      <c r="E2421" s="434">
        <v>1</v>
      </c>
      <c r="F2421" s="434">
        <v>1</v>
      </c>
      <c r="G2421" s="434">
        <v>0</v>
      </c>
      <c r="H2421" s="434">
        <v>0</v>
      </c>
      <c r="I2421" s="434">
        <v>0</v>
      </c>
      <c r="J2421" s="434">
        <v>0</v>
      </c>
      <c r="K2421" s="434">
        <v>0</v>
      </c>
      <c r="L2421" s="436">
        <v>0</v>
      </c>
      <c r="M2421" s="424">
        <f>+C2421+E2421+G2421+I2421+K2421</f>
        <v>6</v>
      </c>
      <c r="N2421" s="425">
        <f t="shared" ref="N2421:N2428" si="987">+D2421+F2421+H2421+J2421+L2421</f>
        <v>8</v>
      </c>
      <c r="O2421" s="430">
        <f t="shared" si="981"/>
        <v>0.19354838709677419</v>
      </c>
      <c r="P2421" s="427">
        <f t="shared" si="982"/>
        <v>0.25806451612903225</v>
      </c>
    </row>
    <row r="2422" spans="1:16">
      <c r="A2422" s="474"/>
      <c r="B2422" s="127">
        <v>2</v>
      </c>
      <c r="C2422" s="147">
        <v>4</v>
      </c>
      <c r="D2422" s="147">
        <v>7</v>
      </c>
      <c r="E2422" s="147">
        <v>0</v>
      </c>
      <c r="F2422" s="147">
        <v>0</v>
      </c>
      <c r="G2422" s="147">
        <v>0</v>
      </c>
      <c r="H2422" s="147">
        <v>0</v>
      </c>
      <c r="I2422" s="147">
        <v>1</v>
      </c>
      <c r="J2422" s="147">
        <v>1</v>
      </c>
      <c r="K2422" s="147">
        <v>0</v>
      </c>
      <c r="L2422" s="148">
        <v>0</v>
      </c>
      <c r="M2422" s="149">
        <f t="shared" ref="M2422:M2428" si="988">+C2422+E2422+G2422+I2422+K2422</f>
        <v>5</v>
      </c>
      <c r="N2422" s="150">
        <f t="shared" si="987"/>
        <v>8</v>
      </c>
      <c r="O2422" s="167">
        <f t="shared" si="981"/>
        <v>0.16129032258064516</v>
      </c>
      <c r="P2422" s="152">
        <f t="shared" si="982"/>
        <v>0.25806451612903225</v>
      </c>
    </row>
    <row r="2423" spans="1:16">
      <c r="A2423" s="474"/>
      <c r="B2423" s="127">
        <v>3</v>
      </c>
      <c r="C2423" s="147">
        <v>1</v>
      </c>
      <c r="D2423" s="147">
        <v>3</v>
      </c>
      <c r="E2423" s="147">
        <v>0</v>
      </c>
      <c r="F2423" s="147">
        <v>0</v>
      </c>
      <c r="G2423" s="147">
        <v>0</v>
      </c>
      <c r="H2423" s="147">
        <v>0</v>
      </c>
      <c r="I2423" s="147">
        <v>1</v>
      </c>
      <c r="J2423" s="147">
        <v>1</v>
      </c>
      <c r="K2423" s="147">
        <v>0</v>
      </c>
      <c r="L2423" s="148">
        <v>0</v>
      </c>
      <c r="M2423" s="149">
        <f t="shared" si="988"/>
        <v>2</v>
      </c>
      <c r="N2423" s="150">
        <f t="shared" si="987"/>
        <v>4</v>
      </c>
      <c r="O2423" s="167">
        <f t="shared" si="981"/>
        <v>6.4516129032258063E-2</v>
      </c>
      <c r="P2423" s="152">
        <f t="shared" si="982"/>
        <v>0.12903225806451613</v>
      </c>
    </row>
    <row r="2424" spans="1:16">
      <c r="A2424" s="474"/>
      <c r="B2424" s="127">
        <v>4</v>
      </c>
      <c r="C2424" s="147">
        <v>0</v>
      </c>
      <c r="D2424" s="147">
        <v>0</v>
      </c>
      <c r="E2424" s="147">
        <v>0</v>
      </c>
      <c r="F2424" s="147">
        <v>0</v>
      </c>
      <c r="G2424" s="147">
        <v>0</v>
      </c>
      <c r="H2424" s="147">
        <v>0</v>
      </c>
      <c r="I2424" s="147">
        <v>0</v>
      </c>
      <c r="J2424" s="147">
        <v>0</v>
      </c>
      <c r="K2424" s="147">
        <v>0</v>
      </c>
      <c r="L2424" s="148">
        <v>0</v>
      </c>
      <c r="M2424" s="154">
        <f t="shared" si="988"/>
        <v>0</v>
      </c>
      <c r="N2424" s="155">
        <f t="shared" si="987"/>
        <v>0</v>
      </c>
      <c r="O2424" s="168">
        <f t="shared" si="981"/>
        <v>0</v>
      </c>
      <c r="P2424" s="157">
        <f t="shared" si="982"/>
        <v>0</v>
      </c>
    </row>
    <row r="2425" spans="1:16">
      <c r="A2425" s="474"/>
      <c r="B2425" s="127">
        <v>5</v>
      </c>
      <c r="C2425" s="147">
        <v>0</v>
      </c>
      <c r="D2425" s="147">
        <v>0</v>
      </c>
      <c r="E2425" s="147">
        <v>0</v>
      </c>
      <c r="F2425" s="147">
        <v>0</v>
      </c>
      <c r="G2425" s="147">
        <v>0</v>
      </c>
      <c r="H2425" s="147">
        <v>0</v>
      </c>
      <c r="I2425" s="147">
        <v>0</v>
      </c>
      <c r="J2425" s="147">
        <v>0</v>
      </c>
      <c r="K2425" s="147">
        <v>0</v>
      </c>
      <c r="L2425" s="148">
        <v>0</v>
      </c>
      <c r="M2425" s="154">
        <f t="shared" si="988"/>
        <v>0</v>
      </c>
      <c r="N2425" s="155">
        <f t="shared" si="987"/>
        <v>0</v>
      </c>
      <c r="O2425" s="168">
        <f t="shared" si="981"/>
        <v>0</v>
      </c>
      <c r="P2425" s="157">
        <f t="shared" si="982"/>
        <v>0</v>
      </c>
    </row>
    <row r="2426" spans="1:16">
      <c r="A2426" s="474"/>
      <c r="B2426" s="127">
        <v>6</v>
      </c>
      <c r="C2426" s="147">
        <f>集計用!C104</f>
        <v>0</v>
      </c>
      <c r="D2426" s="147">
        <f>集計用!S104</f>
        <v>0</v>
      </c>
      <c r="E2426" s="147">
        <f>集計用!E104</f>
        <v>0</v>
      </c>
      <c r="F2426" s="147">
        <f>集計用!U104</f>
        <v>0</v>
      </c>
      <c r="G2426" s="147">
        <f>集計用!G104</f>
        <v>0</v>
      </c>
      <c r="H2426" s="147">
        <f>集計用!W104</f>
        <v>0</v>
      </c>
      <c r="I2426" s="147">
        <f>集計用!I104</f>
        <v>0</v>
      </c>
      <c r="J2426" s="147">
        <f>集計用!Y104</f>
        <v>0</v>
      </c>
      <c r="K2426" s="147">
        <f>集計用!K104</f>
        <v>0</v>
      </c>
      <c r="L2426" s="148">
        <f>集計用!AA104</f>
        <v>0</v>
      </c>
      <c r="M2426" s="154">
        <f t="shared" si="988"/>
        <v>0</v>
      </c>
      <c r="N2426" s="155">
        <f t="shared" si="987"/>
        <v>0</v>
      </c>
      <c r="O2426" s="168">
        <f>M2426/30</f>
        <v>0</v>
      </c>
      <c r="P2426" s="157">
        <f>N2426/30</f>
        <v>0</v>
      </c>
    </row>
    <row r="2427" spans="1:16">
      <c r="A2427" s="474"/>
      <c r="B2427" s="127">
        <v>7</v>
      </c>
      <c r="C2427" s="158"/>
      <c r="D2427" s="158"/>
      <c r="E2427" s="158"/>
      <c r="F2427" s="158"/>
      <c r="G2427" s="158"/>
      <c r="H2427" s="158"/>
      <c r="I2427" s="158"/>
      <c r="J2427" s="158"/>
      <c r="K2427" s="158"/>
      <c r="L2427" s="158"/>
      <c r="M2427" s="154">
        <f t="shared" si="988"/>
        <v>0</v>
      </c>
      <c r="N2427" s="155">
        <f t="shared" si="987"/>
        <v>0</v>
      </c>
      <c r="O2427" s="168">
        <f t="shared" ref="O2427:O2428" si="989">M2427/31</f>
        <v>0</v>
      </c>
      <c r="P2427" s="157">
        <f t="shared" ref="P2427:P2428" si="990">N2427/31</f>
        <v>0</v>
      </c>
    </row>
    <row r="2428" spans="1:16">
      <c r="A2428" s="474"/>
      <c r="B2428" s="127">
        <v>8</v>
      </c>
      <c r="C2428" s="158"/>
      <c r="D2428" s="158"/>
      <c r="E2428" s="158"/>
      <c r="F2428" s="158"/>
      <c r="G2428" s="158"/>
      <c r="H2428" s="158"/>
      <c r="I2428" s="158"/>
      <c r="J2428" s="158"/>
      <c r="K2428" s="158"/>
      <c r="L2428" s="159"/>
      <c r="M2428" s="177">
        <f t="shared" si="988"/>
        <v>0</v>
      </c>
      <c r="N2428" s="158">
        <f t="shared" si="987"/>
        <v>0</v>
      </c>
      <c r="O2428" s="168">
        <f t="shared" si="989"/>
        <v>0</v>
      </c>
      <c r="P2428" s="157">
        <f t="shared" si="990"/>
        <v>0</v>
      </c>
    </row>
    <row r="2429" spans="1:16">
      <c r="A2429" s="474"/>
      <c r="B2429" s="127">
        <v>9</v>
      </c>
      <c r="C2429" s="147"/>
      <c r="D2429" s="147"/>
      <c r="E2429" s="147"/>
      <c r="F2429" s="147"/>
      <c r="G2429" s="147"/>
      <c r="H2429" s="147"/>
      <c r="I2429" s="147"/>
      <c r="J2429" s="147"/>
      <c r="K2429" s="147"/>
      <c r="L2429" s="147"/>
      <c r="M2429" s="177">
        <f t="shared" ref="M2429" si="991">+C2429+E2429+G2429+I2429+K2429</f>
        <v>0</v>
      </c>
      <c r="N2429" s="158">
        <f t="shared" ref="N2429" si="992">+D2429+F2429+H2429+J2429+L2429</f>
        <v>0</v>
      </c>
      <c r="O2429" s="168">
        <f>M2429/30</f>
        <v>0</v>
      </c>
      <c r="P2429" s="157">
        <f>N2429/30</f>
        <v>0</v>
      </c>
    </row>
    <row r="2430" spans="1:16">
      <c r="A2430" s="474"/>
      <c r="B2430" s="127">
        <v>10</v>
      </c>
      <c r="C2430" s="147"/>
      <c r="D2430" s="147"/>
      <c r="E2430" s="147"/>
      <c r="F2430" s="181"/>
      <c r="G2430" s="147"/>
      <c r="H2430" s="147"/>
      <c r="I2430" s="147"/>
      <c r="J2430" s="147"/>
      <c r="K2430" s="147"/>
      <c r="L2430" s="148"/>
      <c r="M2430" s="154">
        <f t="shared" ref="M2430:M2432" si="993">+C2430+E2430+G2430+I2430+K2430</f>
        <v>0</v>
      </c>
      <c r="N2430" s="155">
        <f t="shared" ref="N2430:N2432" si="994">+D2430+F2430+H2430+J2430+L2430</f>
        <v>0</v>
      </c>
      <c r="O2430" s="168">
        <f t="shared" ref="O2430:O2432" si="995">M2430/31</f>
        <v>0</v>
      </c>
      <c r="P2430" s="157">
        <f t="shared" ref="P2430:P2432" si="996">N2430/31</f>
        <v>0</v>
      </c>
    </row>
    <row r="2431" spans="1:16">
      <c r="A2431" s="474"/>
      <c r="B2431" s="127">
        <v>11</v>
      </c>
      <c r="C2431" s="367"/>
      <c r="D2431" s="367"/>
      <c r="E2431" s="367"/>
      <c r="F2431" s="367"/>
      <c r="G2431" s="367"/>
      <c r="H2431" s="367"/>
      <c r="I2431" s="367"/>
      <c r="J2431" s="367"/>
      <c r="K2431" s="367"/>
      <c r="L2431" s="368"/>
      <c r="M2431" s="154">
        <f t="shared" si="993"/>
        <v>0</v>
      </c>
      <c r="N2431" s="155">
        <f t="shared" si="994"/>
        <v>0</v>
      </c>
      <c r="O2431" s="168">
        <f t="shared" si="995"/>
        <v>0</v>
      </c>
      <c r="P2431" s="157">
        <f t="shared" si="996"/>
        <v>0</v>
      </c>
    </row>
    <row r="2432" spans="1:16" ht="14.25" thickBot="1">
      <c r="A2432" s="475"/>
      <c r="B2432" s="127">
        <v>12</v>
      </c>
      <c r="C2432" s="187"/>
      <c r="D2432" s="187"/>
      <c r="E2432" s="187"/>
      <c r="F2432" s="188"/>
      <c r="G2432" s="187"/>
      <c r="H2432" s="187"/>
      <c r="I2432" s="187"/>
      <c r="J2432" s="187"/>
      <c r="K2432" s="187"/>
      <c r="L2432" s="189"/>
      <c r="M2432" s="190">
        <f t="shared" si="993"/>
        <v>0</v>
      </c>
      <c r="N2432" s="191">
        <f t="shared" si="994"/>
        <v>0</v>
      </c>
      <c r="O2432" s="192">
        <f t="shared" si="995"/>
        <v>0</v>
      </c>
      <c r="P2432" s="193">
        <f t="shared" si="996"/>
        <v>0</v>
      </c>
    </row>
    <row r="2433" spans="1:16" ht="14.25" thickBot="1">
      <c r="A2433" s="180"/>
      <c r="B2433" s="160" t="s">
        <v>5</v>
      </c>
      <c r="C2433" s="161">
        <f>SUM(C2409:C2432)</f>
        <v>26</v>
      </c>
      <c r="D2433" s="161">
        <f>SUM(D2409:D2432)</f>
        <v>34</v>
      </c>
      <c r="E2433" s="161">
        <f t="shared" ref="E2433:L2433" si="997">SUM(E2409:E2432)</f>
        <v>2</v>
      </c>
      <c r="F2433" s="161">
        <f t="shared" si="997"/>
        <v>2</v>
      </c>
      <c r="G2433" s="161">
        <f t="shared" si="997"/>
        <v>1</v>
      </c>
      <c r="H2433" s="161">
        <f t="shared" si="997"/>
        <v>5</v>
      </c>
      <c r="I2433" s="161">
        <f t="shared" si="997"/>
        <v>4</v>
      </c>
      <c r="J2433" s="161">
        <f t="shared" si="997"/>
        <v>4</v>
      </c>
      <c r="K2433" s="161">
        <f t="shared" si="997"/>
        <v>0</v>
      </c>
      <c r="L2433" s="161">
        <f t="shared" si="997"/>
        <v>0</v>
      </c>
      <c r="M2433" s="162">
        <f>SUM(M2409:M2432)</f>
        <v>33</v>
      </c>
      <c r="N2433" s="162">
        <f t="shared" ref="N2433:O2433" si="998">SUM(N2409:N2432)</f>
        <v>45</v>
      </c>
      <c r="O2433" s="162">
        <f t="shared" si="998"/>
        <v>1.0645161290322582</v>
      </c>
      <c r="P2433" s="161">
        <f>SUM(P2409:P2432)</f>
        <v>1.4526881720430107</v>
      </c>
    </row>
    <row r="2435" spans="1:16">
      <c r="B2435" s="467" t="s">
        <v>214</v>
      </c>
      <c r="C2435" s="469" t="s">
        <v>29</v>
      </c>
      <c r="D2435" s="470"/>
      <c r="E2435" s="469" t="s">
        <v>30</v>
      </c>
      <c r="F2435" s="470"/>
      <c r="G2435" s="469" t="s">
        <v>31</v>
      </c>
      <c r="H2435" s="470"/>
      <c r="I2435" s="469" t="s">
        <v>58</v>
      </c>
      <c r="J2435" s="470"/>
      <c r="K2435" s="469" t="s">
        <v>57</v>
      </c>
      <c r="L2435" s="471"/>
      <c r="M2435" s="470" t="s">
        <v>5</v>
      </c>
      <c r="N2435" s="472"/>
      <c r="O2435" s="472" t="s">
        <v>33</v>
      </c>
      <c r="P2435" s="472"/>
    </row>
    <row r="2436" spans="1:16" ht="14.25" thickBot="1">
      <c r="B2436" s="468"/>
      <c r="C2436" s="13" t="s">
        <v>34</v>
      </c>
      <c r="D2436" s="13" t="s">
        <v>35</v>
      </c>
      <c r="E2436" s="13" t="s">
        <v>34</v>
      </c>
      <c r="F2436" s="13" t="s">
        <v>35</v>
      </c>
      <c r="G2436" s="13" t="s">
        <v>34</v>
      </c>
      <c r="H2436" s="13" t="s">
        <v>35</v>
      </c>
      <c r="I2436" s="13" t="s">
        <v>59</v>
      </c>
      <c r="J2436" s="13" t="s">
        <v>60</v>
      </c>
      <c r="K2436" s="13" t="s">
        <v>34</v>
      </c>
      <c r="L2436" s="14" t="s">
        <v>35</v>
      </c>
      <c r="M2436" s="15" t="s">
        <v>34</v>
      </c>
      <c r="N2436" s="13" t="s">
        <v>35</v>
      </c>
      <c r="O2436" s="163" t="s">
        <v>34</v>
      </c>
      <c r="P2436" s="163" t="s">
        <v>35</v>
      </c>
    </row>
    <row r="2437" spans="1:16">
      <c r="A2437" s="473">
        <v>2019</v>
      </c>
      <c r="B2437" s="410">
        <v>1</v>
      </c>
      <c r="C2437" s="422">
        <v>0</v>
      </c>
      <c r="D2437" s="422">
        <v>0</v>
      </c>
      <c r="E2437" s="422">
        <v>0</v>
      </c>
      <c r="F2437" s="422">
        <v>0</v>
      </c>
      <c r="G2437" s="422">
        <v>0</v>
      </c>
      <c r="H2437" s="422">
        <v>0</v>
      </c>
      <c r="I2437" s="422">
        <v>0</v>
      </c>
      <c r="J2437" s="422">
        <v>0</v>
      </c>
      <c r="K2437" s="422">
        <v>0</v>
      </c>
      <c r="L2437" s="422">
        <v>0</v>
      </c>
      <c r="M2437" s="424">
        <f>+C2437+E2437+G2437+I2437+K2437</f>
        <v>0</v>
      </c>
      <c r="N2437" s="425">
        <f t="shared" ref="N2437:N2444" si="999">+D2437+F2437+H2437+J2437+L2437</f>
        <v>0</v>
      </c>
      <c r="O2437" s="430">
        <f t="shared" ref="O2437:O2441" si="1000">M2437/31</f>
        <v>0</v>
      </c>
      <c r="P2437" s="427">
        <f t="shared" ref="P2437:P2441" si="1001">N2437/31</f>
        <v>0</v>
      </c>
    </row>
    <row r="2438" spans="1:16">
      <c r="A2438" s="474"/>
      <c r="B2438" s="127">
        <v>2</v>
      </c>
      <c r="C2438" s="147">
        <v>0</v>
      </c>
      <c r="D2438" s="147">
        <v>0</v>
      </c>
      <c r="E2438" s="147">
        <v>0</v>
      </c>
      <c r="F2438" s="147">
        <v>0</v>
      </c>
      <c r="G2438" s="147">
        <v>0</v>
      </c>
      <c r="H2438" s="147">
        <v>0</v>
      </c>
      <c r="I2438" s="147">
        <v>0</v>
      </c>
      <c r="J2438" s="147">
        <v>0</v>
      </c>
      <c r="K2438" s="147">
        <v>0</v>
      </c>
      <c r="L2438" s="174">
        <v>0</v>
      </c>
      <c r="M2438" s="149">
        <f t="shared" ref="M2438:M2444" si="1002">+C2438+E2438+G2438+I2438+K2438</f>
        <v>0</v>
      </c>
      <c r="N2438" s="150">
        <f t="shared" si="999"/>
        <v>0</v>
      </c>
      <c r="O2438" s="167">
        <f t="shared" si="1000"/>
        <v>0</v>
      </c>
      <c r="P2438" s="152">
        <f t="shared" si="1001"/>
        <v>0</v>
      </c>
    </row>
    <row r="2439" spans="1:16">
      <c r="A2439" s="474"/>
      <c r="B2439" s="127">
        <v>3</v>
      </c>
      <c r="C2439" s="147">
        <v>0</v>
      </c>
      <c r="D2439" s="147">
        <v>0</v>
      </c>
      <c r="E2439" s="147">
        <v>0</v>
      </c>
      <c r="F2439" s="147">
        <v>0</v>
      </c>
      <c r="G2439" s="147">
        <v>0</v>
      </c>
      <c r="H2439" s="147">
        <v>0</v>
      </c>
      <c r="I2439" s="147">
        <v>1</v>
      </c>
      <c r="J2439" s="147">
        <v>2</v>
      </c>
      <c r="K2439" s="147">
        <v>0</v>
      </c>
      <c r="L2439" s="174">
        <v>0</v>
      </c>
      <c r="M2439" s="149">
        <f t="shared" si="1002"/>
        <v>1</v>
      </c>
      <c r="N2439" s="150">
        <f t="shared" si="999"/>
        <v>2</v>
      </c>
      <c r="O2439" s="167">
        <f t="shared" si="1000"/>
        <v>3.2258064516129031E-2</v>
      </c>
      <c r="P2439" s="152">
        <f t="shared" si="1001"/>
        <v>6.4516129032258063E-2</v>
      </c>
    </row>
    <row r="2440" spans="1:16">
      <c r="A2440" s="474"/>
      <c r="B2440" s="127">
        <v>4</v>
      </c>
      <c r="C2440" s="158">
        <v>1</v>
      </c>
      <c r="D2440" s="158">
        <v>1</v>
      </c>
      <c r="E2440" s="158">
        <v>0</v>
      </c>
      <c r="F2440" s="158">
        <v>0</v>
      </c>
      <c r="G2440" s="158">
        <v>1</v>
      </c>
      <c r="H2440" s="158">
        <v>1</v>
      </c>
      <c r="I2440" s="158">
        <v>1</v>
      </c>
      <c r="J2440" s="158">
        <v>2</v>
      </c>
      <c r="K2440" s="158">
        <v>0</v>
      </c>
      <c r="L2440" s="159">
        <v>0</v>
      </c>
      <c r="M2440" s="154">
        <f t="shared" si="1002"/>
        <v>3</v>
      </c>
      <c r="N2440" s="155">
        <f t="shared" si="999"/>
        <v>4</v>
      </c>
      <c r="O2440" s="168">
        <f t="shared" si="1000"/>
        <v>9.6774193548387094E-2</v>
      </c>
      <c r="P2440" s="157">
        <f t="shared" si="1001"/>
        <v>0.12903225806451613</v>
      </c>
    </row>
    <row r="2441" spans="1:16">
      <c r="A2441" s="474"/>
      <c r="B2441" s="127">
        <v>5</v>
      </c>
      <c r="C2441" s="158">
        <v>0</v>
      </c>
      <c r="D2441" s="158">
        <v>0</v>
      </c>
      <c r="E2441" s="158">
        <v>0</v>
      </c>
      <c r="F2441" s="158">
        <v>0</v>
      </c>
      <c r="G2441" s="158">
        <v>0</v>
      </c>
      <c r="H2441" s="158">
        <v>0</v>
      </c>
      <c r="I2441" s="158">
        <v>1</v>
      </c>
      <c r="J2441" s="158">
        <v>2</v>
      </c>
      <c r="K2441" s="158">
        <v>0</v>
      </c>
      <c r="L2441" s="159">
        <v>0</v>
      </c>
      <c r="M2441" s="154">
        <f t="shared" si="1002"/>
        <v>1</v>
      </c>
      <c r="N2441" s="155">
        <f t="shared" si="999"/>
        <v>2</v>
      </c>
      <c r="O2441" s="168">
        <f t="shared" si="1000"/>
        <v>3.2258064516129031E-2</v>
      </c>
      <c r="P2441" s="157">
        <f t="shared" si="1001"/>
        <v>6.4516129032258063E-2</v>
      </c>
    </row>
    <row r="2442" spans="1:16">
      <c r="A2442" s="474"/>
      <c r="B2442" s="127">
        <v>6</v>
      </c>
      <c r="C2442" s="158">
        <v>1</v>
      </c>
      <c r="D2442" s="158">
        <v>0</v>
      </c>
      <c r="E2442" s="158">
        <v>0</v>
      </c>
      <c r="F2442" s="158">
        <v>0</v>
      </c>
      <c r="G2442" s="158">
        <v>0</v>
      </c>
      <c r="H2442" s="158">
        <v>0</v>
      </c>
      <c r="I2442" s="158">
        <v>0</v>
      </c>
      <c r="J2442" s="158">
        <v>0</v>
      </c>
      <c r="K2442" s="158">
        <v>0</v>
      </c>
      <c r="L2442" s="158">
        <v>0</v>
      </c>
      <c r="M2442" s="154">
        <f t="shared" si="1002"/>
        <v>1</v>
      </c>
      <c r="N2442" s="155">
        <f t="shared" si="999"/>
        <v>0</v>
      </c>
      <c r="O2442" s="168">
        <f>M2442/30</f>
        <v>3.3333333333333333E-2</v>
      </c>
      <c r="P2442" s="157">
        <f>N2442/30</f>
        <v>0</v>
      </c>
    </row>
    <row r="2443" spans="1:16">
      <c r="A2443" s="474"/>
      <c r="B2443" s="127">
        <v>7</v>
      </c>
      <c r="C2443" s="158">
        <v>1</v>
      </c>
      <c r="D2443" s="158">
        <v>0</v>
      </c>
      <c r="E2443" s="158">
        <v>0</v>
      </c>
      <c r="F2443" s="158">
        <v>0</v>
      </c>
      <c r="G2443" s="158">
        <v>2</v>
      </c>
      <c r="H2443" s="158">
        <v>0</v>
      </c>
      <c r="I2443" s="158">
        <v>0</v>
      </c>
      <c r="J2443" s="158">
        <v>0</v>
      </c>
      <c r="K2443" s="158">
        <v>0</v>
      </c>
      <c r="L2443" s="158">
        <v>0</v>
      </c>
      <c r="M2443" s="154">
        <f t="shared" si="1002"/>
        <v>3</v>
      </c>
      <c r="N2443" s="155">
        <f t="shared" si="999"/>
        <v>0</v>
      </c>
      <c r="O2443" s="168">
        <f t="shared" ref="O2443:O2444" si="1003">M2443/31</f>
        <v>9.6774193548387094E-2</v>
      </c>
      <c r="P2443" s="157">
        <f t="shared" ref="P2443:P2444" si="1004">N2443/31</f>
        <v>0</v>
      </c>
    </row>
    <row r="2444" spans="1:16">
      <c r="A2444" s="474"/>
      <c r="B2444" s="127">
        <v>8</v>
      </c>
      <c r="C2444" s="158">
        <v>1</v>
      </c>
      <c r="D2444" s="158">
        <v>3</v>
      </c>
      <c r="E2444" s="158">
        <v>0</v>
      </c>
      <c r="F2444" s="158">
        <v>0</v>
      </c>
      <c r="G2444" s="158">
        <v>0</v>
      </c>
      <c r="H2444" s="158">
        <v>3</v>
      </c>
      <c r="I2444" s="158">
        <v>0</v>
      </c>
      <c r="J2444" s="158">
        <v>0</v>
      </c>
      <c r="K2444" s="158">
        <v>0</v>
      </c>
      <c r="L2444" s="159">
        <v>0</v>
      </c>
      <c r="M2444" s="177">
        <f t="shared" si="1002"/>
        <v>1</v>
      </c>
      <c r="N2444" s="158">
        <f t="shared" si="999"/>
        <v>6</v>
      </c>
      <c r="O2444" s="168">
        <f t="shared" si="1003"/>
        <v>3.2258064516129031E-2</v>
      </c>
      <c r="P2444" s="157">
        <f t="shared" si="1004"/>
        <v>0.19354838709677419</v>
      </c>
    </row>
    <row r="2445" spans="1:16">
      <c r="A2445" s="474"/>
      <c r="B2445" s="127">
        <v>9</v>
      </c>
      <c r="C2445" s="147">
        <v>1</v>
      </c>
      <c r="D2445" s="147">
        <v>0</v>
      </c>
      <c r="E2445" s="147">
        <v>0</v>
      </c>
      <c r="F2445" s="147">
        <v>0</v>
      </c>
      <c r="G2445" s="147">
        <v>1</v>
      </c>
      <c r="H2445" s="147">
        <v>1</v>
      </c>
      <c r="I2445" s="147">
        <v>0</v>
      </c>
      <c r="J2445" s="147">
        <v>0</v>
      </c>
      <c r="K2445" s="147">
        <v>0</v>
      </c>
      <c r="L2445" s="147">
        <v>0</v>
      </c>
      <c r="M2445" s="177">
        <v>2</v>
      </c>
      <c r="N2445" s="158">
        <v>1</v>
      </c>
      <c r="O2445" s="168">
        <v>6.4516129032258063E-2</v>
      </c>
      <c r="P2445" s="157">
        <v>3.2258064516129031E-2</v>
      </c>
    </row>
    <row r="2446" spans="1:16">
      <c r="A2446" s="474"/>
      <c r="B2446" s="127">
        <v>10</v>
      </c>
      <c r="C2446" s="147">
        <v>1</v>
      </c>
      <c r="D2446" s="147">
        <v>2</v>
      </c>
      <c r="E2446" s="147">
        <v>2</v>
      </c>
      <c r="F2446" s="181">
        <v>5</v>
      </c>
      <c r="G2446" s="147">
        <v>0</v>
      </c>
      <c r="H2446" s="147">
        <v>0</v>
      </c>
      <c r="I2446" s="147">
        <v>0</v>
      </c>
      <c r="J2446" s="147">
        <v>0</v>
      </c>
      <c r="K2446" s="147">
        <v>0</v>
      </c>
      <c r="L2446" s="148">
        <v>0</v>
      </c>
      <c r="M2446" s="154">
        <f t="shared" ref="M2446:M2448" si="1005">+C2446+E2446+G2446+I2446+K2446</f>
        <v>3</v>
      </c>
      <c r="N2446" s="155">
        <f t="shared" ref="N2446:N2448" si="1006">+D2446+F2446+H2446+J2446+L2446</f>
        <v>7</v>
      </c>
      <c r="O2446" s="168">
        <f t="shared" ref="O2446:O2448" si="1007">M2446/31</f>
        <v>9.6774193548387094E-2</v>
      </c>
      <c r="P2446" s="157">
        <f t="shared" ref="P2446:P2448" si="1008">N2446/31</f>
        <v>0.22580645161290322</v>
      </c>
    </row>
    <row r="2447" spans="1:16">
      <c r="A2447" s="474"/>
      <c r="B2447" s="127">
        <v>11</v>
      </c>
      <c r="C2447" s="367">
        <v>0</v>
      </c>
      <c r="D2447" s="367">
        <v>8</v>
      </c>
      <c r="E2447" s="367">
        <v>0</v>
      </c>
      <c r="F2447" s="367">
        <v>0</v>
      </c>
      <c r="G2447" s="367">
        <v>0</v>
      </c>
      <c r="H2447" s="367">
        <v>0</v>
      </c>
      <c r="I2447" s="367">
        <v>1</v>
      </c>
      <c r="J2447" s="367">
        <v>1</v>
      </c>
      <c r="K2447" s="367">
        <v>0</v>
      </c>
      <c r="L2447" s="368">
        <v>0</v>
      </c>
      <c r="M2447" s="154">
        <f t="shared" si="1005"/>
        <v>1</v>
      </c>
      <c r="N2447" s="155">
        <f t="shared" si="1006"/>
        <v>9</v>
      </c>
      <c r="O2447" s="168">
        <f t="shared" si="1007"/>
        <v>3.2258064516129031E-2</v>
      </c>
      <c r="P2447" s="157">
        <f t="shared" si="1008"/>
        <v>0.29032258064516131</v>
      </c>
    </row>
    <row r="2448" spans="1:16" ht="14.25" thickBot="1">
      <c r="A2448" s="475"/>
      <c r="B2448" s="127">
        <v>12</v>
      </c>
      <c r="C2448" s="187">
        <v>3</v>
      </c>
      <c r="D2448" s="187">
        <v>4</v>
      </c>
      <c r="E2448" s="187">
        <v>0</v>
      </c>
      <c r="F2448" s="188">
        <v>0</v>
      </c>
      <c r="G2448" s="187">
        <v>0</v>
      </c>
      <c r="H2448" s="187">
        <v>0</v>
      </c>
      <c r="I2448" s="187">
        <v>1</v>
      </c>
      <c r="J2448" s="187">
        <v>1</v>
      </c>
      <c r="K2448" s="187">
        <v>0</v>
      </c>
      <c r="L2448" s="189">
        <v>0</v>
      </c>
      <c r="M2448" s="190">
        <f t="shared" si="1005"/>
        <v>4</v>
      </c>
      <c r="N2448" s="191">
        <f t="shared" si="1006"/>
        <v>5</v>
      </c>
      <c r="O2448" s="192">
        <f t="shared" si="1007"/>
        <v>0.12903225806451613</v>
      </c>
      <c r="P2448" s="193">
        <f t="shared" si="1008"/>
        <v>0.16129032258064516</v>
      </c>
    </row>
    <row r="2449" spans="1:16">
      <c r="A2449" s="473">
        <v>2020</v>
      </c>
      <c r="B2449" s="410">
        <v>1</v>
      </c>
      <c r="C2449" s="434">
        <v>4</v>
      </c>
      <c r="D2449" s="434">
        <v>2</v>
      </c>
      <c r="E2449" s="434">
        <v>0</v>
      </c>
      <c r="F2449" s="434">
        <v>0</v>
      </c>
      <c r="G2449" s="434">
        <v>2</v>
      </c>
      <c r="H2449" s="434">
        <v>3</v>
      </c>
      <c r="I2449" s="434">
        <v>1</v>
      </c>
      <c r="J2449" s="434">
        <v>1</v>
      </c>
      <c r="K2449" s="434">
        <v>0</v>
      </c>
      <c r="L2449" s="436">
        <v>0</v>
      </c>
      <c r="M2449" s="424">
        <f>+C2449+E2449+G2449+I2449+K2449</f>
        <v>7</v>
      </c>
      <c r="N2449" s="425">
        <f t="shared" ref="N2449:N2460" si="1009">+D2449+F2449+H2449+J2449+L2449</f>
        <v>6</v>
      </c>
      <c r="O2449" s="430">
        <f t="shared" ref="O2449:O2453" si="1010">M2449/31</f>
        <v>0.22580645161290322</v>
      </c>
      <c r="P2449" s="427">
        <f t="shared" ref="P2449:P2453" si="1011">N2449/31</f>
        <v>0.19354838709677419</v>
      </c>
    </row>
    <row r="2450" spans="1:16">
      <c r="A2450" s="474"/>
      <c r="B2450" s="127">
        <v>2</v>
      </c>
      <c r="C2450" s="147">
        <v>1</v>
      </c>
      <c r="D2450" s="147">
        <v>3</v>
      </c>
      <c r="E2450" s="147">
        <v>0</v>
      </c>
      <c r="F2450" s="147">
        <v>0</v>
      </c>
      <c r="G2450" s="147">
        <v>0</v>
      </c>
      <c r="H2450" s="147">
        <v>0</v>
      </c>
      <c r="I2450" s="147">
        <v>0</v>
      </c>
      <c r="J2450" s="147">
        <v>0</v>
      </c>
      <c r="K2450" s="147">
        <v>0</v>
      </c>
      <c r="L2450" s="148">
        <v>0</v>
      </c>
      <c r="M2450" s="149">
        <f t="shared" ref="M2450:M2460" si="1012">+C2450+E2450+G2450+I2450+K2450</f>
        <v>1</v>
      </c>
      <c r="N2450" s="150">
        <f t="shared" si="1009"/>
        <v>3</v>
      </c>
      <c r="O2450" s="167">
        <f t="shared" si="1010"/>
        <v>3.2258064516129031E-2</v>
      </c>
      <c r="P2450" s="152">
        <f t="shared" si="1011"/>
        <v>9.6774193548387094E-2</v>
      </c>
    </row>
    <row r="2451" spans="1:16">
      <c r="A2451" s="474"/>
      <c r="B2451" s="127">
        <v>3</v>
      </c>
      <c r="C2451" s="147">
        <v>0</v>
      </c>
      <c r="D2451" s="147">
        <v>0</v>
      </c>
      <c r="E2451" s="147">
        <v>0</v>
      </c>
      <c r="F2451" s="147">
        <v>0</v>
      </c>
      <c r="G2451" s="147">
        <v>0</v>
      </c>
      <c r="H2451" s="147">
        <v>0</v>
      </c>
      <c r="I2451" s="147">
        <v>0</v>
      </c>
      <c r="J2451" s="147">
        <v>0</v>
      </c>
      <c r="K2451" s="147">
        <v>0</v>
      </c>
      <c r="L2451" s="148">
        <v>0</v>
      </c>
      <c r="M2451" s="149">
        <f t="shared" si="1012"/>
        <v>0</v>
      </c>
      <c r="N2451" s="150">
        <f t="shared" si="1009"/>
        <v>0</v>
      </c>
      <c r="O2451" s="167">
        <f t="shared" si="1010"/>
        <v>0</v>
      </c>
      <c r="P2451" s="152">
        <f t="shared" si="1011"/>
        <v>0</v>
      </c>
    </row>
    <row r="2452" spans="1:16">
      <c r="A2452" s="474"/>
      <c r="B2452" s="127">
        <v>4</v>
      </c>
      <c r="C2452" s="147">
        <v>0</v>
      </c>
      <c r="D2452" s="147">
        <v>0</v>
      </c>
      <c r="E2452" s="147">
        <v>0</v>
      </c>
      <c r="F2452" s="147">
        <v>0</v>
      </c>
      <c r="G2452" s="147">
        <v>0</v>
      </c>
      <c r="H2452" s="147">
        <v>0</v>
      </c>
      <c r="I2452" s="147">
        <v>0</v>
      </c>
      <c r="J2452" s="147">
        <v>0</v>
      </c>
      <c r="K2452" s="147">
        <v>0</v>
      </c>
      <c r="L2452" s="148">
        <v>0</v>
      </c>
      <c r="M2452" s="154">
        <f t="shared" si="1012"/>
        <v>0</v>
      </c>
      <c r="N2452" s="155">
        <f t="shared" si="1009"/>
        <v>0</v>
      </c>
      <c r="O2452" s="168">
        <f t="shared" si="1010"/>
        <v>0</v>
      </c>
      <c r="P2452" s="157">
        <f t="shared" si="1011"/>
        <v>0</v>
      </c>
    </row>
    <row r="2453" spans="1:16">
      <c r="A2453" s="474"/>
      <c r="B2453" s="127">
        <v>5</v>
      </c>
      <c r="C2453" s="147">
        <v>0</v>
      </c>
      <c r="D2453" s="147">
        <v>0</v>
      </c>
      <c r="E2453" s="147">
        <v>0</v>
      </c>
      <c r="F2453" s="147">
        <v>0</v>
      </c>
      <c r="G2453" s="147">
        <v>0</v>
      </c>
      <c r="H2453" s="147">
        <v>0</v>
      </c>
      <c r="I2453" s="147">
        <v>0</v>
      </c>
      <c r="J2453" s="147">
        <v>0</v>
      </c>
      <c r="K2453" s="147">
        <v>0</v>
      </c>
      <c r="L2453" s="148">
        <v>0</v>
      </c>
      <c r="M2453" s="154">
        <f t="shared" si="1012"/>
        <v>0</v>
      </c>
      <c r="N2453" s="155">
        <f t="shared" si="1009"/>
        <v>0</v>
      </c>
      <c r="O2453" s="168">
        <f t="shared" si="1010"/>
        <v>0</v>
      </c>
      <c r="P2453" s="157">
        <f t="shared" si="1011"/>
        <v>0</v>
      </c>
    </row>
    <row r="2454" spans="1:16">
      <c r="A2454" s="474"/>
      <c r="B2454" s="127">
        <v>6</v>
      </c>
      <c r="C2454" s="147">
        <f>集計用!C106</f>
        <v>0</v>
      </c>
      <c r="D2454" s="147">
        <f>集計用!S106</f>
        <v>0</v>
      </c>
      <c r="E2454" s="147">
        <f>集計用!E106</f>
        <v>0</v>
      </c>
      <c r="F2454" s="147">
        <f>集計用!U106</f>
        <v>0</v>
      </c>
      <c r="G2454" s="147">
        <f>集計用!G106</f>
        <v>0</v>
      </c>
      <c r="H2454" s="147">
        <f>集計用!W106</f>
        <v>0</v>
      </c>
      <c r="I2454" s="147">
        <f>集計用!I106</f>
        <v>0</v>
      </c>
      <c r="J2454" s="147">
        <f>集計用!Y106</f>
        <v>0</v>
      </c>
      <c r="K2454" s="147">
        <f>集計用!K106</f>
        <v>0</v>
      </c>
      <c r="L2454" s="148">
        <f>集計用!AA106</f>
        <v>0</v>
      </c>
      <c r="M2454" s="154">
        <f t="shared" si="1012"/>
        <v>0</v>
      </c>
      <c r="N2454" s="155">
        <f t="shared" si="1009"/>
        <v>0</v>
      </c>
      <c r="O2454" s="168">
        <f>M2454/30</f>
        <v>0</v>
      </c>
      <c r="P2454" s="157">
        <f>N2454/30</f>
        <v>0</v>
      </c>
    </row>
    <row r="2455" spans="1:16">
      <c r="A2455" s="474"/>
      <c r="B2455" s="127">
        <v>7</v>
      </c>
      <c r="C2455" s="158"/>
      <c r="D2455" s="158"/>
      <c r="E2455" s="158"/>
      <c r="F2455" s="158"/>
      <c r="G2455" s="158"/>
      <c r="H2455" s="158"/>
      <c r="I2455" s="158"/>
      <c r="J2455" s="158"/>
      <c r="K2455" s="158"/>
      <c r="L2455" s="158"/>
      <c r="M2455" s="154">
        <f t="shared" si="1012"/>
        <v>0</v>
      </c>
      <c r="N2455" s="155">
        <f t="shared" si="1009"/>
        <v>0</v>
      </c>
      <c r="O2455" s="168">
        <f t="shared" ref="O2455:O2460" si="1013">M2455/31</f>
        <v>0</v>
      </c>
      <c r="P2455" s="157">
        <f t="shared" ref="P2455:P2460" si="1014">N2455/31</f>
        <v>0</v>
      </c>
    </row>
    <row r="2456" spans="1:16">
      <c r="A2456" s="474"/>
      <c r="B2456" s="127">
        <v>8</v>
      </c>
      <c r="C2456" s="158"/>
      <c r="D2456" s="158"/>
      <c r="E2456" s="158"/>
      <c r="F2456" s="158"/>
      <c r="G2456" s="158"/>
      <c r="H2456" s="158"/>
      <c r="I2456" s="158"/>
      <c r="J2456" s="158"/>
      <c r="K2456" s="158"/>
      <c r="L2456" s="159"/>
      <c r="M2456" s="177">
        <f t="shared" si="1012"/>
        <v>0</v>
      </c>
      <c r="N2456" s="158">
        <f t="shared" si="1009"/>
        <v>0</v>
      </c>
      <c r="O2456" s="168">
        <f t="shared" si="1013"/>
        <v>0</v>
      </c>
      <c r="P2456" s="157">
        <f t="shared" si="1014"/>
        <v>0</v>
      </c>
    </row>
    <row r="2457" spans="1:16">
      <c r="A2457" s="474"/>
      <c r="B2457" s="127">
        <v>9</v>
      </c>
      <c r="C2457" s="147"/>
      <c r="D2457" s="147"/>
      <c r="E2457" s="147"/>
      <c r="F2457" s="147"/>
      <c r="G2457" s="147"/>
      <c r="H2457" s="147"/>
      <c r="I2457" s="147"/>
      <c r="J2457" s="147"/>
      <c r="K2457" s="147"/>
      <c r="L2457" s="147"/>
      <c r="M2457" s="177">
        <f t="shared" ref="M2457" si="1015">+C2457+E2457+G2457+I2457+K2457</f>
        <v>0</v>
      </c>
      <c r="N2457" s="158">
        <f t="shared" ref="N2457" si="1016">+D2457+F2457+H2457+J2457+L2457</f>
        <v>0</v>
      </c>
      <c r="O2457" s="168">
        <f>M2457/30</f>
        <v>0</v>
      </c>
      <c r="P2457" s="157">
        <f>N2457/30</f>
        <v>0</v>
      </c>
    </row>
    <row r="2458" spans="1:16">
      <c r="A2458" s="474"/>
      <c r="B2458" s="127">
        <v>10</v>
      </c>
      <c r="C2458" s="147"/>
      <c r="D2458" s="147"/>
      <c r="E2458" s="147"/>
      <c r="F2458" s="181"/>
      <c r="G2458" s="147"/>
      <c r="H2458" s="147"/>
      <c r="I2458" s="147"/>
      <c r="J2458" s="147"/>
      <c r="K2458" s="147"/>
      <c r="L2458" s="148"/>
      <c r="M2458" s="154">
        <f t="shared" ref="M2458" si="1017">+C2458+E2458+G2458+I2458+K2458</f>
        <v>0</v>
      </c>
      <c r="N2458" s="155">
        <f t="shared" ref="N2458" si="1018">+D2458+F2458+H2458+J2458+L2458</f>
        <v>0</v>
      </c>
      <c r="O2458" s="168">
        <f t="shared" ref="O2458" si="1019">M2458/31</f>
        <v>0</v>
      </c>
      <c r="P2458" s="157">
        <f t="shared" ref="P2458" si="1020">N2458/31</f>
        <v>0</v>
      </c>
    </row>
    <row r="2459" spans="1:16">
      <c r="A2459" s="474"/>
      <c r="B2459" s="127">
        <v>11</v>
      </c>
      <c r="C2459" s="367"/>
      <c r="D2459" s="367"/>
      <c r="E2459" s="367"/>
      <c r="F2459" s="367"/>
      <c r="G2459" s="367"/>
      <c r="H2459" s="367"/>
      <c r="I2459" s="367"/>
      <c r="J2459" s="367"/>
      <c r="K2459" s="367"/>
      <c r="L2459" s="368"/>
      <c r="M2459" s="154">
        <f t="shared" si="1012"/>
        <v>0</v>
      </c>
      <c r="N2459" s="155">
        <f t="shared" si="1009"/>
        <v>0</v>
      </c>
      <c r="O2459" s="168">
        <f t="shared" si="1013"/>
        <v>0</v>
      </c>
      <c r="P2459" s="157">
        <f t="shared" si="1014"/>
        <v>0</v>
      </c>
    </row>
    <row r="2460" spans="1:16" ht="14.25" thickBot="1">
      <c r="A2460" s="475"/>
      <c r="B2460" s="127">
        <v>12</v>
      </c>
      <c r="C2460" s="187"/>
      <c r="D2460" s="187"/>
      <c r="E2460" s="187"/>
      <c r="F2460" s="188"/>
      <c r="G2460" s="187"/>
      <c r="H2460" s="187"/>
      <c r="I2460" s="187"/>
      <c r="J2460" s="187"/>
      <c r="K2460" s="187"/>
      <c r="L2460" s="189"/>
      <c r="M2460" s="190">
        <f t="shared" si="1012"/>
        <v>0</v>
      </c>
      <c r="N2460" s="191">
        <f t="shared" si="1009"/>
        <v>0</v>
      </c>
      <c r="O2460" s="192">
        <f t="shared" si="1013"/>
        <v>0</v>
      </c>
      <c r="P2460" s="193">
        <f t="shared" si="1014"/>
        <v>0</v>
      </c>
    </row>
    <row r="2461" spans="1:16" ht="14.25" thickBot="1">
      <c r="A2461" s="180"/>
      <c r="B2461" s="160" t="s">
        <v>5</v>
      </c>
      <c r="C2461" s="161">
        <f>SUM(C2437:C2460)</f>
        <v>14</v>
      </c>
      <c r="D2461" s="161">
        <f t="shared" ref="D2461:P2461" si="1021">SUM(D2437:D2460)</f>
        <v>23</v>
      </c>
      <c r="E2461" s="161">
        <f t="shared" si="1021"/>
        <v>2</v>
      </c>
      <c r="F2461" s="161">
        <f t="shared" si="1021"/>
        <v>5</v>
      </c>
      <c r="G2461" s="161">
        <f t="shared" si="1021"/>
        <v>6</v>
      </c>
      <c r="H2461" s="161">
        <f t="shared" si="1021"/>
        <v>8</v>
      </c>
      <c r="I2461" s="161">
        <f t="shared" si="1021"/>
        <v>6</v>
      </c>
      <c r="J2461" s="161">
        <f t="shared" si="1021"/>
        <v>9</v>
      </c>
      <c r="K2461" s="161">
        <f t="shared" si="1021"/>
        <v>0</v>
      </c>
      <c r="L2461" s="161">
        <f t="shared" si="1021"/>
        <v>0</v>
      </c>
      <c r="M2461" s="162">
        <f t="shared" si="1021"/>
        <v>28</v>
      </c>
      <c r="N2461" s="161">
        <f t="shared" si="1021"/>
        <v>45</v>
      </c>
      <c r="O2461" s="161">
        <f t="shared" si="1021"/>
        <v>0.90430107526881709</v>
      </c>
      <c r="P2461" s="161">
        <f t="shared" si="1021"/>
        <v>1.4516129032258065</v>
      </c>
    </row>
    <row r="2463" spans="1:16">
      <c r="B2463" s="467" t="s">
        <v>215</v>
      </c>
      <c r="C2463" s="469" t="s">
        <v>29</v>
      </c>
      <c r="D2463" s="470"/>
      <c r="E2463" s="469" t="s">
        <v>30</v>
      </c>
      <c r="F2463" s="470"/>
      <c r="G2463" s="469" t="s">
        <v>31</v>
      </c>
      <c r="H2463" s="470"/>
      <c r="I2463" s="469" t="s">
        <v>58</v>
      </c>
      <c r="J2463" s="470"/>
      <c r="K2463" s="469" t="s">
        <v>57</v>
      </c>
      <c r="L2463" s="471"/>
      <c r="M2463" s="470" t="s">
        <v>5</v>
      </c>
      <c r="N2463" s="472"/>
      <c r="O2463" s="472" t="s">
        <v>33</v>
      </c>
      <c r="P2463" s="472"/>
    </row>
    <row r="2464" spans="1:16" ht="14.25" thickBot="1">
      <c r="B2464" s="468"/>
      <c r="C2464" s="13" t="s">
        <v>34</v>
      </c>
      <c r="D2464" s="13" t="s">
        <v>35</v>
      </c>
      <c r="E2464" s="13" t="s">
        <v>34</v>
      </c>
      <c r="F2464" s="13" t="s">
        <v>35</v>
      </c>
      <c r="G2464" s="13" t="s">
        <v>34</v>
      </c>
      <c r="H2464" s="13" t="s">
        <v>35</v>
      </c>
      <c r="I2464" s="13" t="s">
        <v>59</v>
      </c>
      <c r="J2464" s="13" t="s">
        <v>60</v>
      </c>
      <c r="K2464" s="13" t="s">
        <v>34</v>
      </c>
      <c r="L2464" s="14" t="s">
        <v>35</v>
      </c>
      <c r="M2464" s="15" t="s">
        <v>34</v>
      </c>
      <c r="N2464" s="13" t="s">
        <v>35</v>
      </c>
      <c r="O2464" s="163" t="s">
        <v>34</v>
      </c>
      <c r="P2464" s="163" t="s">
        <v>35</v>
      </c>
    </row>
    <row r="2465" spans="1:16">
      <c r="A2465" s="473">
        <v>2019</v>
      </c>
      <c r="B2465" s="410">
        <v>1</v>
      </c>
      <c r="C2465" s="422">
        <v>0</v>
      </c>
      <c r="D2465" s="422">
        <v>0</v>
      </c>
      <c r="E2465" s="422">
        <v>0</v>
      </c>
      <c r="F2465" s="422">
        <v>0</v>
      </c>
      <c r="G2465" s="422">
        <v>0</v>
      </c>
      <c r="H2465" s="422">
        <v>0</v>
      </c>
      <c r="I2465" s="422">
        <v>0</v>
      </c>
      <c r="J2465" s="422">
        <v>0</v>
      </c>
      <c r="K2465" s="422">
        <v>0</v>
      </c>
      <c r="L2465" s="422">
        <v>0</v>
      </c>
      <c r="M2465" s="424">
        <f>+C2465+E2465+G2465+I2465+K2465</f>
        <v>0</v>
      </c>
      <c r="N2465" s="425">
        <f t="shared" ref="N2465:N2472" si="1022">+D2465+F2465+H2465+J2465+L2465</f>
        <v>0</v>
      </c>
      <c r="O2465" s="430">
        <f t="shared" ref="O2465:O2469" si="1023">M2465/31</f>
        <v>0</v>
      </c>
      <c r="P2465" s="427">
        <f t="shared" ref="P2465:P2469" si="1024">N2465/31</f>
        <v>0</v>
      </c>
    </row>
    <row r="2466" spans="1:16">
      <c r="A2466" s="474"/>
      <c r="B2466" s="127">
        <v>2</v>
      </c>
      <c r="C2466" s="147">
        <v>0</v>
      </c>
      <c r="D2466" s="147">
        <v>0</v>
      </c>
      <c r="E2466" s="147">
        <v>0</v>
      </c>
      <c r="F2466" s="147">
        <v>0</v>
      </c>
      <c r="G2466" s="147">
        <v>0</v>
      </c>
      <c r="H2466" s="147">
        <v>0</v>
      </c>
      <c r="I2466" s="147">
        <v>0</v>
      </c>
      <c r="J2466" s="147">
        <v>0</v>
      </c>
      <c r="K2466" s="147">
        <v>0</v>
      </c>
      <c r="L2466" s="174">
        <v>0</v>
      </c>
      <c r="M2466" s="149">
        <f t="shared" ref="M2466:M2472" si="1025">+C2466+E2466+G2466+I2466+K2466</f>
        <v>0</v>
      </c>
      <c r="N2466" s="150">
        <f t="shared" si="1022"/>
        <v>0</v>
      </c>
      <c r="O2466" s="167">
        <f t="shared" si="1023"/>
        <v>0</v>
      </c>
      <c r="P2466" s="152">
        <f t="shared" si="1024"/>
        <v>0</v>
      </c>
    </row>
    <row r="2467" spans="1:16">
      <c r="A2467" s="474"/>
      <c r="B2467" s="127">
        <v>3</v>
      </c>
      <c r="C2467" s="147">
        <v>4</v>
      </c>
      <c r="D2467" s="147">
        <v>2</v>
      </c>
      <c r="E2467" s="147">
        <v>0</v>
      </c>
      <c r="F2467" s="147">
        <v>0</v>
      </c>
      <c r="G2467" s="147">
        <v>0</v>
      </c>
      <c r="H2467" s="147">
        <v>0</v>
      </c>
      <c r="I2467" s="147">
        <v>0</v>
      </c>
      <c r="J2467" s="147">
        <v>0</v>
      </c>
      <c r="K2467" s="147">
        <v>0</v>
      </c>
      <c r="L2467" s="174">
        <v>0</v>
      </c>
      <c r="M2467" s="149">
        <f t="shared" si="1025"/>
        <v>4</v>
      </c>
      <c r="N2467" s="150">
        <f t="shared" si="1022"/>
        <v>2</v>
      </c>
      <c r="O2467" s="167">
        <f t="shared" si="1023"/>
        <v>0.12903225806451613</v>
      </c>
      <c r="P2467" s="152">
        <f t="shared" si="1024"/>
        <v>6.4516129032258063E-2</v>
      </c>
    </row>
    <row r="2468" spans="1:16">
      <c r="A2468" s="474"/>
      <c r="B2468" s="127">
        <v>4</v>
      </c>
      <c r="C2468" s="158">
        <v>1</v>
      </c>
      <c r="D2468" s="158">
        <v>2</v>
      </c>
      <c r="E2468" s="158">
        <v>0</v>
      </c>
      <c r="F2468" s="158">
        <v>0</v>
      </c>
      <c r="G2468" s="158">
        <v>0</v>
      </c>
      <c r="H2468" s="158">
        <v>0</v>
      </c>
      <c r="I2468" s="158">
        <v>0</v>
      </c>
      <c r="J2468" s="158">
        <v>0</v>
      </c>
      <c r="K2468" s="158">
        <v>0</v>
      </c>
      <c r="L2468" s="159">
        <v>0</v>
      </c>
      <c r="M2468" s="154">
        <f t="shared" si="1025"/>
        <v>1</v>
      </c>
      <c r="N2468" s="155">
        <f t="shared" si="1022"/>
        <v>2</v>
      </c>
      <c r="O2468" s="168">
        <f t="shared" si="1023"/>
        <v>3.2258064516129031E-2</v>
      </c>
      <c r="P2468" s="157">
        <f t="shared" si="1024"/>
        <v>6.4516129032258063E-2</v>
      </c>
    </row>
    <row r="2469" spans="1:16">
      <c r="A2469" s="474"/>
      <c r="B2469" s="127">
        <v>5</v>
      </c>
      <c r="C2469" s="158">
        <v>1</v>
      </c>
      <c r="D2469" s="158">
        <v>1</v>
      </c>
      <c r="E2469" s="158">
        <v>0</v>
      </c>
      <c r="F2469" s="158">
        <v>0</v>
      </c>
      <c r="G2469" s="158">
        <v>0</v>
      </c>
      <c r="H2469" s="158">
        <v>0</v>
      </c>
      <c r="I2469" s="158">
        <v>1</v>
      </c>
      <c r="J2469" s="158">
        <v>0</v>
      </c>
      <c r="K2469" s="158">
        <v>0</v>
      </c>
      <c r="L2469" s="159">
        <v>0</v>
      </c>
      <c r="M2469" s="154">
        <f t="shared" si="1025"/>
        <v>2</v>
      </c>
      <c r="N2469" s="155">
        <f t="shared" si="1022"/>
        <v>1</v>
      </c>
      <c r="O2469" s="168">
        <f t="shared" si="1023"/>
        <v>6.4516129032258063E-2</v>
      </c>
      <c r="P2469" s="157">
        <f t="shared" si="1024"/>
        <v>3.2258064516129031E-2</v>
      </c>
    </row>
    <row r="2470" spans="1:16">
      <c r="A2470" s="474"/>
      <c r="B2470" s="127">
        <v>6</v>
      </c>
      <c r="C2470" s="158">
        <v>0</v>
      </c>
      <c r="D2470" s="158">
        <v>0</v>
      </c>
      <c r="E2470" s="158">
        <v>0</v>
      </c>
      <c r="F2470" s="158">
        <v>0</v>
      </c>
      <c r="G2470" s="158">
        <v>1</v>
      </c>
      <c r="H2470" s="158">
        <v>0</v>
      </c>
      <c r="I2470" s="158">
        <v>0</v>
      </c>
      <c r="J2470" s="158">
        <v>1</v>
      </c>
      <c r="K2470" s="158">
        <v>0</v>
      </c>
      <c r="L2470" s="158">
        <v>0</v>
      </c>
      <c r="M2470" s="154">
        <f t="shared" si="1025"/>
        <v>1</v>
      </c>
      <c r="N2470" s="155">
        <f t="shared" si="1022"/>
        <v>1</v>
      </c>
      <c r="O2470" s="168">
        <f>M2470/30</f>
        <v>3.3333333333333333E-2</v>
      </c>
      <c r="P2470" s="157">
        <f>N2470/30</f>
        <v>3.3333333333333333E-2</v>
      </c>
    </row>
    <row r="2471" spans="1:16">
      <c r="A2471" s="474"/>
      <c r="B2471" s="127">
        <v>7</v>
      </c>
      <c r="C2471" s="158">
        <v>2</v>
      </c>
      <c r="D2471" s="158">
        <v>0</v>
      </c>
      <c r="E2471" s="158">
        <v>0</v>
      </c>
      <c r="F2471" s="158">
        <v>0</v>
      </c>
      <c r="G2471" s="158">
        <v>0</v>
      </c>
      <c r="H2471" s="158">
        <v>0</v>
      </c>
      <c r="I2471" s="158">
        <v>0</v>
      </c>
      <c r="J2471" s="158">
        <v>0</v>
      </c>
      <c r="K2471" s="158">
        <v>0</v>
      </c>
      <c r="L2471" s="158">
        <v>0</v>
      </c>
      <c r="M2471" s="154">
        <f t="shared" si="1025"/>
        <v>2</v>
      </c>
      <c r="N2471" s="155">
        <f t="shared" si="1022"/>
        <v>0</v>
      </c>
      <c r="O2471" s="168">
        <f t="shared" ref="O2471:O2472" si="1026">M2471/31</f>
        <v>6.4516129032258063E-2</v>
      </c>
      <c r="P2471" s="157">
        <f t="shared" ref="P2471:P2472" si="1027">N2471/31</f>
        <v>0</v>
      </c>
    </row>
    <row r="2472" spans="1:16">
      <c r="A2472" s="474"/>
      <c r="B2472" s="127">
        <v>8</v>
      </c>
      <c r="C2472" s="158">
        <v>0</v>
      </c>
      <c r="D2472" s="158">
        <v>2</v>
      </c>
      <c r="E2472" s="158">
        <v>0</v>
      </c>
      <c r="F2472" s="158">
        <v>0</v>
      </c>
      <c r="G2472" s="158">
        <v>0</v>
      </c>
      <c r="H2472" s="158">
        <v>0</v>
      </c>
      <c r="I2472" s="158">
        <v>0</v>
      </c>
      <c r="J2472" s="158">
        <v>0</v>
      </c>
      <c r="K2472" s="158">
        <v>0</v>
      </c>
      <c r="L2472" s="159">
        <v>0</v>
      </c>
      <c r="M2472" s="177">
        <f t="shared" si="1025"/>
        <v>0</v>
      </c>
      <c r="N2472" s="158">
        <f t="shared" si="1022"/>
        <v>2</v>
      </c>
      <c r="O2472" s="168">
        <f t="shared" si="1026"/>
        <v>0</v>
      </c>
      <c r="P2472" s="157">
        <f t="shared" si="1027"/>
        <v>6.4516129032258063E-2</v>
      </c>
    </row>
    <row r="2473" spans="1:16">
      <c r="A2473" s="474"/>
      <c r="B2473" s="127">
        <v>9</v>
      </c>
      <c r="C2473" s="147">
        <v>0</v>
      </c>
      <c r="D2473" s="147">
        <v>0</v>
      </c>
      <c r="E2473" s="147">
        <v>0</v>
      </c>
      <c r="F2473" s="147">
        <v>0</v>
      </c>
      <c r="G2473" s="147">
        <v>0</v>
      </c>
      <c r="H2473" s="147">
        <v>0</v>
      </c>
      <c r="I2473" s="147">
        <v>0</v>
      </c>
      <c r="J2473" s="147">
        <v>0</v>
      </c>
      <c r="K2473" s="147">
        <v>0</v>
      </c>
      <c r="L2473" s="147">
        <v>0</v>
      </c>
      <c r="M2473" s="177">
        <v>0</v>
      </c>
      <c r="N2473" s="158">
        <v>0</v>
      </c>
      <c r="O2473" s="168">
        <v>0</v>
      </c>
      <c r="P2473" s="157">
        <v>0</v>
      </c>
    </row>
    <row r="2474" spans="1:16">
      <c r="A2474" s="474"/>
      <c r="B2474" s="127">
        <v>10</v>
      </c>
      <c r="C2474" s="147">
        <v>1</v>
      </c>
      <c r="D2474" s="147">
        <v>1</v>
      </c>
      <c r="E2474" s="147">
        <v>0</v>
      </c>
      <c r="F2474" s="181">
        <v>0</v>
      </c>
      <c r="G2474" s="147">
        <v>1</v>
      </c>
      <c r="H2474" s="147">
        <v>1</v>
      </c>
      <c r="I2474" s="147">
        <v>0</v>
      </c>
      <c r="J2474" s="147">
        <v>0</v>
      </c>
      <c r="K2474" s="147">
        <v>0</v>
      </c>
      <c r="L2474" s="148">
        <v>0</v>
      </c>
      <c r="M2474" s="154">
        <f t="shared" ref="M2474:M2476" si="1028">+C2474+E2474+G2474+I2474+K2474</f>
        <v>2</v>
      </c>
      <c r="N2474" s="155">
        <f t="shared" ref="N2474:N2476" si="1029">+D2474+F2474+H2474+J2474+L2474</f>
        <v>2</v>
      </c>
      <c r="O2474" s="168">
        <f t="shared" ref="O2474:O2476" si="1030">M2474/31</f>
        <v>6.4516129032258063E-2</v>
      </c>
      <c r="P2474" s="157">
        <f t="shared" ref="P2474:P2476" si="1031">N2474/31</f>
        <v>6.4516129032258063E-2</v>
      </c>
    </row>
    <row r="2475" spans="1:16">
      <c r="A2475" s="474"/>
      <c r="B2475" s="127">
        <v>11</v>
      </c>
      <c r="C2475" s="367">
        <v>0</v>
      </c>
      <c r="D2475" s="367">
        <v>0</v>
      </c>
      <c r="E2475" s="367">
        <v>0</v>
      </c>
      <c r="F2475" s="367">
        <v>0</v>
      </c>
      <c r="G2475" s="367">
        <v>0</v>
      </c>
      <c r="H2475" s="367">
        <v>0</v>
      </c>
      <c r="I2475" s="367">
        <v>0</v>
      </c>
      <c r="J2475" s="367">
        <v>0</v>
      </c>
      <c r="K2475" s="367">
        <v>0</v>
      </c>
      <c r="L2475" s="368">
        <v>0</v>
      </c>
      <c r="M2475" s="154">
        <f t="shared" si="1028"/>
        <v>0</v>
      </c>
      <c r="N2475" s="155">
        <f t="shared" si="1029"/>
        <v>0</v>
      </c>
      <c r="O2475" s="168">
        <f t="shared" si="1030"/>
        <v>0</v>
      </c>
      <c r="P2475" s="157">
        <f t="shared" si="1031"/>
        <v>0</v>
      </c>
    </row>
    <row r="2476" spans="1:16" ht="14.25" thickBot="1">
      <c r="A2476" s="475"/>
      <c r="B2476" s="127">
        <v>12</v>
      </c>
      <c r="C2476" s="187">
        <v>0</v>
      </c>
      <c r="D2476" s="187">
        <v>0</v>
      </c>
      <c r="E2476" s="187">
        <v>0</v>
      </c>
      <c r="F2476" s="188">
        <v>0</v>
      </c>
      <c r="G2476" s="187">
        <v>0</v>
      </c>
      <c r="H2476" s="187">
        <v>0</v>
      </c>
      <c r="I2476" s="187">
        <v>0</v>
      </c>
      <c r="J2476" s="187">
        <v>0</v>
      </c>
      <c r="K2476" s="187">
        <v>0</v>
      </c>
      <c r="L2476" s="189">
        <v>0</v>
      </c>
      <c r="M2476" s="190">
        <f t="shared" si="1028"/>
        <v>0</v>
      </c>
      <c r="N2476" s="191">
        <f t="shared" si="1029"/>
        <v>0</v>
      </c>
      <c r="O2476" s="192">
        <f t="shared" si="1030"/>
        <v>0</v>
      </c>
      <c r="P2476" s="193">
        <f t="shared" si="1031"/>
        <v>0</v>
      </c>
    </row>
    <row r="2477" spans="1:16">
      <c r="A2477" s="473">
        <v>2020</v>
      </c>
      <c r="B2477" s="410">
        <v>1</v>
      </c>
      <c r="C2477" s="434">
        <v>0</v>
      </c>
      <c r="D2477" s="434">
        <v>0</v>
      </c>
      <c r="E2477" s="434">
        <v>0</v>
      </c>
      <c r="F2477" s="434">
        <v>0</v>
      </c>
      <c r="G2477" s="434">
        <v>0</v>
      </c>
      <c r="H2477" s="434">
        <v>0</v>
      </c>
      <c r="I2477" s="434">
        <v>0</v>
      </c>
      <c r="J2477" s="434">
        <v>0</v>
      </c>
      <c r="K2477" s="434">
        <v>0</v>
      </c>
      <c r="L2477" s="436">
        <v>0</v>
      </c>
      <c r="M2477" s="424">
        <f>+C2477+E2477+G2477+I2477+K2477</f>
        <v>0</v>
      </c>
      <c r="N2477" s="425">
        <f t="shared" ref="N2477:N2488" si="1032">+D2477+F2477+H2477+J2477+L2477</f>
        <v>0</v>
      </c>
      <c r="O2477" s="430">
        <f t="shared" ref="O2477:O2481" si="1033">M2477/31</f>
        <v>0</v>
      </c>
      <c r="P2477" s="427">
        <f t="shared" ref="P2477:P2481" si="1034">N2477/31</f>
        <v>0</v>
      </c>
    </row>
    <row r="2478" spans="1:16">
      <c r="A2478" s="474"/>
      <c r="B2478" s="127">
        <v>2</v>
      </c>
      <c r="C2478" s="147">
        <v>1</v>
      </c>
      <c r="D2478" s="147">
        <v>1</v>
      </c>
      <c r="E2478" s="147">
        <v>0</v>
      </c>
      <c r="F2478" s="147">
        <v>0</v>
      </c>
      <c r="G2478" s="147">
        <v>0</v>
      </c>
      <c r="H2478" s="147">
        <v>0</v>
      </c>
      <c r="I2478" s="147">
        <v>0</v>
      </c>
      <c r="J2478" s="147">
        <v>0</v>
      </c>
      <c r="K2478" s="147">
        <v>0</v>
      </c>
      <c r="L2478" s="148">
        <v>0</v>
      </c>
      <c r="M2478" s="149">
        <f t="shared" ref="M2478:M2488" si="1035">+C2478+E2478+G2478+I2478+K2478</f>
        <v>1</v>
      </c>
      <c r="N2478" s="150">
        <f t="shared" si="1032"/>
        <v>1</v>
      </c>
      <c r="O2478" s="167">
        <f t="shared" si="1033"/>
        <v>3.2258064516129031E-2</v>
      </c>
      <c r="P2478" s="152">
        <f t="shared" si="1034"/>
        <v>3.2258064516129031E-2</v>
      </c>
    </row>
    <row r="2479" spans="1:16">
      <c r="A2479" s="474"/>
      <c r="B2479" s="127">
        <v>3</v>
      </c>
      <c r="C2479" s="147">
        <v>0</v>
      </c>
      <c r="D2479" s="147">
        <v>0</v>
      </c>
      <c r="E2479" s="147">
        <v>0</v>
      </c>
      <c r="F2479" s="147">
        <v>0</v>
      </c>
      <c r="G2479" s="147">
        <v>0</v>
      </c>
      <c r="H2479" s="147">
        <v>0</v>
      </c>
      <c r="I2479" s="147">
        <v>0</v>
      </c>
      <c r="J2479" s="147">
        <v>0</v>
      </c>
      <c r="K2479" s="147">
        <v>0</v>
      </c>
      <c r="L2479" s="148">
        <v>0</v>
      </c>
      <c r="M2479" s="149">
        <f t="shared" si="1035"/>
        <v>0</v>
      </c>
      <c r="N2479" s="150">
        <f t="shared" si="1032"/>
        <v>0</v>
      </c>
      <c r="O2479" s="167">
        <f t="shared" si="1033"/>
        <v>0</v>
      </c>
      <c r="P2479" s="152">
        <f t="shared" si="1034"/>
        <v>0</v>
      </c>
    </row>
    <row r="2480" spans="1:16">
      <c r="A2480" s="474"/>
      <c r="B2480" s="127">
        <v>4</v>
      </c>
      <c r="C2480" s="147">
        <v>0</v>
      </c>
      <c r="D2480" s="147">
        <v>0</v>
      </c>
      <c r="E2480" s="147">
        <v>0</v>
      </c>
      <c r="F2480" s="147">
        <v>0</v>
      </c>
      <c r="G2480" s="147">
        <v>0</v>
      </c>
      <c r="H2480" s="147">
        <v>0</v>
      </c>
      <c r="I2480" s="147">
        <v>0</v>
      </c>
      <c r="J2480" s="147">
        <v>0</v>
      </c>
      <c r="K2480" s="147">
        <v>0</v>
      </c>
      <c r="L2480" s="148">
        <v>0</v>
      </c>
      <c r="M2480" s="154">
        <f t="shared" si="1035"/>
        <v>0</v>
      </c>
      <c r="N2480" s="155">
        <f t="shared" si="1032"/>
        <v>0</v>
      </c>
      <c r="O2480" s="168">
        <f t="shared" si="1033"/>
        <v>0</v>
      </c>
      <c r="P2480" s="157">
        <f t="shared" si="1034"/>
        <v>0</v>
      </c>
    </row>
    <row r="2481" spans="1:16">
      <c r="A2481" s="474"/>
      <c r="B2481" s="127">
        <v>5</v>
      </c>
      <c r="C2481" s="147">
        <v>0</v>
      </c>
      <c r="D2481" s="147">
        <v>0</v>
      </c>
      <c r="E2481" s="147">
        <v>0</v>
      </c>
      <c r="F2481" s="147">
        <v>0</v>
      </c>
      <c r="G2481" s="147">
        <v>0</v>
      </c>
      <c r="H2481" s="147">
        <v>0</v>
      </c>
      <c r="I2481" s="147">
        <v>0</v>
      </c>
      <c r="J2481" s="147">
        <v>0</v>
      </c>
      <c r="K2481" s="147">
        <v>0</v>
      </c>
      <c r="L2481" s="148">
        <v>0</v>
      </c>
      <c r="M2481" s="154">
        <f t="shared" si="1035"/>
        <v>0</v>
      </c>
      <c r="N2481" s="155">
        <f t="shared" si="1032"/>
        <v>0</v>
      </c>
      <c r="O2481" s="168">
        <f t="shared" si="1033"/>
        <v>0</v>
      </c>
      <c r="P2481" s="157">
        <f t="shared" si="1034"/>
        <v>0</v>
      </c>
    </row>
    <row r="2482" spans="1:16">
      <c r="A2482" s="474"/>
      <c r="B2482" s="127">
        <v>6</v>
      </c>
      <c r="C2482" s="147">
        <f>集計用!C108</f>
        <v>0</v>
      </c>
      <c r="D2482" s="147">
        <f>集計用!S108</f>
        <v>0</v>
      </c>
      <c r="E2482" s="147">
        <f>集計用!E108</f>
        <v>0</v>
      </c>
      <c r="F2482" s="147">
        <f>集計用!U108</f>
        <v>0</v>
      </c>
      <c r="G2482" s="147">
        <f>集計用!G108</f>
        <v>0</v>
      </c>
      <c r="H2482" s="147">
        <f>集計用!W108</f>
        <v>0</v>
      </c>
      <c r="I2482" s="147">
        <f>集計用!I108</f>
        <v>0</v>
      </c>
      <c r="J2482" s="147">
        <f>集計用!Y108</f>
        <v>0</v>
      </c>
      <c r="K2482" s="147">
        <f>集計用!K108</f>
        <v>0</v>
      </c>
      <c r="L2482" s="148">
        <f>集計用!AA108</f>
        <v>0</v>
      </c>
      <c r="M2482" s="154">
        <f t="shared" si="1035"/>
        <v>0</v>
      </c>
      <c r="N2482" s="155">
        <f t="shared" si="1032"/>
        <v>0</v>
      </c>
      <c r="O2482" s="168">
        <f>M2482/30</f>
        <v>0</v>
      </c>
      <c r="P2482" s="157">
        <f>N2482/30</f>
        <v>0</v>
      </c>
    </row>
    <row r="2483" spans="1:16">
      <c r="A2483" s="474"/>
      <c r="B2483" s="127">
        <v>7</v>
      </c>
      <c r="C2483" s="158"/>
      <c r="D2483" s="158"/>
      <c r="E2483" s="158"/>
      <c r="F2483" s="158"/>
      <c r="G2483" s="158"/>
      <c r="H2483" s="158"/>
      <c r="I2483" s="158"/>
      <c r="J2483" s="158"/>
      <c r="K2483" s="158"/>
      <c r="L2483" s="158"/>
      <c r="M2483" s="154">
        <f t="shared" si="1035"/>
        <v>0</v>
      </c>
      <c r="N2483" s="155">
        <f t="shared" si="1032"/>
        <v>0</v>
      </c>
      <c r="O2483" s="168">
        <f t="shared" ref="O2483:O2488" si="1036">M2483/31</f>
        <v>0</v>
      </c>
      <c r="P2483" s="157">
        <f t="shared" ref="P2483:P2488" si="1037">N2483/31</f>
        <v>0</v>
      </c>
    </row>
    <row r="2484" spans="1:16">
      <c r="A2484" s="474"/>
      <c r="B2484" s="127">
        <v>8</v>
      </c>
      <c r="C2484" s="158"/>
      <c r="D2484" s="158"/>
      <c r="E2484" s="158"/>
      <c r="F2484" s="158"/>
      <c r="G2484" s="158"/>
      <c r="H2484" s="158"/>
      <c r="I2484" s="158"/>
      <c r="J2484" s="158"/>
      <c r="K2484" s="158"/>
      <c r="L2484" s="159"/>
      <c r="M2484" s="177">
        <f t="shared" si="1035"/>
        <v>0</v>
      </c>
      <c r="N2484" s="158">
        <f t="shared" si="1032"/>
        <v>0</v>
      </c>
      <c r="O2484" s="168">
        <f t="shared" si="1036"/>
        <v>0</v>
      </c>
      <c r="P2484" s="157">
        <f t="shared" si="1037"/>
        <v>0</v>
      </c>
    </row>
    <row r="2485" spans="1:16">
      <c r="A2485" s="474"/>
      <c r="B2485" s="127">
        <v>9</v>
      </c>
      <c r="C2485" s="147"/>
      <c r="D2485" s="147"/>
      <c r="E2485" s="147"/>
      <c r="F2485" s="147"/>
      <c r="G2485" s="147"/>
      <c r="H2485" s="147"/>
      <c r="I2485" s="147"/>
      <c r="J2485" s="147"/>
      <c r="K2485" s="147"/>
      <c r="L2485" s="147"/>
      <c r="M2485" s="177">
        <f t="shared" ref="M2485" si="1038">+C2485+E2485+G2485+I2485+K2485</f>
        <v>0</v>
      </c>
      <c r="N2485" s="158">
        <f t="shared" ref="N2485" si="1039">+D2485+F2485+H2485+J2485+L2485</f>
        <v>0</v>
      </c>
      <c r="O2485" s="168">
        <f>M2485/30</f>
        <v>0</v>
      </c>
      <c r="P2485" s="157">
        <f>N2485/30</f>
        <v>0</v>
      </c>
    </row>
    <row r="2486" spans="1:16">
      <c r="A2486" s="474"/>
      <c r="B2486" s="127">
        <v>10</v>
      </c>
      <c r="C2486" s="147"/>
      <c r="D2486" s="147"/>
      <c r="E2486" s="147"/>
      <c r="F2486" s="181"/>
      <c r="G2486" s="147"/>
      <c r="H2486" s="147"/>
      <c r="I2486" s="147"/>
      <c r="J2486" s="147"/>
      <c r="K2486" s="147"/>
      <c r="L2486" s="148"/>
      <c r="M2486" s="154">
        <f t="shared" ref="M2486" si="1040">+C2486+E2486+G2486+I2486+K2486</f>
        <v>0</v>
      </c>
      <c r="N2486" s="155">
        <f t="shared" ref="N2486" si="1041">+D2486+F2486+H2486+J2486+L2486</f>
        <v>0</v>
      </c>
      <c r="O2486" s="168">
        <f t="shared" ref="O2486" si="1042">M2486/31</f>
        <v>0</v>
      </c>
      <c r="P2486" s="157">
        <f t="shared" ref="P2486" si="1043">N2486/31</f>
        <v>0</v>
      </c>
    </row>
    <row r="2487" spans="1:16">
      <c r="A2487" s="474"/>
      <c r="B2487" s="127">
        <v>11</v>
      </c>
      <c r="C2487" s="367"/>
      <c r="D2487" s="367"/>
      <c r="E2487" s="367"/>
      <c r="F2487" s="367"/>
      <c r="G2487" s="367"/>
      <c r="H2487" s="367"/>
      <c r="I2487" s="367"/>
      <c r="J2487" s="367"/>
      <c r="K2487" s="367"/>
      <c r="L2487" s="368"/>
      <c r="M2487" s="154">
        <f t="shared" si="1035"/>
        <v>0</v>
      </c>
      <c r="N2487" s="155">
        <f t="shared" si="1032"/>
        <v>0</v>
      </c>
      <c r="O2487" s="168">
        <f t="shared" si="1036"/>
        <v>0</v>
      </c>
      <c r="P2487" s="157">
        <f t="shared" si="1037"/>
        <v>0</v>
      </c>
    </row>
    <row r="2488" spans="1:16" ht="14.25" thickBot="1">
      <c r="A2488" s="475"/>
      <c r="B2488" s="127">
        <v>12</v>
      </c>
      <c r="C2488" s="187"/>
      <c r="D2488" s="187"/>
      <c r="E2488" s="187"/>
      <c r="F2488" s="188"/>
      <c r="G2488" s="187"/>
      <c r="H2488" s="187"/>
      <c r="I2488" s="187"/>
      <c r="J2488" s="187"/>
      <c r="K2488" s="187"/>
      <c r="L2488" s="189"/>
      <c r="M2488" s="190">
        <f t="shared" si="1035"/>
        <v>0</v>
      </c>
      <c r="N2488" s="191">
        <f t="shared" si="1032"/>
        <v>0</v>
      </c>
      <c r="O2488" s="192">
        <f t="shared" si="1036"/>
        <v>0</v>
      </c>
      <c r="P2488" s="193">
        <f t="shared" si="1037"/>
        <v>0</v>
      </c>
    </row>
    <row r="2489" spans="1:16" ht="14.25" thickBot="1">
      <c r="A2489" s="180"/>
      <c r="B2489" s="160" t="s">
        <v>5</v>
      </c>
      <c r="C2489" s="161">
        <f>SUM(C2465:C2488)</f>
        <v>10</v>
      </c>
      <c r="D2489" s="161">
        <f t="shared" ref="D2489:P2489" si="1044">SUM(D2465:D2488)</f>
        <v>9</v>
      </c>
      <c r="E2489" s="161">
        <f t="shared" si="1044"/>
        <v>0</v>
      </c>
      <c r="F2489" s="161">
        <f t="shared" si="1044"/>
        <v>0</v>
      </c>
      <c r="G2489" s="161">
        <f t="shared" si="1044"/>
        <v>2</v>
      </c>
      <c r="H2489" s="161">
        <f t="shared" si="1044"/>
        <v>1</v>
      </c>
      <c r="I2489" s="161">
        <f t="shared" si="1044"/>
        <v>1</v>
      </c>
      <c r="J2489" s="161">
        <f t="shared" si="1044"/>
        <v>1</v>
      </c>
      <c r="K2489" s="161">
        <f t="shared" si="1044"/>
        <v>0</v>
      </c>
      <c r="L2489" s="161">
        <f t="shared" si="1044"/>
        <v>0</v>
      </c>
      <c r="M2489" s="162">
        <f t="shared" si="1044"/>
        <v>13</v>
      </c>
      <c r="N2489" s="161">
        <f t="shared" si="1044"/>
        <v>11</v>
      </c>
      <c r="O2489" s="161">
        <f t="shared" si="1044"/>
        <v>0.4204301075268817</v>
      </c>
      <c r="P2489" s="161">
        <f t="shared" si="1044"/>
        <v>0.3559139784946237</v>
      </c>
    </row>
    <row r="2494" spans="1:16">
      <c r="B2494" s="467" t="s">
        <v>216</v>
      </c>
      <c r="C2494" s="469" t="s">
        <v>29</v>
      </c>
      <c r="D2494" s="470"/>
      <c r="E2494" s="469" t="s">
        <v>30</v>
      </c>
      <c r="F2494" s="470"/>
      <c r="G2494" s="469" t="s">
        <v>31</v>
      </c>
      <c r="H2494" s="470"/>
      <c r="I2494" s="469" t="s">
        <v>58</v>
      </c>
      <c r="J2494" s="470"/>
      <c r="K2494" s="469" t="s">
        <v>57</v>
      </c>
      <c r="L2494" s="471"/>
      <c r="M2494" s="470" t="s">
        <v>5</v>
      </c>
      <c r="N2494" s="472"/>
      <c r="O2494" s="472" t="s">
        <v>33</v>
      </c>
      <c r="P2494" s="472"/>
    </row>
    <row r="2495" spans="1:16" ht="14.25" thickBot="1">
      <c r="B2495" s="468"/>
      <c r="C2495" s="13" t="s">
        <v>34</v>
      </c>
      <c r="D2495" s="13" t="s">
        <v>35</v>
      </c>
      <c r="E2495" s="13" t="s">
        <v>34</v>
      </c>
      <c r="F2495" s="13" t="s">
        <v>35</v>
      </c>
      <c r="G2495" s="13" t="s">
        <v>34</v>
      </c>
      <c r="H2495" s="13" t="s">
        <v>35</v>
      </c>
      <c r="I2495" s="13" t="s">
        <v>59</v>
      </c>
      <c r="J2495" s="13" t="s">
        <v>60</v>
      </c>
      <c r="K2495" s="13" t="s">
        <v>34</v>
      </c>
      <c r="L2495" s="14" t="s">
        <v>35</v>
      </c>
      <c r="M2495" s="15" t="s">
        <v>34</v>
      </c>
      <c r="N2495" s="13" t="s">
        <v>35</v>
      </c>
      <c r="O2495" s="163" t="s">
        <v>34</v>
      </c>
      <c r="P2495" s="163" t="s">
        <v>35</v>
      </c>
    </row>
    <row r="2496" spans="1:16">
      <c r="A2496" s="473">
        <v>2019</v>
      </c>
      <c r="B2496" s="410">
        <v>1</v>
      </c>
      <c r="C2496" s="422">
        <v>0</v>
      </c>
      <c r="D2496" s="422">
        <v>0</v>
      </c>
      <c r="E2496" s="422">
        <v>0</v>
      </c>
      <c r="F2496" s="422">
        <v>0</v>
      </c>
      <c r="G2496" s="422">
        <v>0</v>
      </c>
      <c r="H2496" s="422">
        <v>0</v>
      </c>
      <c r="I2496" s="422">
        <v>0</v>
      </c>
      <c r="J2496" s="422">
        <v>0</v>
      </c>
      <c r="K2496" s="422">
        <v>0</v>
      </c>
      <c r="L2496" s="422">
        <v>0</v>
      </c>
      <c r="M2496" s="424">
        <f>+C2496+E2496+G2496+I2496+K2496</f>
        <v>0</v>
      </c>
      <c r="N2496" s="425">
        <f t="shared" ref="N2496:N2497" si="1045">+D2496+F2496+H2496+J2496+L2496</f>
        <v>0</v>
      </c>
      <c r="O2496" s="430">
        <f t="shared" ref="O2496:O2500" si="1046">M2496/31</f>
        <v>0</v>
      </c>
      <c r="P2496" s="427">
        <f t="shared" ref="P2496:P2500" si="1047">N2496/31</f>
        <v>0</v>
      </c>
    </row>
    <row r="2497" spans="1:16">
      <c r="A2497" s="474"/>
      <c r="B2497" s="127">
        <v>2</v>
      </c>
      <c r="C2497" s="147">
        <v>0</v>
      </c>
      <c r="D2497" s="147">
        <v>0</v>
      </c>
      <c r="E2497" s="147">
        <v>0</v>
      </c>
      <c r="F2497" s="147">
        <v>0</v>
      </c>
      <c r="G2497" s="147">
        <v>0</v>
      </c>
      <c r="H2497" s="147">
        <v>0</v>
      </c>
      <c r="I2497" s="147">
        <v>0</v>
      </c>
      <c r="J2497" s="147">
        <v>0</v>
      </c>
      <c r="K2497" s="147">
        <v>0</v>
      </c>
      <c r="L2497" s="174">
        <v>0</v>
      </c>
      <c r="M2497" s="149">
        <f t="shared" ref="M2497" si="1048">+C2497+E2497+G2497+I2497+K2497</f>
        <v>0</v>
      </c>
      <c r="N2497" s="150">
        <f t="shared" si="1045"/>
        <v>0</v>
      </c>
      <c r="O2497" s="167">
        <f t="shared" si="1046"/>
        <v>0</v>
      </c>
      <c r="P2497" s="152">
        <f t="shared" si="1047"/>
        <v>0</v>
      </c>
    </row>
    <row r="2498" spans="1:16">
      <c r="A2498" s="474"/>
      <c r="B2498" s="127">
        <v>3</v>
      </c>
      <c r="C2498" s="147">
        <v>0</v>
      </c>
      <c r="D2498" s="147">
        <v>0</v>
      </c>
      <c r="E2498" s="147">
        <v>0</v>
      </c>
      <c r="F2498" s="147">
        <v>0</v>
      </c>
      <c r="G2498" s="147">
        <v>0</v>
      </c>
      <c r="H2498" s="147">
        <v>0</v>
      </c>
      <c r="I2498" s="147">
        <v>1</v>
      </c>
      <c r="J2498" s="147">
        <v>0</v>
      </c>
      <c r="K2498" s="147">
        <v>0</v>
      </c>
      <c r="L2498" s="174">
        <v>0</v>
      </c>
      <c r="M2498" s="149">
        <f>+C2498+E2498+G2498+I2498+K2498</f>
        <v>1</v>
      </c>
      <c r="N2498" s="150">
        <f>+D2498+F2498+H2498+J2498+L2498</f>
        <v>0</v>
      </c>
      <c r="O2498" s="167">
        <f t="shared" si="1046"/>
        <v>3.2258064516129031E-2</v>
      </c>
      <c r="P2498" s="152">
        <f t="shared" si="1047"/>
        <v>0</v>
      </c>
    </row>
    <row r="2499" spans="1:16">
      <c r="A2499" s="474"/>
      <c r="B2499" s="127">
        <v>4</v>
      </c>
      <c r="C2499" s="158">
        <v>0</v>
      </c>
      <c r="D2499" s="158">
        <v>0</v>
      </c>
      <c r="E2499" s="158">
        <v>0</v>
      </c>
      <c r="F2499" s="158">
        <v>0</v>
      </c>
      <c r="G2499" s="158">
        <v>0</v>
      </c>
      <c r="H2499" s="158">
        <v>0</v>
      </c>
      <c r="I2499" s="158">
        <v>0</v>
      </c>
      <c r="J2499" s="158">
        <v>2</v>
      </c>
      <c r="K2499" s="158">
        <v>0</v>
      </c>
      <c r="L2499" s="159">
        <v>0</v>
      </c>
      <c r="M2499" s="154">
        <f t="shared" ref="M2499:M2503" si="1049">+C2499+E2499+G2499+I2499+K2499</f>
        <v>0</v>
      </c>
      <c r="N2499" s="155">
        <f t="shared" ref="N2499:N2503" si="1050">+D2499+F2499+H2499+J2499+L2499</f>
        <v>2</v>
      </c>
      <c r="O2499" s="168">
        <f t="shared" si="1046"/>
        <v>0</v>
      </c>
      <c r="P2499" s="157">
        <f t="shared" si="1047"/>
        <v>6.4516129032258063E-2</v>
      </c>
    </row>
    <row r="2500" spans="1:16">
      <c r="A2500" s="474"/>
      <c r="B2500" s="127">
        <v>5</v>
      </c>
      <c r="C2500" s="158">
        <v>0</v>
      </c>
      <c r="D2500" s="158">
        <v>0</v>
      </c>
      <c r="E2500" s="158">
        <v>0</v>
      </c>
      <c r="F2500" s="158">
        <v>0</v>
      </c>
      <c r="G2500" s="158">
        <v>0</v>
      </c>
      <c r="H2500" s="158">
        <v>0</v>
      </c>
      <c r="I2500" s="158">
        <v>0</v>
      </c>
      <c r="J2500" s="158">
        <v>0</v>
      </c>
      <c r="K2500" s="158">
        <v>0</v>
      </c>
      <c r="L2500" s="159">
        <v>0</v>
      </c>
      <c r="M2500" s="154">
        <f t="shared" si="1049"/>
        <v>0</v>
      </c>
      <c r="N2500" s="155">
        <f t="shared" si="1050"/>
        <v>0</v>
      </c>
      <c r="O2500" s="168">
        <f t="shared" si="1046"/>
        <v>0</v>
      </c>
      <c r="P2500" s="157">
        <f t="shared" si="1047"/>
        <v>0</v>
      </c>
    </row>
    <row r="2501" spans="1:16">
      <c r="A2501" s="474"/>
      <c r="B2501" s="127">
        <v>6</v>
      </c>
      <c r="C2501" s="158">
        <v>0</v>
      </c>
      <c r="D2501" s="158">
        <v>0</v>
      </c>
      <c r="E2501" s="158">
        <v>0</v>
      </c>
      <c r="F2501" s="158">
        <v>0</v>
      </c>
      <c r="G2501" s="158">
        <v>0</v>
      </c>
      <c r="H2501" s="158">
        <v>0</v>
      </c>
      <c r="I2501" s="158">
        <v>0</v>
      </c>
      <c r="J2501" s="158">
        <v>0</v>
      </c>
      <c r="K2501" s="158">
        <v>0</v>
      </c>
      <c r="L2501" s="158">
        <v>0</v>
      </c>
      <c r="M2501" s="154">
        <f t="shared" si="1049"/>
        <v>0</v>
      </c>
      <c r="N2501" s="155">
        <f t="shared" si="1050"/>
        <v>0</v>
      </c>
      <c r="O2501" s="168">
        <f>M2501/30</f>
        <v>0</v>
      </c>
      <c r="P2501" s="157">
        <f>N2501/30</f>
        <v>0</v>
      </c>
    </row>
    <row r="2502" spans="1:16">
      <c r="A2502" s="474"/>
      <c r="B2502" s="127">
        <v>7</v>
      </c>
      <c r="C2502" s="158">
        <v>0</v>
      </c>
      <c r="D2502" s="158">
        <v>0</v>
      </c>
      <c r="E2502" s="158">
        <v>0</v>
      </c>
      <c r="F2502" s="158">
        <v>0</v>
      </c>
      <c r="G2502" s="158">
        <v>0</v>
      </c>
      <c r="H2502" s="158">
        <v>0</v>
      </c>
      <c r="I2502" s="158">
        <v>0</v>
      </c>
      <c r="J2502" s="158">
        <v>0</v>
      </c>
      <c r="K2502" s="158">
        <v>0</v>
      </c>
      <c r="L2502" s="158">
        <v>0</v>
      </c>
      <c r="M2502" s="154">
        <f t="shared" si="1049"/>
        <v>0</v>
      </c>
      <c r="N2502" s="155">
        <f t="shared" si="1050"/>
        <v>0</v>
      </c>
      <c r="O2502" s="168">
        <f t="shared" ref="O2502:O2503" si="1051">M2502/31</f>
        <v>0</v>
      </c>
      <c r="P2502" s="157">
        <f t="shared" ref="P2502:P2503" si="1052">N2502/31</f>
        <v>0</v>
      </c>
    </row>
    <row r="2503" spans="1:16">
      <c r="A2503" s="474"/>
      <c r="B2503" s="127">
        <v>8</v>
      </c>
      <c r="C2503" s="158">
        <v>0</v>
      </c>
      <c r="D2503" s="158">
        <v>0</v>
      </c>
      <c r="E2503" s="158">
        <v>0</v>
      </c>
      <c r="F2503" s="158">
        <v>0</v>
      </c>
      <c r="G2503" s="158">
        <v>0</v>
      </c>
      <c r="H2503" s="158">
        <v>0</v>
      </c>
      <c r="I2503" s="158">
        <v>0</v>
      </c>
      <c r="J2503" s="158">
        <v>0</v>
      </c>
      <c r="K2503" s="158">
        <v>0</v>
      </c>
      <c r="L2503" s="159">
        <v>0</v>
      </c>
      <c r="M2503" s="177">
        <f t="shared" si="1049"/>
        <v>0</v>
      </c>
      <c r="N2503" s="158">
        <f t="shared" si="1050"/>
        <v>0</v>
      </c>
      <c r="O2503" s="168">
        <f t="shared" si="1051"/>
        <v>0</v>
      </c>
      <c r="P2503" s="157">
        <f t="shared" si="1052"/>
        <v>0</v>
      </c>
    </row>
    <row r="2504" spans="1:16">
      <c r="A2504" s="474"/>
      <c r="B2504" s="127">
        <v>9</v>
      </c>
      <c r="C2504" s="147">
        <v>0</v>
      </c>
      <c r="D2504" s="147">
        <v>0</v>
      </c>
      <c r="E2504" s="147">
        <v>0</v>
      </c>
      <c r="F2504" s="147">
        <v>0</v>
      </c>
      <c r="G2504" s="147">
        <v>0</v>
      </c>
      <c r="H2504" s="147">
        <v>0</v>
      </c>
      <c r="I2504" s="147">
        <v>0</v>
      </c>
      <c r="J2504" s="147">
        <v>0</v>
      </c>
      <c r="K2504" s="147">
        <v>0</v>
      </c>
      <c r="L2504" s="147">
        <v>0</v>
      </c>
      <c r="M2504" s="177">
        <v>0</v>
      </c>
      <c r="N2504" s="158">
        <v>0</v>
      </c>
      <c r="O2504" s="168">
        <v>0</v>
      </c>
      <c r="P2504" s="157">
        <v>0</v>
      </c>
    </row>
    <row r="2505" spans="1:16">
      <c r="A2505" s="474"/>
      <c r="B2505" s="127">
        <v>10</v>
      </c>
      <c r="C2505" s="147">
        <v>0</v>
      </c>
      <c r="D2505" s="147">
        <v>0</v>
      </c>
      <c r="E2505" s="147">
        <v>0</v>
      </c>
      <c r="F2505" s="181">
        <v>0</v>
      </c>
      <c r="G2505" s="147">
        <v>0</v>
      </c>
      <c r="H2505" s="147">
        <v>0</v>
      </c>
      <c r="I2505" s="147">
        <v>0</v>
      </c>
      <c r="J2505" s="147">
        <v>0</v>
      </c>
      <c r="K2505" s="147">
        <v>0</v>
      </c>
      <c r="L2505" s="148">
        <v>0</v>
      </c>
      <c r="M2505" s="154">
        <f t="shared" ref="M2505:M2507" si="1053">+C2505+E2505+G2505+I2505+K2505</f>
        <v>0</v>
      </c>
      <c r="N2505" s="155">
        <f t="shared" ref="N2505:N2507" si="1054">+D2505+F2505+H2505+J2505+L2505</f>
        <v>0</v>
      </c>
      <c r="O2505" s="168">
        <f t="shared" ref="O2505:O2507" si="1055">M2505/31</f>
        <v>0</v>
      </c>
      <c r="P2505" s="157">
        <f t="shared" ref="P2505:P2507" si="1056">N2505/31</f>
        <v>0</v>
      </c>
    </row>
    <row r="2506" spans="1:16">
      <c r="A2506" s="474"/>
      <c r="B2506" s="127">
        <v>11</v>
      </c>
      <c r="C2506" s="367">
        <v>0</v>
      </c>
      <c r="D2506" s="367">
        <v>0</v>
      </c>
      <c r="E2506" s="367">
        <v>0</v>
      </c>
      <c r="F2506" s="367">
        <v>0</v>
      </c>
      <c r="G2506" s="367">
        <v>0</v>
      </c>
      <c r="H2506" s="367">
        <v>0</v>
      </c>
      <c r="I2506" s="367">
        <v>0</v>
      </c>
      <c r="J2506" s="367">
        <v>0</v>
      </c>
      <c r="K2506" s="367">
        <v>0</v>
      </c>
      <c r="L2506" s="368">
        <v>0</v>
      </c>
      <c r="M2506" s="154">
        <f t="shared" si="1053"/>
        <v>0</v>
      </c>
      <c r="N2506" s="155">
        <f t="shared" si="1054"/>
        <v>0</v>
      </c>
      <c r="O2506" s="168">
        <f t="shared" si="1055"/>
        <v>0</v>
      </c>
      <c r="P2506" s="157">
        <f t="shared" si="1056"/>
        <v>0</v>
      </c>
    </row>
    <row r="2507" spans="1:16" ht="14.25" thickBot="1">
      <c r="A2507" s="475"/>
      <c r="B2507" s="127">
        <v>12</v>
      </c>
      <c r="C2507" s="187">
        <v>0</v>
      </c>
      <c r="D2507" s="187">
        <v>0</v>
      </c>
      <c r="E2507" s="187">
        <v>0</v>
      </c>
      <c r="F2507" s="188">
        <v>0</v>
      </c>
      <c r="G2507" s="187">
        <v>1</v>
      </c>
      <c r="H2507" s="187">
        <v>0</v>
      </c>
      <c r="I2507" s="187">
        <v>0</v>
      </c>
      <c r="J2507" s="187">
        <v>0</v>
      </c>
      <c r="K2507" s="187">
        <v>0</v>
      </c>
      <c r="L2507" s="189">
        <v>0</v>
      </c>
      <c r="M2507" s="190">
        <f t="shared" si="1053"/>
        <v>1</v>
      </c>
      <c r="N2507" s="191">
        <f t="shared" si="1054"/>
        <v>0</v>
      </c>
      <c r="O2507" s="192">
        <f t="shared" si="1055"/>
        <v>3.2258064516129031E-2</v>
      </c>
      <c r="P2507" s="193">
        <f t="shared" si="1056"/>
        <v>0</v>
      </c>
    </row>
    <row r="2508" spans="1:16">
      <c r="A2508" s="473">
        <v>2020</v>
      </c>
      <c r="B2508" s="410">
        <v>1</v>
      </c>
      <c r="C2508" s="434">
        <v>0</v>
      </c>
      <c r="D2508" s="434">
        <v>0</v>
      </c>
      <c r="E2508" s="434">
        <v>0</v>
      </c>
      <c r="F2508" s="434">
        <v>0</v>
      </c>
      <c r="G2508" s="434">
        <v>0</v>
      </c>
      <c r="H2508" s="434">
        <v>0</v>
      </c>
      <c r="I2508" s="434">
        <v>0</v>
      </c>
      <c r="J2508" s="434">
        <v>5</v>
      </c>
      <c r="K2508" s="434">
        <v>0</v>
      </c>
      <c r="L2508" s="436">
        <v>0</v>
      </c>
      <c r="M2508" s="424">
        <f>+C2508+E2508+G2508+I2508+K2508</f>
        <v>0</v>
      </c>
      <c r="N2508" s="425">
        <f t="shared" ref="N2508:N2519" si="1057">+D2508+F2508+H2508+J2508+L2508</f>
        <v>5</v>
      </c>
      <c r="O2508" s="430">
        <f t="shared" ref="O2508:O2512" si="1058">M2508/31</f>
        <v>0</v>
      </c>
      <c r="P2508" s="427">
        <f t="shared" ref="P2508:P2512" si="1059">N2508/31</f>
        <v>0.16129032258064516</v>
      </c>
    </row>
    <row r="2509" spans="1:16">
      <c r="A2509" s="474"/>
      <c r="B2509" s="127">
        <v>2</v>
      </c>
      <c r="C2509" s="147">
        <v>0</v>
      </c>
      <c r="D2509" s="147">
        <v>0</v>
      </c>
      <c r="E2509" s="147">
        <v>0</v>
      </c>
      <c r="F2509" s="147">
        <v>0</v>
      </c>
      <c r="G2509" s="147">
        <v>0</v>
      </c>
      <c r="H2509" s="147">
        <v>0</v>
      </c>
      <c r="I2509" s="147">
        <v>0</v>
      </c>
      <c r="J2509" s="147">
        <v>0</v>
      </c>
      <c r="K2509" s="147">
        <v>0</v>
      </c>
      <c r="L2509" s="148">
        <v>0</v>
      </c>
      <c r="M2509" s="149">
        <f t="shared" ref="M2509:M2519" si="1060">+C2509+E2509+G2509+I2509+K2509</f>
        <v>0</v>
      </c>
      <c r="N2509" s="150">
        <f t="shared" si="1057"/>
        <v>0</v>
      </c>
      <c r="O2509" s="167">
        <f t="shared" si="1058"/>
        <v>0</v>
      </c>
      <c r="P2509" s="152">
        <f t="shared" si="1059"/>
        <v>0</v>
      </c>
    </row>
    <row r="2510" spans="1:16">
      <c r="A2510" s="474"/>
      <c r="B2510" s="127">
        <v>3</v>
      </c>
      <c r="C2510" s="147">
        <v>0</v>
      </c>
      <c r="D2510" s="147">
        <v>0</v>
      </c>
      <c r="E2510" s="147">
        <v>0</v>
      </c>
      <c r="F2510" s="147">
        <v>0</v>
      </c>
      <c r="G2510" s="147">
        <v>0</v>
      </c>
      <c r="H2510" s="147">
        <v>0</v>
      </c>
      <c r="I2510" s="147">
        <v>0</v>
      </c>
      <c r="J2510" s="147">
        <v>0</v>
      </c>
      <c r="K2510" s="147">
        <v>0</v>
      </c>
      <c r="L2510" s="148">
        <v>0</v>
      </c>
      <c r="M2510" s="149">
        <f>+C2510+E2510+G2510+I2510+K2510</f>
        <v>0</v>
      </c>
      <c r="N2510" s="150">
        <f>+D2510+F2510+H2510+J2510+L2510</f>
        <v>0</v>
      </c>
      <c r="O2510" s="167">
        <f t="shared" si="1058"/>
        <v>0</v>
      </c>
      <c r="P2510" s="152">
        <f t="shared" si="1059"/>
        <v>0</v>
      </c>
    </row>
    <row r="2511" spans="1:16">
      <c r="A2511" s="474"/>
      <c r="B2511" s="127">
        <v>4</v>
      </c>
      <c r="C2511" s="147">
        <v>0</v>
      </c>
      <c r="D2511" s="147">
        <v>0</v>
      </c>
      <c r="E2511" s="147">
        <v>0</v>
      </c>
      <c r="F2511" s="147">
        <v>0</v>
      </c>
      <c r="G2511" s="147">
        <v>0</v>
      </c>
      <c r="H2511" s="147">
        <v>0</v>
      </c>
      <c r="I2511" s="147">
        <v>0</v>
      </c>
      <c r="J2511" s="147">
        <v>0</v>
      </c>
      <c r="K2511" s="147">
        <v>0</v>
      </c>
      <c r="L2511" s="148">
        <v>0</v>
      </c>
      <c r="M2511" s="154">
        <f t="shared" si="1060"/>
        <v>0</v>
      </c>
      <c r="N2511" s="155">
        <f t="shared" si="1057"/>
        <v>0</v>
      </c>
      <c r="O2511" s="168">
        <f t="shared" si="1058"/>
        <v>0</v>
      </c>
      <c r="P2511" s="157">
        <f t="shared" si="1059"/>
        <v>0</v>
      </c>
    </row>
    <row r="2512" spans="1:16">
      <c r="A2512" s="474"/>
      <c r="B2512" s="127">
        <v>5</v>
      </c>
      <c r="C2512" s="147">
        <v>0</v>
      </c>
      <c r="D2512" s="147">
        <v>0</v>
      </c>
      <c r="E2512" s="147">
        <v>0</v>
      </c>
      <c r="F2512" s="147">
        <v>0</v>
      </c>
      <c r="G2512" s="147">
        <v>0</v>
      </c>
      <c r="H2512" s="147">
        <v>0</v>
      </c>
      <c r="I2512" s="147">
        <v>0</v>
      </c>
      <c r="J2512" s="147">
        <v>0</v>
      </c>
      <c r="K2512" s="147">
        <v>0</v>
      </c>
      <c r="L2512" s="148">
        <v>0</v>
      </c>
      <c r="M2512" s="154">
        <f t="shared" si="1060"/>
        <v>0</v>
      </c>
      <c r="N2512" s="155">
        <f t="shared" si="1057"/>
        <v>0</v>
      </c>
      <c r="O2512" s="168">
        <f t="shared" si="1058"/>
        <v>0</v>
      </c>
      <c r="P2512" s="157">
        <f t="shared" si="1059"/>
        <v>0</v>
      </c>
    </row>
    <row r="2513" spans="1:16">
      <c r="A2513" s="474"/>
      <c r="B2513" s="127">
        <v>6</v>
      </c>
      <c r="C2513" s="147">
        <f>集計用!C110</f>
        <v>0</v>
      </c>
      <c r="D2513" s="147">
        <f>集計用!S110</f>
        <v>0</v>
      </c>
      <c r="E2513" s="147">
        <f>集計用!E110</f>
        <v>0</v>
      </c>
      <c r="F2513" s="147">
        <f>集計用!U110</f>
        <v>0</v>
      </c>
      <c r="G2513" s="147">
        <f>集計用!G110</f>
        <v>0</v>
      </c>
      <c r="H2513" s="147">
        <f>集計用!W110</f>
        <v>0</v>
      </c>
      <c r="I2513" s="147">
        <f>集計用!I110</f>
        <v>0</v>
      </c>
      <c r="J2513" s="147">
        <f>集計用!Y110</f>
        <v>0</v>
      </c>
      <c r="K2513" s="147">
        <f>集計用!K110</f>
        <v>0</v>
      </c>
      <c r="L2513" s="148">
        <f>集計用!AA110</f>
        <v>0</v>
      </c>
      <c r="M2513" s="154">
        <f t="shared" si="1060"/>
        <v>0</v>
      </c>
      <c r="N2513" s="155">
        <f t="shared" si="1057"/>
        <v>0</v>
      </c>
      <c r="O2513" s="168">
        <f>M2513/30</f>
        <v>0</v>
      </c>
      <c r="P2513" s="157">
        <f>N2513/30</f>
        <v>0</v>
      </c>
    </row>
    <row r="2514" spans="1:16">
      <c r="A2514" s="474"/>
      <c r="B2514" s="127">
        <v>7</v>
      </c>
      <c r="C2514" s="158"/>
      <c r="D2514" s="158"/>
      <c r="E2514" s="158"/>
      <c r="F2514" s="158"/>
      <c r="G2514" s="158"/>
      <c r="H2514" s="158"/>
      <c r="I2514" s="158"/>
      <c r="J2514" s="158"/>
      <c r="K2514" s="158"/>
      <c r="L2514" s="158"/>
      <c r="M2514" s="154">
        <f t="shared" si="1060"/>
        <v>0</v>
      </c>
      <c r="N2514" s="155">
        <f t="shared" si="1057"/>
        <v>0</v>
      </c>
      <c r="O2514" s="168">
        <f t="shared" ref="O2514:O2519" si="1061">M2514/31</f>
        <v>0</v>
      </c>
      <c r="P2514" s="157">
        <f t="shared" ref="P2514:P2519" si="1062">N2514/31</f>
        <v>0</v>
      </c>
    </row>
    <row r="2515" spans="1:16">
      <c r="A2515" s="474"/>
      <c r="B2515" s="127">
        <v>8</v>
      </c>
      <c r="C2515" s="158"/>
      <c r="D2515" s="158"/>
      <c r="E2515" s="158"/>
      <c r="F2515" s="158"/>
      <c r="G2515" s="158"/>
      <c r="H2515" s="158"/>
      <c r="I2515" s="158"/>
      <c r="J2515" s="158"/>
      <c r="K2515" s="158"/>
      <c r="L2515" s="159"/>
      <c r="M2515" s="177">
        <f t="shared" si="1060"/>
        <v>0</v>
      </c>
      <c r="N2515" s="158">
        <f t="shared" si="1057"/>
        <v>0</v>
      </c>
      <c r="O2515" s="168">
        <f t="shared" si="1061"/>
        <v>0</v>
      </c>
      <c r="P2515" s="157">
        <f t="shared" si="1062"/>
        <v>0</v>
      </c>
    </row>
    <row r="2516" spans="1:16">
      <c r="A2516" s="474"/>
      <c r="B2516" s="127">
        <v>9</v>
      </c>
      <c r="C2516" s="147"/>
      <c r="D2516" s="147"/>
      <c r="E2516" s="147"/>
      <c r="F2516" s="147"/>
      <c r="G2516" s="147"/>
      <c r="H2516" s="147"/>
      <c r="I2516" s="147"/>
      <c r="J2516" s="147"/>
      <c r="K2516" s="147"/>
      <c r="L2516" s="147"/>
      <c r="M2516" s="177">
        <f t="shared" ref="M2516" si="1063">+C2516+E2516+G2516+I2516+K2516</f>
        <v>0</v>
      </c>
      <c r="N2516" s="158">
        <f t="shared" ref="N2516" si="1064">+D2516+F2516+H2516+J2516+L2516</f>
        <v>0</v>
      </c>
      <c r="O2516" s="168">
        <f>M2516/30</f>
        <v>0</v>
      </c>
      <c r="P2516" s="157">
        <f>N2516/30</f>
        <v>0</v>
      </c>
    </row>
    <row r="2517" spans="1:16">
      <c r="A2517" s="474"/>
      <c r="B2517" s="127">
        <v>10</v>
      </c>
      <c r="C2517" s="147"/>
      <c r="D2517" s="147"/>
      <c r="E2517" s="147"/>
      <c r="F2517" s="181"/>
      <c r="G2517" s="147"/>
      <c r="H2517" s="147"/>
      <c r="I2517" s="147"/>
      <c r="J2517" s="147"/>
      <c r="K2517" s="147"/>
      <c r="L2517" s="148"/>
      <c r="M2517" s="154">
        <f t="shared" ref="M2517" si="1065">+C2517+E2517+G2517+I2517+K2517</f>
        <v>0</v>
      </c>
      <c r="N2517" s="155">
        <f t="shared" ref="N2517" si="1066">+D2517+F2517+H2517+J2517+L2517</f>
        <v>0</v>
      </c>
      <c r="O2517" s="168">
        <f t="shared" ref="O2517" si="1067">M2517/31</f>
        <v>0</v>
      </c>
      <c r="P2517" s="157">
        <f t="shared" ref="P2517" si="1068">N2517/31</f>
        <v>0</v>
      </c>
    </row>
    <row r="2518" spans="1:16">
      <c r="A2518" s="474"/>
      <c r="B2518" s="127">
        <v>11</v>
      </c>
      <c r="C2518" s="367"/>
      <c r="D2518" s="367"/>
      <c r="E2518" s="367"/>
      <c r="F2518" s="367"/>
      <c r="G2518" s="367"/>
      <c r="H2518" s="367"/>
      <c r="I2518" s="367"/>
      <c r="J2518" s="367"/>
      <c r="K2518" s="367"/>
      <c r="L2518" s="368"/>
      <c r="M2518" s="154">
        <f t="shared" si="1060"/>
        <v>0</v>
      </c>
      <c r="N2518" s="155">
        <f t="shared" si="1057"/>
        <v>0</v>
      </c>
      <c r="O2518" s="168">
        <f t="shared" si="1061"/>
        <v>0</v>
      </c>
      <c r="P2518" s="157">
        <f t="shared" si="1062"/>
        <v>0</v>
      </c>
    </row>
    <row r="2519" spans="1:16" ht="14.25" thickBot="1">
      <c r="A2519" s="475"/>
      <c r="B2519" s="127">
        <v>12</v>
      </c>
      <c r="C2519" s="187"/>
      <c r="D2519" s="187"/>
      <c r="E2519" s="187"/>
      <c r="F2519" s="188"/>
      <c r="G2519" s="187"/>
      <c r="H2519" s="187"/>
      <c r="I2519" s="187"/>
      <c r="J2519" s="187"/>
      <c r="K2519" s="187"/>
      <c r="L2519" s="189"/>
      <c r="M2519" s="190">
        <f t="shared" si="1060"/>
        <v>0</v>
      </c>
      <c r="N2519" s="191">
        <f t="shared" si="1057"/>
        <v>0</v>
      </c>
      <c r="O2519" s="192">
        <f t="shared" si="1061"/>
        <v>0</v>
      </c>
      <c r="P2519" s="193">
        <f t="shared" si="1062"/>
        <v>0</v>
      </c>
    </row>
    <row r="2520" spans="1:16" ht="14.25" thickBot="1">
      <c r="A2520" s="180"/>
      <c r="B2520" s="160" t="s">
        <v>5</v>
      </c>
      <c r="C2520" s="161">
        <f>SUM(C2496:C2519)</f>
        <v>0</v>
      </c>
      <c r="D2520" s="161">
        <f t="shared" ref="D2520:P2520" si="1069">SUM(D2496:D2519)</f>
        <v>0</v>
      </c>
      <c r="E2520" s="161">
        <f t="shared" si="1069"/>
        <v>0</v>
      </c>
      <c r="F2520" s="161">
        <f t="shared" si="1069"/>
        <v>0</v>
      </c>
      <c r="G2520" s="161">
        <f t="shared" si="1069"/>
        <v>1</v>
      </c>
      <c r="H2520" s="161">
        <f t="shared" si="1069"/>
        <v>0</v>
      </c>
      <c r="I2520" s="161">
        <f t="shared" si="1069"/>
        <v>1</v>
      </c>
      <c r="J2520" s="161">
        <f t="shared" si="1069"/>
        <v>7</v>
      </c>
      <c r="K2520" s="161">
        <f t="shared" si="1069"/>
        <v>0</v>
      </c>
      <c r="L2520" s="161">
        <f t="shared" si="1069"/>
        <v>0</v>
      </c>
      <c r="M2520" s="162">
        <f t="shared" si="1069"/>
        <v>2</v>
      </c>
      <c r="N2520" s="161">
        <f t="shared" si="1069"/>
        <v>7</v>
      </c>
      <c r="O2520" s="161">
        <f t="shared" si="1069"/>
        <v>6.4516129032258063E-2</v>
      </c>
      <c r="P2520" s="161">
        <f t="shared" si="1069"/>
        <v>0.22580645161290322</v>
      </c>
    </row>
    <row r="2522" spans="1:16">
      <c r="B2522" s="467" t="s">
        <v>229</v>
      </c>
      <c r="C2522" s="469" t="s">
        <v>29</v>
      </c>
      <c r="D2522" s="470"/>
      <c r="E2522" s="469" t="s">
        <v>30</v>
      </c>
      <c r="F2522" s="470"/>
      <c r="G2522" s="469" t="s">
        <v>31</v>
      </c>
      <c r="H2522" s="470"/>
      <c r="I2522" s="469" t="s">
        <v>58</v>
      </c>
      <c r="J2522" s="470"/>
      <c r="K2522" s="469" t="s">
        <v>57</v>
      </c>
      <c r="L2522" s="471"/>
      <c r="M2522" s="470" t="s">
        <v>5</v>
      </c>
      <c r="N2522" s="472"/>
      <c r="O2522" s="472" t="s">
        <v>33</v>
      </c>
      <c r="P2522" s="472"/>
    </row>
    <row r="2523" spans="1:16" ht="14.25" thickBot="1">
      <c r="B2523" s="468"/>
      <c r="C2523" s="13" t="s">
        <v>34</v>
      </c>
      <c r="D2523" s="13" t="s">
        <v>35</v>
      </c>
      <c r="E2523" s="13" t="s">
        <v>34</v>
      </c>
      <c r="F2523" s="13" t="s">
        <v>35</v>
      </c>
      <c r="G2523" s="13" t="s">
        <v>34</v>
      </c>
      <c r="H2523" s="13" t="s">
        <v>35</v>
      </c>
      <c r="I2523" s="13" t="s">
        <v>59</v>
      </c>
      <c r="J2523" s="13" t="s">
        <v>60</v>
      </c>
      <c r="K2523" s="13" t="s">
        <v>34</v>
      </c>
      <c r="L2523" s="14" t="s">
        <v>35</v>
      </c>
      <c r="M2523" s="15" t="s">
        <v>34</v>
      </c>
      <c r="N2523" s="13" t="s">
        <v>35</v>
      </c>
      <c r="O2523" s="163" t="s">
        <v>34</v>
      </c>
      <c r="P2523" s="163" t="s">
        <v>35</v>
      </c>
    </row>
    <row r="2524" spans="1:16">
      <c r="A2524" s="473">
        <v>2019</v>
      </c>
      <c r="B2524" s="410">
        <v>1</v>
      </c>
      <c r="C2524" s="422">
        <v>0</v>
      </c>
      <c r="D2524" s="422">
        <v>0</v>
      </c>
      <c r="E2524" s="422">
        <v>0</v>
      </c>
      <c r="F2524" s="422">
        <v>0</v>
      </c>
      <c r="G2524" s="422">
        <v>0</v>
      </c>
      <c r="H2524" s="422">
        <v>0</v>
      </c>
      <c r="I2524" s="422">
        <v>0</v>
      </c>
      <c r="J2524" s="422">
        <v>0</v>
      </c>
      <c r="K2524" s="422">
        <v>0</v>
      </c>
      <c r="L2524" s="422">
        <v>0</v>
      </c>
      <c r="M2524" s="424">
        <f>+C2524+E2524+G2524+I2524+K2524</f>
        <v>0</v>
      </c>
      <c r="N2524" s="425">
        <f t="shared" ref="N2524:N2525" si="1070">+D2524+F2524+H2524+J2524+L2524</f>
        <v>0</v>
      </c>
      <c r="O2524" s="430">
        <f t="shared" ref="O2524:O2528" si="1071">M2524/31</f>
        <v>0</v>
      </c>
      <c r="P2524" s="427">
        <f t="shared" ref="P2524:P2528" si="1072">N2524/31</f>
        <v>0</v>
      </c>
    </row>
    <row r="2525" spans="1:16">
      <c r="A2525" s="474"/>
      <c r="B2525" s="127">
        <v>2</v>
      </c>
      <c r="C2525" s="147">
        <v>0</v>
      </c>
      <c r="D2525" s="147">
        <v>0</v>
      </c>
      <c r="E2525" s="147">
        <v>0</v>
      </c>
      <c r="F2525" s="147">
        <v>0</v>
      </c>
      <c r="G2525" s="147">
        <v>0</v>
      </c>
      <c r="H2525" s="147">
        <v>0</v>
      </c>
      <c r="I2525" s="147">
        <v>0</v>
      </c>
      <c r="J2525" s="147">
        <v>0</v>
      </c>
      <c r="K2525" s="147">
        <v>0</v>
      </c>
      <c r="L2525" s="174">
        <v>0</v>
      </c>
      <c r="M2525" s="149">
        <f t="shared" ref="M2525" si="1073">+C2525+E2525+G2525+I2525+K2525</f>
        <v>0</v>
      </c>
      <c r="N2525" s="150">
        <f t="shared" si="1070"/>
        <v>0</v>
      </c>
      <c r="O2525" s="167">
        <f t="shared" si="1071"/>
        <v>0</v>
      </c>
      <c r="P2525" s="152">
        <f t="shared" si="1072"/>
        <v>0</v>
      </c>
    </row>
    <row r="2526" spans="1:16">
      <c r="A2526" s="474"/>
      <c r="B2526" s="127">
        <v>3</v>
      </c>
      <c r="C2526" s="147">
        <v>0</v>
      </c>
      <c r="D2526" s="147">
        <v>0</v>
      </c>
      <c r="E2526" s="147">
        <v>0</v>
      </c>
      <c r="F2526" s="147">
        <v>0</v>
      </c>
      <c r="G2526" s="147">
        <v>0</v>
      </c>
      <c r="H2526" s="147">
        <v>0</v>
      </c>
      <c r="I2526" s="147">
        <v>0</v>
      </c>
      <c r="J2526" s="147">
        <v>0</v>
      </c>
      <c r="K2526" s="147">
        <v>0</v>
      </c>
      <c r="L2526" s="174">
        <v>0</v>
      </c>
      <c r="M2526" s="149">
        <f>+C2526+E2526+G2526+I2526+K2526</f>
        <v>0</v>
      </c>
      <c r="N2526" s="150">
        <f>+D2526+F2526+H2526+J2526+L2526</f>
        <v>0</v>
      </c>
      <c r="O2526" s="167">
        <f t="shared" si="1071"/>
        <v>0</v>
      </c>
      <c r="P2526" s="152">
        <f t="shared" si="1072"/>
        <v>0</v>
      </c>
    </row>
    <row r="2527" spans="1:16">
      <c r="A2527" s="474"/>
      <c r="B2527" s="127">
        <v>4</v>
      </c>
      <c r="C2527" s="158">
        <v>0</v>
      </c>
      <c r="D2527" s="158">
        <v>0</v>
      </c>
      <c r="E2527" s="158">
        <v>0</v>
      </c>
      <c r="F2527" s="158">
        <v>0</v>
      </c>
      <c r="G2527" s="158">
        <v>0</v>
      </c>
      <c r="H2527" s="158">
        <v>0</v>
      </c>
      <c r="I2527" s="158">
        <v>0</v>
      </c>
      <c r="J2527" s="158">
        <v>0</v>
      </c>
      <c r="K2527" s="158">
        <v>0</v>
      </c>
      <c r="L2527" s="159">
        <v>0</v>
      </c>
      <c r="M2527" s="154">
        <f t="shared" ref="M2527:M2531" si="1074">+C2527+E2527+G2527+I2527+K2527</f>
        <v>0</v>
      </c>
      <c r="N2527" s="155">
        <f t="shared" ref="N2527:N2531" si="1075">+D2527+F2527+H2527+J2527+L2527</f>
        <v>0</v>
      </c>
      <c r="O2527" s="168">
        <f t="shared" si="1071"/>
        <v>0</v>
      </c>
      <c r="P2527" s="157">
        <f t="shared" si="1072"/>
        <v>0</v>
      </c>
    </row>
    <row r="2528" spans="1:16">
      <c r="A2528" s="474"/>
      <c r="B2528" s="127">
        <v>5</v>
      </c>
      <c r="C2528" s="158">
        <v>1</v>
      </c>
      <c r="D2528" s="158">
        <v>0</v>
      </c>
      <c r="E2528" s="158">
        <v>0</v>
      </c>
      <c r="F2528" s="158">
        <v>0</v>
      </c>
      <c r="G2528" s="158">
        <v>0</v>
      </c>
      <c r="H2528" s="158">
        <v>0</v>
      </c>
      <c r="I2528" s="158">
        <v>0</v>
      </c>
      <c r="J2528" s="158">
        <v>0</v>
      </c>
      <c r="K2528" s="158">
        <v>0</v>
      </c>
      <c r="L2528" s="159">
        <v>0</v>
      </c>
      <c r="M2528" s="154">
        <f t="shared" si="1074"/>
        <v>1</v>
      </c>
      <c r="N2528" s="155">
        <f t="shared" si="1075"/>
        <v>0</v>
      </c>
      <c r="O2528" s="168">
        <f t="shared" si="1071"/>
        <v>3.2258064516129031E-2</v>
      </c>
      <c r="P2528" s="157">
        <f t="shared" si="1072"/>
        <v>0</v>
      </c>
    </row>
    <row r="2529" spans="1:16">
      <c r="A2529" s="474"/>
      <c r="B2529" s="127">
        <v>6</v>
      </c>
      <c r="C2529" s="158">
        <v>0</v>
      </c>
      <c r="D2529" s="158">
        <v>2</v>
      </c>
      <c r="E2529" s="158">
        <v>0</v>
      </c>
      <c r="F2529" s="158">
        <v>0</v>
      </c>
      <c r="G2529" s="158">
        <v>0</v>
      </c>
      <c r="H2529" s="158">
        <v>0</v>
      </c>
      <c r="I2529" s="158">
        <v>0</v>
      </c>
      <c r="J2529" s="158">
        <v>0</v>
      </c>
      <c r="K2529" s="158">
        <v>0</v>
      </c>
      <c r="L2529" s="158">
        <v>0</v>
      </c>
      <c r="M2529" s="154">
        <f t="shared" si="1074"/>
        <v>0</v>
      </c>
      <c r="N2529" s="155">
        <f t="shared" si="1075"/>
        <v>2</v>
      </c>
      <c r="O2529" s="168">
        <f>M2529/30</f>
        <v>0</v>
      </c>
      <c r="P2529" s="157">
        <f>N2529/30</f>
        <v>6.6666666666666666E-2</v>
      </c>
    </row>
    <row r="2530" spans="1:16">
      <c r="A2530" s="474"/>
      <c r="B2530" s="127">
        <v>7</v>
      </c>
      <c r="C2530" s="158">
        <v>0</v>
      </c>
      <c r="D2530" s="158">
        <v>0</v>
      </c>
      <c r="E2530" s="158">
        <v>0</v>
      </c>
      <c r="F2530" s="158">
        <v>0</v>
      </c>
      <c r="G2530" s="158">
        <v>0</v>
      </c>
      <c r="H2530" s="158">
        <v>0</v>
      </c>
      <c r="I2530" s="158">
        <v>0</v>
      </c>
      <c r="J2530" s="158">
        <v>0</v>
      </c>
      <c r="K2530" s="158">
        <v>0</v>
      </c>
      <c r="L2530" s="158">
        <v>0</v>
      </c>
      <c r="M2530" s="154">
        <f t="shared" si="1074"/>
        <v>0</v>
      </c>
      <c r="N2530" s="155">
        <f t="shared" si="1075"/>
        <v>0</v>
      </c>
      <c r="O2530" s="168">
        <f t="shared" ref="O2530:O2531" si="1076">M2530/31</f>
        <v>0</v>
      </c>
      <c r="P2530" s="157">
        <f t="shared" ref="P2530:P2531" si="1077">N2530/31</f>
        <v>0</v>
      </c>
    </row>
    <row r="2531" spans="1:16">
      <c r="A2531" s="474"/>
      <c r="B2531" s="127">
        <v>8</v>
      </c>
      <c r="C2531" s="158">
        <v>0</v>
      </c>
      <c r="D2531" s="158">
        <v>0</v>
      </c>
      <c r="E2531" s="158">
        <v>0</v>
      </c>
      <c r="F2531" s="158">
        <v>0</v>
      </c>
      <c r="G2531" s="158">
        <v>1</v>
      </c>
      <c r="H2531" s="158">
        <v>4</v>
      </c>
      <c r="I2531" s="158">
        <v>0</v>
      </c>
      <c r="J2531" s="158">
        <v>0</v>
      </c>
      <c r="K2531" s="158">
        <v>0</v>
      </c>
      <c r="L2531" s="159">
        <v>0</v>
      </c>
      <c r="M2531" s="177">
        <f t="shared" si="1074"/>
        <v>1</v>
      </c>
      <c r="N2531" s="158">
        <f t="shared" si="1075"/>
        <v>4</v>
      </c>
      <c r="O2531" s="168">
        <f t="shared" si="1076"/>
        <v>3.2258064516129031E-2</v>
      </c>
      <c r="P2531" s="157">
        <f t="shared" si="1077"/>
        <v>0.12903225806451613</v>
      </c>
    </row>
    <row r="2532" spans="1:16">
      <c r="A2532" s="474"/>
      <c r="B2532" s="127">
        <v>9</v>
      </c>
      <c r="C2532" s="147">
        <v>0</v>
      </c>
      <c r="D2532" s="147">
        <v>0</v>
      </c>
      <c r="E2532" s="147">
        <v>0</v>
      </c>
      <c r="F2532" s="147">
        <v>0</v>
      </c>
      <c r="G2532" s="147">
        <v>0</v>
      </c>
      <c r="H2532" s="147">
        <v>0</v>
      </c>
      <c r="I2532" s="147">
        <v>0</v>
      </c>
      <c r="J2532" s="147">
        <v>0</v>
      </c>
      <c r="K2532" s="147">
        <v>0</v>
      </c>
      <c r="L2532" s="147">
        <v>0</v>
      </c>
      <c r="M2532" s="177">
        <v>0</v>
      </c>
      <c r="N2532" s="158">
        <v>0</v>
      </c>
      <c r="O2532" s="168">
        <v>0</v>
      </c>
      <c r="P2532" s="157">
        <v>0</v>
      </c>
    </row>
    <row r="2533" spans="1:16">
      <c r="A2533" s="474"/>
      <c r="B2533" s="127">
        <v>10</v>
      </c>
      <c r="C2533" s="147">
        <v>0</v>
      </c>
      <c r="D2533" s="147">
        <v>0</v>
      </c>
      <c r="E2533" s="147">
        <v>0</v>
      </c>
      <c r="F2533" s="181">
        <v>0</v>
      </c>
      <c r="G2533" s="147">
        <v>0</v>
      </c>
      <c r="H2533" s="147">
        <v>0</v>
      </c>
      <c r="I2533" s="147">
        <v>0</v>
      </c>
      <c r="J2533" s="147">
        <v>0</v>
      </c>
      <c r="K2533" s="147">
        <v>0</v>
      </c>
      <c r="L2533" s="148">
        <v>0</v>
      </c>
      <c r="M2533" s="154">
        <f t="shared" ref="M2533:M2535" si="1078">+C2533+E2533+G2533+I2533+K2533</f>
        <v>0</v>
      </c>
      <c r="N2533" s="155">
        <f t="shared" ref="N2533:N2535" si="1079">+D2533+F2533+H2533+J2533+L2533</f>
        <v>0</v>
      </c>
      <c r="O2533" s="168">
        <f t="shared" ref="O2533:O2535" si="1080">M2533/31</f>
        <v>0</v>
      </c>
      <c r="P2533" s="157">
        <f t="shared" ref="P2533:P2535" si="1081">N2533/31</f>
        <v>0</v>
      </c>
    </row>
    <row r="2534" spans="1:16">
      <c r="A2534" s="474"/>
      <c r="B2534" s="127">
        <v>11</v>
      </c>
      <c r="C2534" s="367">
        <v>2</v>
      </c>
      <c r="D2534" s="367">
        <v>5</v>
      </c>
      <c r="E2534" s="367">
        <v>0</v>
      </c>
      <c r="F2534" s="367">
        <v>0</v>
      </c>
      <c r="G2534" s="367">
        <v>0</v>
      </c>
      <c r="H2534" s="367">
        <v>0</v>
      </c>
      <c r="I2534" s="367">
        <v>0</v>
      </c>
      <c r="J2534" s="367">
        <v>0</v>
      </c>
      <c r="K2534" s="367">
        <v>0</v>
      </c>
      <c r="L2534" s="368">
        <v>0</v>
      </c>
      <c r="M2534" s="154">
        <f t="shared" si="1078"/>
        <v>2</v>
      </c>
      <c r="N2534" s="155">
        <f t="shared" si="1079"/>
        <v>5</v>
      </c>
      <c r="O2534" s="168">
        <f t="shared" si="1080"/>
        <v>6.4516129032258063E-2</v>
      </c>
      <c r="P2534" s="157">
        <f t="shared" si="1081"/>
        <v>0.16129032258064516</v>
      </c>
    </row>
    <row r="2535" spans="1:16" ht="14.25" thickBot="1">
      <c r="A2535" s="475"/>
      <c r="B2535" s="127">
        <v>12</v>
      </c>
      <c r="C2535" s="187">
        <v>0</v>
      </c>
      <c r="D2535" s="187">
        <v>0</v>
      </c>
      <c r="E2535" s="187">
        <v>0</v>
      </c>
      <c r="F2535" s="188">
        <v>0</v>
      </c>
      <c r="G2535" s="187">
        <v>1</v>
      </c>
      <c r="H2535" s="187">
        <v>0</v>
      </c>
      <c r="I2535" s="187">
        <v>0</v>
      </c>
      <c r="J2535" s="187">
        <v>0</v>
      </c>
      <c r="K2535" s="187">
        <v>0</v>
      </c>
      <c r="L2535" s="189">
        <v>0</v>
      </c>
      <c r="M2535" s="190">
        <f t="shared" si="1078"/>
        <v>1</v>
      </c>
      <c r="N2535" s="191">
        <f t="shared" si="1079"/>
        <v>0</v>
      </c>
      <c r="O2535" s="192">
        <f t="shared" si="1080"/>
        <v>3.2258064516129031E-2</v>
      </c>
      <c r="P2535" s="193">
        <f t="shared" si="1081"/>
        <v>0</v>
      </c>
    </row>
    <row r="2536" spans="1:16">
      <c r="A2536" s="473">
        <v>2020</v>
      </c>
      <c r="B2536" s="410">
        <v>1</v>
      </c>
      <c r="C2536" s="434">
        <v>0</v>
      </c>
      <c r="D2536" s="434">
        <v>0</v>
      </c>
      <c r="E2536" s="434">
        <v>0</v>
      </c>
      <c r="F2536" s="434">
        <v>0</v>
      </c>
      <c r="G2536" s="434">
        <v>0</v>
      </c>
      <c r="H2536" s="434">
        <v>2</v>
      </c>
      <c r="I2536" s="434">
        <v>1</v>
      </c>
      <c r="J2536" s="434">
        <v>11</v>
      </c>
      <c r="K2536" s="434">
        <v>0</v>
      </c>
      <c r="L2536" s="436">
        <v>0</v>
      </c>
      <c r="M2536" s="424">
        <f>+C2536+E2536+G2536+I2536+K2536</f>
        <v>1</v>
      </c>
      <c r="N2536" s="425">
        <f t="shared" ref="N2536:N2537" si="1082">+D2536+F2536+H2536+J2536+L2536</f>
        <v>13</v>
      </c>
      <c r="O2536" s="430">
        <f t="shared" ref="O2536:O2540" si="1083">M2536/31</f>
        <v>3.2258064516129031E-2</v>
      </c>
      <c r="P2536" s="427">
        <f t="shared" ref="P2536:P2540" si="1084">N2536/31</f>
        <v>0.41935483870967744</v>
      </c>
    </row>
    <row r="2537" spans="1:16">
      <c r="A2537" s="474"/>
      <c r="B2537" s="127">
        <v>2</v>
      </c>
      <c r="C2537" s="147">
        <v>0</v>
      </c>
      <c r="D2537" s="147">
        <v>0</v>
      </c>
      <c r="E2537" s="147">
        <v>0</v>
      </c>
      <c r="F2537" s="147">
        <v>0</v>
      </c>
      <c r="G2537" s="147">
        <v>0</v>
      </c>
      <c r="H2537" s="147">
        <v>0</v>
      </c>
      <c r="I2537" s="147">
        <v>0</v>
      </c>
      <c r="J2537" s="147">
        <v>0</v>
      </c>
      <c r="K2537" s="147">
        <v>0</v>
      </c>
      <c r="L2537" s="148">
        <v>0</v>
      </c>
      <c r="M2537" s="149">
        <f t="shared" ref="M2537" si="1085">+C2537+E2537+G2537+I2537+K2537</f>
        <v>0</v>
      </c>
      <c r="N2537" s="150">
        <f t="shared" si="1082"/>
        <v>0</v>
      </c>
      <c r="O2537" s="167">
        <f t="shared" si="1083"/>
        <v>0</v>
      </c>
      <c r="P2537" s="152">
        <f t="shared" si="1084"/>
        <v>0</v>
      </c>
    </row>
    <row r="2538" spans="1:16">
      <c r="A2538" s="474"/>
      <c r="B2538" s="127">
        <v>3</v>
      </c>
      <c r="C2538" s="147">
        <v>0</v>
      </c>
      <c r="D2538" s="147">
        <v>0</v>
      </c>
      <c r="E2538" s="147">
        <v>0</v>
      </c>
      <c r="F2538" s="147">
        <v>0</v>
      </c>
      <c r="G2538" s="147">
        <v>0</v>
      </c>
      <c r="H2538" s="147">
        <v>0</v>
      </c>
      <c r="I2538" s="147">
        <v>0</v>
      </c>
      <c r="J2538" s="147">
        <v>0</v>
      </c>
      <c r="K2538" s="147">
        <v>0</v>
      </c>
      <c r="L2538" s="148">
        <v>0</v>
      </c>
      <c r="M2538" s="149">
        <f>+C2538+E2538+G2538+I2538+K2538</f>
        <v>0</v>
      </c>
      <c r="N2538" s="150">
        <f>+D2538+F2538+H2538+J2538+L2538</f>
        <v>0</v>
      </c>
      <c r="O2538" s="167">
        <f t="shared" si="1083"/>
        <v>0</v>
      </c>
      <c r="P2538" s="152">
        <f t="shared" si="1084"/>
        <v>0</v>
      </c>
    </row>
    <row r="2539" spans="1:16">
      <c r="A2539" s="474"/>
      <c r="B2539" s="127">
        <v>4</v>
      </c>
      <c r="C2539" s="147">
        <v>0</v>
      </c>
      <c r="D2539" s="147">
        <v>0</v>
      </c>
      <c r="E2539" s="147">
        <v>0</v>
      </c>
      <c r="F2539" s="147">
        <v>0</v>
      </c>
      <c r="G2539" s="147">
        <v>0</v>
      </c>
      <c r="H2539" s="147">
        <v>0</v>
      </c>
      <c r="I2539" s="147">
        <v>0</v>
      </c>
      <c r="J2539" s="147">
        <v>0</v>
      </c>
      <c r="K2539" s="147">
        <v>0</v>
      </c>
      <c r="L2539" s="148">
        <v>0</v>
      </c>
      <c r="M2539" s="154">
        <f t="shared" ref="M2539:M2547" si="1086">+C2539+E2539+G2539+I2539+K2539</f>
        <v>0</v>
      </c>
      <c r="N2539" s="155">
        <f t="shared" ref="N2539:N2547" si="1087">+D2539+F2539+H2539+J2539+L2539</f>
        <v>0</v>
      </c>
      <c r="O2539" s="168">
        <f t="shared" si="1083"/>
        <v>0</v>
      </c>
      <c r="P2539" s="157">
        <f t="shared" si="1084"/>
        <v>0</v>
      </c>
    </row>
    <row r="2540" spans="1:16">
      <c r="A2540" s="474"/>
      <c r="B2540" s="127">
        <v>5</v>
      </c>
      <c r="C2540" s="147">
        <v>0</v>
      </c>
      <c r="D2540" s="147">
        <v>0</v>
      </c>
      <c r="E2540" s="147">
        <v>0</v>
      </c>
      <c r="F2540" s="147">
        <v>0</v>
      </c>
      <c r="G2540" s="147">
        <v>0</v>
      </c>
      <c r="H2540" s="147">
        <v>0</v>
      </c>
      <c r="I2540" s="147">
        <v>0</v>
      </c>
      <c r="J2540" s="147">
        <v>0</v>
      </c>
      <c r="K2540" s="147">
        <v>0</v>
      </c>
      <c r="L2540" s="148">
        <v>0</v>
      </c>
      <c r="M2540" s="154">
        <f t="shared" si="1086"/>
        <v>0</v>
      </c>
      <c r="N2540" s="155">
        <f t="shared" si="1087"/>
        <v>0</v>
      </c>
      <c r="O2540" s="168">
        <f t="shared" si="1083"/>
        <v>0</v>
      </c>
      <c r="P2540" s="157">
        <f t="shared" si="1084"/>
        <v>0</v>
      </c>
    </row>
    <row r="2541" spans="1:16">
      <c r="A2541" s="474"/>
      <c r="B2541" s="127">
        <v>6</v>
      </c>
      <c r="C2541" s="147">
        <f>集計用!C112</f>
        <v>0</v>
      </c>
      <c r="D2541" s="147">
        <f>集計用!S112</f>
        <v>0</v>
      </c>
      <c r="E2541" s="147">
        <f>集計用!E112</f>
        <v>0</v>
      </c>
      <c r="F2541" s="147">
        <f>集計用!U112</f>
        <v>0</v>
      </c>
      <c r="G2541" s="147">
        <f>集計用!G112</f>
        <v>0</v>
      </c>
      <c r="H2541" s="147">
        <f>集計用!W112</f>
        <v>0</v>
      </c>
      <c r="I2541" s="147">
        <f>集計用!I112</f>
        <v>0</v>
      </c>
      <c r="J2541" s="147">
        <f>集計用!Y112</f>
        <v>0</v>
      </c>
      <c r="K2541" s="147">
        <f>集計用!K112</f>
        <v>0</v>
      </c>
      <c r="L2541" s="148">
        <f>集計用!AA112</f>
        <v>0</v>
      </c>
      <c r="M2541" s="154">
        <f t="shared" si="1086"/>
        <v>0</v>
      </c>
      <c r="N2541" s="155">
        <f t="shared" si="1087"/>
        <v>0</v>
      </c>
      <c r="O2541" s="168">
        <f>M2541/30</f>
        <v>0</v>
      </c>
      <c r="P2541" s="157">
        <f>N2541/30</f>
        <v>0</v>
      </c>
    </row>
    <row r="2542" spans="1:16">
      <c r="A2542" s="474"/>
      <c r="B2542" s="127">
        <v>7</v>
      </c>
      <c r="C2542" s="158"/>
      <c r="D2542" s="158"/>
      <c r="E2542" s="158"/>
      <c r="F2542" s="158"/>
      <c r="G2542" s="158"/>
      <c r="H2542" s="158"/>
      <c r="I2542" s="158"/>
      <c r="J2542" s="158"/>
      <c r="K2542" s="158"/>
      <c r="L2542" s="158"/>
      <c r="M2542" s="154">
        <f t="shared" si="1086"/>
        <v>0</v>
      </c>
      <c r="N2542" s="155">
        <f t="shared" si="1087"/>
        <v>0</v>
      </c>
      <c r="O2542" s="168">
        <f t="shared" ref="O2542:O2547" si="1088">M2542/31</f>
        <v>0</v>
      </c>
      <c r="P2542" s="157">
        <f t="shared" ref="P2542:P2547" si="1089">N2542/31</f>
        <v>0</v>
      </c>
    </row>
    <row r="2543" spans="1:16">
      <c r="A2543" s="474"/>
      <c r="B2543" s="127">
        <v>8</v>
      </c>
      <c r="C2543" s="158"/>
      <c r="D2543" s="158"/>
      <c r="E2543" s="158"/>
      <c r="F2543" s="158"/>
      <c r="G2543" s="158"/>
      <c r="H2543" s="158"/>
      <c r="I2543" s="158"/>
      <c r="J2543" s="158"/>
      <c r="K2543" s="158"/>
      <c r="L2543" s="159"/>
      <c r="M2543" s="177">
        <f t="shared" si="1086"/>
        <v>0</v>
      </c>
      <c r="N2543" s="158">
        <f t="shared" si="1087"/>
        <v>0</v>
      </c>
      <c r="O2543" s="168">
        <f t="shared" si="1088"/>
        <v>0</v>
      </c>
      <c r="P2543" s="157">
        <f t="shared" si="1089"/>
        <v>0</v>
      </c>
    </row>
    <row r="2544" spans="1:16">
      <c r="A2544" s="474"/>
      <c r="B2544" s="127">
        <v>9</v>
      </c>
      <c r="C2544" s="147"/>
      <c r="D2544" s="147"/>
      <c r="E2544" s="147"/>
      <c r="F2544" s="147"/>
      <c r="G2544" s="147"/>
      <c r="H2544" s="147"/>
      <c r="I2544" s="147"/>
      <c r="J2544" s="147"/>
      <c r="K2544" s="147"/>
      <c r="L2544" s="147"/>
      <c r="M2544" s="177">
        <f t="shared" ref="M2544" si="1090">+C2544+E2544+G2544+I2544+K2544</f>
        <v>0</v>
      </c>
      <c r="N2544" s="158">
        <f t="shared" ref="N2544" si="1091">+D2544+F2544+H2544+J2544+L2544</f>
        <v>0</v>
      </c>
      <c r="O2544" s="168">
        <f>M2544/30</f>
        <v>0</v>
      </c>
      <c r="P2544" s="157">
        <f>N2544/30</f>
        <v>0</v>
      </c>
    </row>
    <row r="2545" spans="1:16">
      <c r="A2545" s="474"/>
      <c r="B2545" s="127">
        <v>10</v>
      </c>
      <c r="C2545" s="147"/>
      <c r="D2545" s="147"/>
      <c r="E2545" s="147"/>
      <c r="F2545" s="181"/>
      <c r="G2545" s="147"/>
      <c r="H2545" s="147"/>
      <c r="I2545" s="147"/>
      <c r="J2545" s="147"/>
      <c r="K2545" s="147"/>
      <c r="L2545" s="148"/>
      <c r="M2545" s="154">
        <f t="shared" ref="M2545" si="1092">+C2545+E2545+G2545+I2545+K2545</f>
        <v>0</v>
      </c>
      <c r="N2545" s="155">
        <f t="shared" ref="N2545" si="1093">+D2545+F2545+H2545+J2545+L2545</f>
        <v>0</v>
      </c>
      <c r="O2545" s="168">
        <f t="shared" ref="O2545" si="1094">M2545/31</f>
        <v>0</v>
      </c>
      <c r="P2545" s="157">
        <f t="shared" ref="P2545" si="1095">N2545/31</f>
        <v>0</v>
      </c>
    </row>
    <row r="2546" spans="1:16">
      <c r="A2546" s="474"/>
      <c r="B2546" s="127">
        <v>11</v>
      </c>
      <c r="C2546" s="367"/>
      <c r="D2546" s="367"/>
      <c r="E2546" s="367"/>
      <c r="F2546" s="367"/>
      <c r="G2546" s="367"/>
      <c r="H2546" s="367"/>
      <c r="I2546" s="367"/>
      <c r="J2546" s="367"/>
      <c r="K2546" s="367"/>
      <c r="L2546" s="368"/>
      <c r="M2546" s="154">
        <f t="shared" si="1086"/>
        <v>0</v>
      </c>
      <c r="N2546" s="155">
        <f t="shared" si="1087"/>
        <v>0</v>
      </c>
      <c r="O2546" s="168">
        <f t="shared" si="1088"/>
        <v>0</v>
      </c>
      <c r="P2546" s="157">
        <f t="shared" si="1089"/>
        <v>0</v>
      </c>
    </row>
    <row r="2547" spans="1:16" ht="14.25" thickBot="1">
      <c r="A2547" s="475"/>
      <c r="B2547" s="127">
        <v>12</v>
      </c>
      <c r="C2547" s="187"/>
      <c r="D2547" s="187"/>
      <c r="E2547" s="187"/>
      <c r="F2547" s="188"/>
      <c r="G2547" s="187"/>
      <c r="H2547" s="187"/>
      <c r="I2547" s="187"/>
      <c r="J2547" s="187"/>
      <c r="K2547" s="187"/>
      <c r="L2547" s="189"/>
      <c r="M2547" s="190">
        <f t="shared" si="1086"/>
        <v>0</v>
      </c>
      <c r="N2547" s="191">
        <f t="shared" si="1087"/>
        <v>0</v>
      </c>
      <c r="O2547" s="192">
        <f t="shared" si="1088"/>
        <v>0</v>
      </c>
      <c r="P2547" s="193">
        <f t="shared" si="1089"/>
        <v>0</v>
      </c>
    </row>
    <row r="2548" spans="1:16" ht="14.25" thickBot="1">
      <c r="A2548" s="180"/>
      <c r="B2548" s="160" t="s">
        <v>5</v>
      </c>
      <c r="C2548" s="161">
        <f>SUM(C2524:C2547)</f>
        <v>3</v>
      </c>
      <c r="D2548" s="161">
        <f t="shared" ref="D2548:P2548" si="1096">SUM(D2524:D2547)</f>
        <v>7</v>
      </c>
      <c r="E2548" s="161">
        <f t="shared" si="1096"/>
        <v>0</v>
      </c>
      <c r="F2548" s="161">
        <f t="shared" si="1096"/>
        <v>0</v>
      </c>
      <c r="G2548" s="161">
        <f t="shared" si="1096"/>
        <v>2</v>
      </c>
      <c r="H2548" s="161">
        <f t="shared" si="1096"/>
        <v>6</v>
      </c>
      <c r="I2548" s="161">
        <f t="shared" si="1096"/>
        <v>1</v>
      </c>
      <c r="J2548" s="161">
        <f t="shared" si="1096"/>
        <v>11</v>
      </c>
      <c r="K2548" s="161">
        <f t="shared" si="1096"/>
        <v>0</v>
      </c>
      <c r="L2548" s="161">
        <f t="shared" si="1096"/>
        <v>0</v>
      </c>
      <c r="M2548" s="162">
        <f t="shared" si="1096"/>
        <v>6</v>
      </c>
      <c r="N2548" s="161">
        <f t="shared" si="1096"/>
        <v>24</v>
      </c>
      <c r="O2548" s="161">
        <f t="shared" si="1096"/>
        <v>0.19354838709677419</v>
      </c>
      <c r="P2548" s="161">
        <f t="shared" si="1096"/>
        <v>0.7763440860215054</v>
      </c>
    </row>
    <row r="2550" spans="1:16">
      <c r="B2550" s="467" t="s">
        <v>232</v>
      </c>
      <c r="C2550" s="469" t="s">
        <v>29</v>
      </c>
      <c r="D2550" s="470"/>
      <c r="E2550" s="469" t="s">
        <v>30</v>
      </c>
      <c r="F2550" s="470"/>
      <c r="G2550" s="469" t="s">
        <v>31</v>
      </c>
      <c r="H2550" s="470"/>
      <c r="I2550" s="469" t="s">
        <v>58</v>
      </c>
      <c r="J2550" s="470"/>
      <c r="K2550" s="469" t="s">
        <v>57</v>
      </c>
      <c r="L2550" s="471"/>
      <c r="M2550" s="470" t="s">
        <v>5</v>
      </c>
      <c r="N2550" s="472"/>
      <c r="O2550" s="472" t="s">
        <v>33</v>
      </c>
      <c r="P2550" s="472"/>
    </row>
    <row r="2551" spans="1:16" ht="14.25" thickBot="1">
      <c r="B2551" s="468"/>
      <c r="C2551" s="13" t="s">
        <v>34</v>
      </c>
      <c r="D2551" s="13" t="s">
        <v>35</v>
      </c>
      <c r="E2551" s="13" t="s">
        <v>34</v>
      </c>
      <c r="F2551" s="13" t="s">
        <v>35</v>
      </c>
      <c r="G2551" s="13" t="s">
        <v>34</v>
      </c>
      <c r="H2551" s="13" t="s">
        <v>35</v>
      </c>
      <c r="I2551" s="13" t="s">
        <v>59</v>
      </c>
      <c r="J2551" s="13" t="s">
        <v>60</v>
      </c>
      <c r="K2551" s="13" t="s">
        <v>34</v>
      </c>
      <c r="L2551" s="14" t="s">
        <v>35</v>
      </c>
      <c r="M2551" s="15" t="s">
        <v>34</v>
      </c>
      <c r="N2551" s="13" t="s">
        <v>35</v>
      </c>
      <c r="O2551" s="163" t="s">
        <v>34</v>
      </c>
      <c r="P2551" s="163" t="s">
        <v>35</v>
      </c>
    </row>
    <row r="2552" spans="1:16">
      <c r="A2552" s="473">
        <v>2019</v>
      </c>
      <c r="B2552" s="410">
        <v>1</v>
      </c>
      <c r="C2552" s="422">
        <v>0</v>
      </c>
      <c r="D2552" s="422">
        <v>0</v>
      </c>
      <c r="E2552" s="422">
        <v>0</v>
      </c>
      <c r="F2552" s="422">
        <v>0</v>
      </c>
      <c r="G2552" s="422">
        <v>0</v>
      </c>
      <c r="H2552" s="422">
        <v>0</v>
      </c>
      <c r="I2552" s="422">
        <v>0</v>
      </c>
      <c r="J2552" s="422">
        <v>0</v>
      </c>
      <c r="K2552" s="422">
        <v>0</v>
      </c>
      <c r="L2552" s="422">
        <v>0</v>
      </c>
      <c r="M2552" s="424">
        <f>+C2552+E2552+G2552+I2552+K2552</f>
        <v>0</v>
      </c>
      <c r="N2552" s="425">
        <f t="shared" ref="N2552:N2553" si="1097">+D2552+F2552+H2552+J2552+L2552</f>
        <v>0</v>
      </c>
      <c r="O2552" s="430">
        <f t="shared" ref="O2552:O2556" si="1098">M2552/31</f>
        <v>0</v>
      </c>
      <c r="P2552" s="427">
        <f t="shared" ref="P2552:P2556" si="1099">N2552/31</f>
        <v>0</v>
      </c>
    </row>
    <row r="2553" spans="1:16">
      <c r="A2553" s="474"/>
      <c r="B2553" s="127">
        <v>2</v>
      </c>
      <c r="C2553" s="147">
        <v>0</v>
      </c>
      <c r="D2553" s="147">
        <v>0</v>
      </c>
      <c r="E2553" s="147">
        <v>0</v>
      </c>
      <c r="F2553" s="147">
        <v>0</v>
      </c>
      <c r="G2553" s="147">
        <v>0</v>
      </c>
      <c r="H2553" s="147">
        <v>0</v>
      </c>
      <c r="I2553" s="147">
        <v>0</v>
      </c>
      <c r="J2553" s="147">
        <v>0</v>
      </c>
      <c r="K2553" s="147">
        <v>0</v>
      </c>
      <c r="L2553" s="174">
        <v>0</v>
      </c>
      <c r="M2553" s="149">
        <f t="shared" ref="M2553" si="1100">+C2553+E2553+G2553+I2553+K2553</f>
        <v>0</v>
      </c>
      <c r="N2553" s="150">
        <f t="shared" si="1097"/>
        <v>0</v>
      </c>
      <c r="O2553" s="167">
        <f t="shared" si="1098"/>
        <v>0</v>
      </c>
      <c r="P2553" s="152">
        <f t="shared" si="1099"/>
        <v>0</v>
      </c>
    </row>
    <row r="2554" spans="1:16">
      <c r="A2554" s="474"/>
      <c r="B2554" s="127">
        <v>3</v>
      </c>
      <c r="C2554" s="147">
        <v>0</v>
      </c>
      <c r="D2554" s="147">
        <v>0</v>
      </c>
      <c r="E2554" s="147">
        <v>0</v>
      </c>
      <c r="F2554" s="147">
        <v>0</v>
      </c>
      <c r="G2554" s="147">
        <v>0</v>
      </c>
      <c r="H2554" s="147">
        <v>0</v>
      </c>
      <c r="I2554" s="147">
        <v>0</v>
      </c>
      <c r="J2554" s="147">
        <v>0</v>
      </c>
      <c r="K2554" s="147">
        <v>0</v>
      </c>
      <c r="L2554" s="174">
        <v>0</v>
      </c>
      <c r="M2554" s="149">
        <f>+C2554+E2554+G2554+I2554+K2554</f>
        <v>0</v>
      </c>
      <c r="N2554" s="150">
        <f>+D2554+F2554+H2554+J2554+L2554</f>
        <v>0</v>
      </c>
      <c r="O2554" s="167">
        <f t="shared" si="1098"/>
        <v>0</v>
      </c>
      <c r="P2554" s="152">
        <f t="shared" si="1099"/>
        <v>0</v>
      </c>
    </row>
    <row r="2555" spans="1:16">
      <c r="A2555" s="474"/>
      <c r="B2555" s="127">
        <v>4</v>
      </c>
      <c r="C2555" s="147">
        <v>0</v>
      </c>
      <c r="D2555" s="147">
        <v>0</v>
      </c>
      <c r="E2555" s="147">
        <v>0</v>
      </c>
      <c r="F2555" s="147">
        <v>0</v>
      </c>
      <c r="G2555" s="147">
        <v>0</v>
      </c>
      <c r="H2555" s="147">
        <v>0</v>
      </c>
      <c r="I2555" s="147">
        <v>0</v>
      </c>
      <c r="J2555" s="147">
        <v>0</v>
      </c>
      <c r="K2555" s="147">
        <v>0</v>
      </c>
      <c r="L2555" s="174">
        <v>0</v>
      </c>
      <c r="M2555" s="154">
        <f t="shared" ref="M2555:M2559" si="1101">+C2555+E2555+G2555+I2555+K2555</f>
        <v>0</v>
      </c>
      <c r="N2555" s="155">
        <f t="shared" ref="N2555:N2559" si="1102">+D2555+F2555+H2555+J2555+L2555</f>
        <v>0</v>
      </c>
      <c r="O2555" s="168">
        <f t="shared" si="1098"/>
        <v>0</v>
      </c>
      <c r="P2555" s="157">
        <f t="shared" si="1099"/>
        <v>0</v>
      </c>
    </row>
    <row r="2556" spans="1:16">
      <c r="A2556" s="474"/>
      <c r="B2556" s="127">
        <v>5</v>
      </c>
      <c r="C2556" s="147">
        <v>0</v>
      </c>
      <c r="D2556" s="147">
        <v>0</v>
      </c>
      <c r="E2556" s="147">
        <v>0</v>
      </c>
      <c r="F2556" s="147">
        <v>0</v>
      </c>
      <c r="G2556" s="147">
        <v>0</v>
      </c>
      <c r="H2556" s="147">
        <v>0</v>
      </c>
      <c r="I2556" s="147">
        <v>0</v>
      </c>
      <c r="J2556" s="147">
        <v>0</v>
      </c>
      <c r="K2556" s="147">
        <v>0</v>
      </c>
      <c r="L2556" s="174">
        <v>0</v>
      </c>
      <c r="M2556" s="154">
        <f t="shared" si="1101"/>
        <v>0</v>
      </c>
      <c r="N2556" s="155">
        <f t="shared" si="1102"/>
        <v>0</v>
      </c>
      <c r="O2556" s="168">
        <f t="shared" si="1098"/>
        <v>0</v>
      </c>
      <c r="P2556" s="157">
        <f t="shared" si="1099"/>
        <v>0</v>
      </c>
    </row>
    <row r="2557" spans="1:16">
      <c r="A2557" s="474"/>
      <c r="B2557" s="127">
        <v>6</v>
      </c>
      <c r="C2557" s="147">
        <v>0</v>
      </c>
      <c r="D2557" s="147">
        <v>0</v>
      </c>
      <c r="E2557" s="147">
        <v>0</v>
      </c>
      <c r="F2557" s="147">
        <v>0</v>
      </c>
      <c r="G2557" s="147">
        <v>0</v>
      </c>
      <c r="H2557" s="147">
        <v>0</v>
      </c>
      <c r="I2557" s="147">
        <v>0</v>
      </c>
      <c r="J2557" s="147">
        <v>0</v>
      </c>
      <c r="K2557" s="147">
        <v>0</v>
      </c>
      <c r="L2557" s="174">
        <v>0</v>
      </c>
      <c r="M2557" s="154">
        <f t="shared" si="1101"/>
        <v>0</v>
      </c>
      <c r="N2557" s="155">
        <f t="shared" si="1102"/>
        <v>0</v>
      </c>
      <c r="O2557" s="168">
        <f>M2557/30</f>
        <v>0</v>
      </c>
      <c r="P2557" s="157">
        <f>N2557/30</f>
        <v>0</v>
      </c>
    </row>
    <row r="2558" spans="1:16">
      <c r="A2558" s="474"/>
      <c r="B2558" s="127">
        <v>7</v>
      </c>
      <c r="C2558" s="158">
        <v>0</v>
      </c>
      <c r="D2558" s="158">
        <v>0</v>
      </c>
      <c r="E2558" s="158">
        <v>0</v>
      </c>
      <c r="F2558" s="158">
        <v>0</v>
      </c>
      <c r="G2558" s="158">
        <v>1</v>
      </c>
      <c r="H2558" s="158">
        <v>0</v>
      </c>
      <c r="I2558" s="158">
        <v>0</v>
      </c>
      <c r="J2558" s="158">
        <v>0</v>
      </c>
      <c r="K2558" s="158">
        <v>0</v>
      </c>
      <c r="L2558" s="158">
        <v>0</v>
      </c>
      <c r="M2558" s="154">
        <f t="shared" si="1101"/>
        <v>1</v>
      </c>
      <c r="N2558" s="155">
        <f t="shared" si="1102"/>
        <v>0</v>
      </c>
      <c r="O2558" s="168">
        <f t="shared" ref="O2558:O2559" si="1103">M2558/31</f>
        <v>3.2258064516129031E-2</v>
      </c>
      <c r="P2558" s="157">
        <f t="shared" ref="P2558:P2559" si="1104">N2558/31</f>
        <v>0</v>
      </c>
    </row>
    <row r="2559" spans="1:16">
      <c r="A2559" s="474"/>
      <c r="B2559" s="127">
        <v>8</v>
      </c>
      <c r="C2559" s="158">
        <v>0</v>
      </c>
      <c r="D2559" s="158">
        <v>0</v>
      </c>
      <c r="E2559" s="158">
        <v>0</v>
      </c>
      <c r="F2559" s="158">
        <v>0</v>
      </c>
      <c r="G2559" s="158">
        <v>0</v>
      </c>
      <c r="H2559" s="158">
        <v>2</v>
      </c>
      <c r="I2559" s="158">
        <v>0</v>
      </c>
      <c r="J2559" s="158">
        <v>0</v>
      </c>
      <c r="K2559" s="158">
        <v>0</v>
      </c>
      <c r="L2559" s="158">
        <v>0</v>
      </c>
      <c r="M2559" s="177">
        <f t="shared" si="1101"/>
        <v>0</v>
      </c>
      <c r="N2559" s="158">
        <f t="shared" si="1102"/>
        <v>2</v>
      </c>
      <c r="O2559" s="168">
        <f t="shared" si="1103"/>
        <v>0</v>
      </c>
      <c r="P2559" s="157">
        <f t="shared" si="1104"/>
        <v>6.4516129032258063E-2</v>
      </c>
    </row>
    <row r="2560" spans="1:16">
      <c r="A2560" s="474"/>
      <c r="B2560" s="127">
        <v>9</v>
      </c>
      <c r="C2560" s="147">
        <v>0</v>
      </c>
      <c r="D2560" s="147">
        <v>0</v>
      </c>
      <c r="E2560" s="147">
        <v>0</v>
      </c>
      <c r="F2560" s="147">
        <v>0</v>
      </c>
      <c r="G2560" s="147">
        <v>0</v>
      </c>
      <c r="H2560" s="147">
        <v>0</v>
      </c>
      <c r="I2560" s="147">
        <v>0</v>
      </c>
      <c r="J2560" s="147">
        <v>0</v>
      </c>
      <c r="K2560" s="147">
        <v>0</v>
      </c>
      <c r="L2560" s="147">
        <v>0</v>
      </c>
      <c r="M2560" s="177">
        <v>0</v>
      </c>
      <c r="N2560" s="158">
        <v>0</v>
      </c>
      <c r="O2560" s="168">
        <v>0</v>
      </c>
      <c r="P2560" s="157">
        <v>0</v>
      </c>
    </row>
    <row r="2561" spans="1:16">
      <c r="A2561" s="474"/>
      <c r="B2561" s="127">
        <v>10</v>
      </c>
      <c r="C2561" s="147">
        <v>0</v>
      </c>
      <c r="D2561" s="147">
        <v>0</v>
      </c>
      <c r="E2561" s="147">
        <v>0</v>
      </c>
      <c r="F2561" s="181">
        <v>0</v>
      </c>
      <c r="G2561" s="147">
        <v>0</v>
      </c>
      <c r="H2561" s="147">
        <v>0</v>
      </c>
      <c r="I2561" s="147">
        <v>0</v>
      </c>
      <c r="J2561" s="147">
        <v>0</v>
      </c>
      <c r="K2561" s="147">
        <v>0</v>
      </c>
      <c r="L2561" s="148">
        <v>0</v>
      </c>
      <c r="M2561" s="154">
        <f t="shared" ref="M2561:M2563" si="1105">+C2561+E2561+G2561+I2561+K2561</f>
        <v>0</v>
      </c>
      <c r="N2561" s="155">
        <f>+D2561+F2561+H2561+J2561+L2561</f>
        <v>0</v>
      </c>
      <c r="O2561" s="168">
        <f t="shared" ref="O2561:O2563" si="1106">M2561/31</f>
        <v>0</v>
      </c>
      <c r="P2561" s="157">
        <f t="shared" ref="P2561:P2563" si="1107">N2561/31</f>
        <v>0</v>
      </c>
    </row>
    <row r="2562" spans="1:16">
      <c r="A2562" s="474"/>
      <c r="B2562" s="127">
        <v>11</v>
      </c>
      <c r="C2562" s="367">
        <v>0</v>
      </c>
      <c r="D2562" s="367">
        <v>0</v>
      </c>
      <c r="E2562" s="367">
        <v>0</v>
      </c>
      <c r="F2562" s="367">
        <v>0</v>
      </c>
      <c r="G2562" s="367">
        <v>0</v>
      </c>
      <c r="H2562" s="367">
        <v>0</v>
      </c>
      <c r="I2562" s="367">
        <v>0</v>
      </c>
      <c r="J2562" s="367">
        <v>0</v>
      </c>
      <c r="K2562" s="367">
        <v>0</v>
      </c>
      <c r="L2562" s="368">
        <v>0</v>
      </c>
      <c r="M2562" s="154">
        <f t="shared" si="1105"/>
        <v>0</v>
      </c>
      <c r="N2562" s="155">
        <f t="shared" ref="N2562:N2563" si="1108">+D2562+F2562+H2562+J2562+L2562</f>
        <v>0</v>
      </c>
      <c r="O2562" s="168">
        <f t="shared" si="1106"/>
        <v>0</v>
      </c>
      <c r="P2562" s="157">
        <f t="shared" si="1107"/>
        <v>0</v>
      </c>
    </row>
    <row r="2563" spans="1:16" ht="14.25" thickBot="1">
      <c r="A2563" s="475"/>
      <c r="B2563" s="127">
        <v>12</v>
      </c>
      <c r="C2563" s="187">
        <v>0</v>
      </c>
      <c r="D2563" s="187">
        <v>0</v>
      </c>
      <c r="E2563" s="187">
        <v>0</v>
      </c>
      <c r="F2563" s="188">
        <v>0</v>
      </c>
      <c r="G2563" s="187">
        <v>0</v>
      </c>
      <c r="H2563" s="187">
        <v>0</v>
      </c>
      <c r="I2563" s="187">
        <v>0</v>
      </c>
      <c r="J2563" s="187">
        <v>0</v>
      </c>
      <c r="K2563" s="187">
        <v>0</v>
      </c>
      <c r="L2563" s="189">
        <v>0</v>
      </c>
      <c r="M2563" s="190">
        <f t="shared" si="1105"/>
        <v>0</v>
      </c>
      <c r="N2563" s="191">
        <f t="shared" si="1108"/>
        <v>0</v>
      </c>
      <c r="O2563" s="192">
        <f t="shared" si="1106"/>
        <v>0</v>
      </c>
      <c r="P2563" s="193">
        <f t="shared" si="1107"/>
        <v>0</v>
      </c>
    </row>
    <row r="2564" spans="1:16">
      <c r="A2564" s="473">
        <v>2020</v>
      </c>
      <c r="B2564" s="410">
        <v>1</v>
      </c>
      <c r="C2564" s="434">
        <v>0</v>
      </c>
      <c r="D2564" s="434">
        <v>0</v>
      </c>
      <c r="E2564" s="434">
        <v>0</v>
      </c>
      <c r="F2564" s="434">
        <v>0</v>
      </c>
      <c r="G2564" s="434">
        <v>0</v>
      </c>
      <c r="H2564" s="434">
        <v>0</v>
      </c>
      <c r="I2564" s="434">
        <v>0</v>
      </c>
      <c r="J2564" s="434">
        <v>0</v>
      </c>
      <c r="K2564" s="434">
        <v>0</v>
      </c>
      <c r="L2564" s="436">
        <v>0</v>
      </c>
      <c r="M2564" s="424">
        <f>+C2564+E2564+G2564+I2564+K2564</f>
        <v>0</v>
      </c>
      <c r="N2564" s="425">
        <f t="shared" ref="N2564:N2565" si="1109">+D2564+F2564+H2564+J2564+L2564</f>
        <v>0</v>
      </c>
      <c r="O2564" s="430">
        <f t="shared" ref="O2564:O2568" si="1110">M2564/31</f>
        <v>0</v>
      </c>
      <c r="P2564" s="427">
        <f t="shared" ref="P2564:P2568" si="1111">N2564/31</f>
        <v>0</v>
      </c>
    </row>
    <row r="2565" spans="1:16">
      <c r="A2565" s="474"/>
      <c r="B2565" s="127">
        <v>2</v>
      </c>
      <c r="C2565" s="147">
        <v>0</v>
      </c>
      <c r="D2565" s="147">
        <v>0</v>
      </c>
      <c r="E2565" s="147">
        <v>0</v>
      </c>
      <c r="F2565" s="147">
        <v>0</v>
      </c>
      <c r="G2565" s="147">
        <v>0</v>
      </c>
      <c r="H2565" s="147">
        <v>0</v>
      </c>
      <c r="I2565" s="147">
        <v>0</v>
      </c>
      <c r="J2565" s="147">
        <v>0</v>
      </c>
      <c r="K2565" s="147">
        <v>0</v>
      </c>
      <c r="L2565" s="148">
        <v>0</v>
      </c>
      <c r="M2565" s="149">
        <f t="shared" ref="M2565" si="1112">+C2565+E2565+G2565+I2565+K2565</f>
        <v>0</v>
      </c>
      <c r="N2565" s="150">
        <f t="shared" si="1109"/>
        <v>0</v>
      </c>
      <c r="O2565" s="167">
        <f t="shared" si="1110"/>
        <v>0</v>
      </c>
      <c r="P2565" s="152">
        <f t="shared" si="1111"/>
        <v>0</v>
      </c>
    </row>
    <row r="2566" spans="1:16">
      <c r="A2566" s="474"/>
      <c r="B2566" s="127">
        <v>3</v>
      </c>
      <c r="C2566" s="147">
        <v>0</v>
      </c>
      <c r="D2566" s="147">
        <v>0</v>
      </c>
      <c r="E2566" s="147">
        <v>0</v>
      </c>
      <c r="F2566" s="147">
        <v>0</v>
      </c>
      <c r="G2566" s="147">
        <v>0</v>
      </c>
      <c r="H2566" s="147">
        <v>0</v>
      </c>
      <c r="I2566" s="147">
        <v>0</v>
      </c>
      <c r="J2566" s="147">
        <v>0</v>
      </c>
      <c r="K2566" s="147">
        <v>0</v>
      </c>
      <c r="L2566" s="148">
        <v>0</v>
      </c>
      <c r="M2566" s="149">
        <f>+C2566+E2566+G2566+I2566+K2566</f>
        <v>0</v>
      </c>
      <c r="N2566" s="150">
        <f>+D2566+F2566+H2566+J2566+L2566</f>
        <v>0</v>
      </c>
      <c r="O2566" s="167">
        <f t="shared" si="1110"/>
        <v>0</v>
      </c>
      <c r="P2566" s="152">
        <f t="shared" si="1111"/>
        <v>0</v>
      </c>
    </row>
    <row r="2567" spans="1:16">
      <c r="A2567" s="474"/>
      <c r="B2567" s="127">
        <v>4</v>
      </c>
      <c r="C2567" s="147">
        <v>0</v>
      </c>
      <c r="D2567" s="147">
        <v>0</v>
      </c>
      <c r="E2567" s="147">
        <v>0</v>
      </c>
      <c r="F2567" s="147">
        <v>0</v>
      </c>
      <c r="G2567" s="147">
        <v>0</v>
      </c>
      <c r="H2567" s="147">
        <v>0</v>
      </c>
      <c r="I2567" s="147">
        <v>0</v>
      </c>
      <c r="J2567" s="147">
        <v>0</v>
      </c>
      <c r="K2567" s="147">
        <v>0</v>
      </c>
      <c r="L2567" s="148">
        <v>0</v>
      </c>
      <c r="M2567" s="154">
        <f t="shared" ref="M2567:M2575" si="1113">+C2567+E2567+G2567+I2567+K2567</f>
        <v>0</v>
      </c>
      <c r="N2567" s="155">
        <f t="shared" ref="N2567:N2575" si="1114">+D2567+F2567+H2567+J2567+L2567</f>
        <v>0</v>
      </c>
      <c r="O2567" s="168">
        <f t="shared" si="1110"/>
        <v>0</v>
      </c>
      <c r="P2567" s="157">
        <f t="shared" si="1111"/>
        <v>0</v>
      </c>
    </row>
    <row r="2568" spans="1:16">
      <c r="A2568" s="474"/>
      <c r="B2568" s="127">
        <v>5</v>
      </c>
      <c r="C2568" s="147">
        <v>0</v>
      </c>
      <c r="D2568" s="147">
        <v>0</v>
      </c>
      <c r="E2568" s="147">
        <v>0</v>
      </c>
      <c r="F2568" s="147">
        <v>0</v>
      </c>
      <c r="G2568" s="147">
        <v>0</v>
      </c>
      <c r="H2568" s="147">
        <v>0</v>
      </c>
      <c r="I2568" s="147">
        <v>0</v>
      </c>
      <c r="J2568" s="147">
        <v>0</v>
      </c>
      <c r="K2568" s="147">
        <v>0</v>
      </c>
      <c r="L2568" s="148">
        <v>0</v>
      </c>
      <c r="M2568" s="154">
        <f t="shared" si="1113"/>
        <v>0</v>
      </c>
      <c r="N2568" s="155">
        <f t="shared" si="1114"/>
        <v>0</v>
      </c>
      <c r="O2568" s="168">
        <f t="shared" si="1110"/>
        <v>0</v>
      </c>
      <c r="P2568" s="157">
        <f t="shared" si="1111"/>
        <v>0</v>
      </c>
    </row>
    <row r="2569" spans="1:16">
      <c r="A2569" s="474"/>
      <c r="B2569" s="127">
        <v>6</v>
      </c>
      <c r="C2569" s="147">
        <f>集計用!C103</f>
        <v>0</v>
      </c>
      <c r="D2569" s="147">
        <f>集計用!S103</f>
        <v>0</v>
      </c>
      <c r="E2569" s="147">
        <f>集計用!E103</f>
        <v>0</v>
      </c>
      <c r="F2569" s="147">
        <f>集計用!U103</f>
        <v>0</v>
      </c>
      <c r="G2569" s="147">
        <f>集計用!G103</f>
        <v>0</v>
      </c>
      <c r="H2569" s="147">
        <f>集計用!W103</f>
        <v>0</v>
      </c>
      <c r="I2569" s="147">
        <f>集計用!I103</f>
        <v>0</v>
      </c>
      <c r="J2569" s="147">
        <f>集計用!Y103</f>
        <v>0</v>
      </c>
      <c r="K2569" s="147">
        <f>集計用!K103</f>
        <v>0</v>
      </c>
      <c r="L2569" s="148">
        <f>集計用!AA103</f>
        <v>0</v>
      </c>
      <c r="M2569" s="154">
        <f t="shared" si="1113"/>
        <v>0</v>
      </c>
      <c r="N2569" s="155">
        <f t="shared" si="1114"/>
        <v>0</v>
      </c>
      <c r="O2569" s="168">
        <f>M2569/30</f>
        <v>0</v>
      </c>
      <c r="P2569" s="157">
        <f>N2569/30</f>
        <v>0</v>
      </c>
    </row>
    <row r="2570" spans="1:16">
      <c r="A2570" s="474"/>
      <c r="B2570" s="127">
        <v>7</v>
      </c>
      <c r="C2570" s="158"/>
      <c r="D2570" s="158"/>
      <c r="E2570" s="158"/>
      <c r="F2570" s="158"/>
      <c r="G2570" s="158"/>
      <c r="H2570" s="158"/>
      <c r="I2570" s="158"/>
      <c r="J2570" s="158"/>
      <c r="K2570" s="158"/>
      <c r="L2570" s="158"/>
      <c r="M2570" s="154">
        <f t="shared" si="1113"/>
        <v>0</v>
      </c>
      <c r="N2570" s="155">
        <f t="shared" si="1114"/>
        <v>0</v>
      </c>
      <c r="O2570" s="168">
        <f t="shared" ref="O2570:O2575" si="1115">M2570/31</f>
        <v>0</v>
      </c>
      <c r="P2570" s="157">
        <f t="shared" ref="P2570:P2575" si="1116">N2570/31</f>
        <v>0</v>
      </c>
    </row>
    <row r="2571" spans="1:16">
      <c r="A2571" s="474"/>
      <c r="B2571" s="127">
        <v>8</v>
      </c>
      <c r="C2571" s="158"/>
      <c r="D2571" s="158"/>
      <c r="E2571" s="158"/>
      <c r="F2571" s="158"/>
      <c r="G2571" s="158"/>
      <c r="H2571" s="158"/>
      <c r="I2571" s="158"/>
      <c r="J2571" s="158"/>
      <c r="K2571" s="158"/>
      <c r="L2571" s="158"/>
      <c r="M2571" s="177">
        <f t="shared" si="1113"/>
        <v>0</v>
      </c>
      <c r="N2571" s="158">
        <f t="shared" si="1114"/>
        <v>0</v>
      </c>
      <c r="O2571" s="168">
        <f t="shared" si="1115"/>
        <v>0</v>
      </c>
      <c r="P2571" s="157">
        <f t="shared" si="1116"/>
        <v>0</v>
      </c>
    </row>
    <row r="2572" spans="1:16">
      <c r="A2572" s="474"/>
      <c r="B2572" s="127">
        <v>9</v>
      </c>
      <c r="C2572" s="147"/>
      <c r="D2572" s="147"/>
      <c r="E2572" s="147"/>
      <c r="F2572" s="147"/>
      <c r="G2572" s="147"/>
      <c r="H2572" s="147"/>
      <c r="I2572" s="147"/>
      <c r="J2572" s="147"/>
      <c r="K2572" s="147"/>
      <c r="L2572" s="147"/>
      <c r="M2572" s="177">
        <f t="shared" ref="M2572" si="1117">+C2572+E2572+G2572+I2572+K2572</f>
        <v>0</v>
      </c>
      <c r="N2572" s="158">
        <f t="shared" ref="N2572" si="1118">+D2572+F2572+H2572+J2572+L2572</f>
        <v>0</v>
      </c>
      <c r="O2572" s="168">
        <f>M2572/30</f>
        <v>0</v>
      </c>
      <c r="P2572" s="157">
        <f>N2572/30</f>
        <v>0</v>
      </c>
    </row>
    <row r="2573" spans="1:16">
      <c r="A2573" s="474"/>
      <c r="B2573" s="127">
        <v>10</v>
      </c>
      <c r="C2573" s="147"/>
      <c r="D2573" s="147"/>
      <c r="E2573" s="147"/>
      <c r="F2573" s="181"/>
      <c r="G2573" s="147"/>
      <c r="H2573" s="147"/>
      <c r="I2573" s="147"/>
      <c r="J2573" s="147"/>
      <c r="K2573" s="147"/>
      <c r="L2573" s="148"/>
      <c r="M2573" s="154">
        <f t="shared" ref="M2573" si="1119">+C2573+E2573+G2573+I2573+K2573</f>
        <v>0</v>
      </c>
      <c r="N2573" s="155">
        <f>+D2573+F2573+H2573+J2573+L2573</f>
        <v>0</v>
      </c>
      <c r="O2573" s="168">
        <f t="shared" ref="O2573" si="1120">M2573/31</f>
        <v>0</v>
      </c>
      <c r="P2573" s="157">
        <f t="shared" ref="P2573" si="1121">N2573/31</f>
        <v>0</v>
      </c>
    </row>
    <row r="2574" spans="1:16">
      <c r="A2574" s="474"/>
      <c r="B2574" s="127">
        <v>11</v>
      </c>
      <c r="C2574" s="367"/>
      <c r="D2574" s="367"/>
      <c r="E2574" s="367"/>
      <c r="F2574" s="367"/>
      <c r="G2574" s="367"/>
      <c r="H2574" s="367"/>
      <c r="I2574" s="367"/>
      <c r="J2574" s="367"/>
      <c r="K2574" s="367"/>
      <c r="L2574" s="368"/>
      <c r="M2574" s="154">
        <f t="shared" si="1113"/>
        <v>0</v>
      </c>
      <c r="N2574" s="155">
        <f t="shared" si="1114"/>
        <v>0</v>
      </c>
      <c r="O2574" s="168">
        <f t="shared" si="1115"/>
        <v>0</v>
      </c>
      <c r="P2574" s="157">
        <f t="shared" si="1116"/>
        <v>0</v>
      </c>
    </row>
    <row r="2575" spans="1:16" ht="14.25" thickBot="1">
      <c r="A2575" s="475"/>
      <c r="B2575" s="127">
        <v>12</v>
      </c>
      <c r="C2575" s="187"/>
      <c r="D2575" s="187"/>
      <c r="E2575" s="187"/>
      <c r="F2575" s="188"/>
      <c r="G2575" s="187"/>
      <c r="H2575" s="187"/>
      <c r="I2575" s="187"/>
      <c r="J2575" s="187"/>
      <c r="K2575" s="187"/>
      <c r="L2575" s="189"/>
      <c r="M2575" s="190">
        <f t="shared" si="1113"/>
        <v>0</v>
      </c>
      <c r="N2575" s="191">
        <f t="shared" si="1114"/>
        <v>0</v>
      </c>
      <c r="O2575" s="192">
        <f t="shared" si="1115"/>
        <v>0</v>
      </c>
      <c r="P2575" s="193">
        <f t="shared" si="1116"/>
        <v>0</v>
      </c>
    </row>
    <row r="2576" spans="1:16" ht="14.25" thickBot="1">
      <c r="A2576" s="180"/>
      <c r="B2576" s="160" t="s">
        <v>5</v>
      </c>
      <c r="C2576" s="161">
        <f>SUM(C2552:C2575)</f>
        <v>0</v>
      </c>
      <c r="D2576" s="161">
        <f t="shared" ref="D2576:P2576" si="1122">SUM(D2552:D2575)</f>
        <v>0</v>
      </c>
      <c r="E2576" s="161">
        <f t="shared" si="1122"/>
        <v>0</v>
      </c>
      <c r="F2576" s="161">
        <f t="shared" si="1122"/>
        <v>0</v>
      </c>
      <c r="G2576" s="161">
        <f t="shared" si="1122"/>
        <v>1</v>
      </c>
      <c r="H2576" s="161">
        <f t="shared" si="1122"/>
        <v>2</v>
      </c>
      <c r="I2576" s="161">
        <f t="shared" si="1122"/>
        <v>0</v>
      </c>
      <c r="J2576" s="161">
        <f t="shared" si="1122"/>
        <v>0</v>
      </c>
      <c r="K2576" s="161">
        <f t="shared" si="1122"/>
        <v>0</v>
      </c>
      <c r="L2576" s="161">
        <f t="shared" si="1122"/>
        <v>0</v>
      </c>
      <c r="M2576" s="162">
        <f t="shared" si="1122"/>
        <v>1</v>
      </c>
      <c r="N2576" s="161">
        <f t="shared" si="1122"/>
        <v>2</v>
      </c>
      <c r="O2576" s="161">
        <f t="shared" si="1122"/>
        <v>3.2258064516129031E-2</v>
      </c>
      <c r="P2576" s="161">
        <f t="shared" si="1122"/>
        <v>6.4516129032258063E-2</v>
      </c>
    </row>
    <row r="2579" spans="1:16">
      <c r="B2579" s="467" t="s">
        <v>237</v>
      </c>
      <c r="C2579" s="469" t="s">
        <v>29</v>
      </c>
      <c r="D2579" s="470"/>
      <c r="E2579" s="469" t="s">
        <v>30</v>
      </c>
      <c r="F2579" s="470"/>
      <c r="G2579" s="469" t="s">
        <v>31</v>
      </c>
      <c r="H2579" s="470"/>
      <c r="I2579" s="469" t="s">
        <v>58</v>
      </c>
      <c r="J2579" s="470"/>
      <c r="K2579" s="469" t="s">
        <v>57</v>
      </c>
      <c r="L2579" s="471"/>
      <c r="M2579" s="470" t="s">
        <v>5</v>
      </c>
      <c r="N2579" s="472"/>
      <c r="O2579" s="472" t="s">
        <v>33</v>
      </c>
      <c r="P2579" s="472"/>
    </row>
    <row r="2580" spans="1:16" ht="14.25" thickBot="1">
      <c r="B2580" s="468"/>
      <c r="C2580" s="13" t="s">
        <v>34</v>
      </c>
      <c r="D2580" s="13" t="s">
        <v>35</v>
      </c>
      <c r="E2580" s="13" t="s">
        <v>34</v>
      </c>
      <c r="F2580" s="13" t="s">
        <v>35</v>
      </c>
      <c r="G2580" s="13" t="s">
        <v>34</v>
      </c>
      <c r="H2580" s="13" t="s">
        <v>35</v>
      </c>
      <c r="I2580" s="13" t="s">
        <v>59</v>
      </c>
      <c r="J2580" s="13" t="s">
        <v>60</v>
      </c>
      <c r="K2580" s="13" t="s">
        <v>34</v>
      </c>
      <c r="L2580" s="14" t="s">
        <v>35</v>
      </c>
      <c r="M2580" s="15" t="s">
        <v>34</v>
      </c>
      <c r="N2580" s="13" t="s">
        <v>35</v>
      </c>
      <c r="O2580" s="163" t="s">
        <v>34</v>
      </c>
      <c r="P2580" s="163" t="s">
        <v>35</v>
      </c>
    </row>
    <row r="2581" spans="1:16">
      <c r="A2581" s="473">
        <v>2019</v>
      </c>
      <c r="B2581" s="410">
        <v>1</v>
      </c>
      <c r="C2581" s="422">
        <v>0</v>
      </c>
      <c r="D2581" s="422">
        <v>0</v>
      </c>
      <c r="E2581" s="422">
        <v>0</v>
      </c>
      <c r="F2581" s="422">
        <v>0</v>
      </c>
      <c r="G2581" s="422">
        <v>0</v>
      </c>
      <c r="H2581" s="422">
        <v>0</v>
      </c>
      <c r="I2581" s="422">
        <v>0</v>
      </c>
      <c r="J2581" s="422">
        <v>0</v>
      </c>
      <c r="K2581" s="422">
        <v>0</v>
      </c>
      <c r="L2581" s="422">
        <v>0</v>
      </c>
      <c r="M2581" s="424">
        <f>+C2581+E2581+G2581+I2581+K2581</f>
        <v>0</v>
      </c>
      <c r="N2581" s="425">
        <f t="shared" ref="N2581:N2582" si="1123">+D2581+F2581+H2581+J2581+L2581</f>
        <v>0</v>
      </c>
      <c r="O2581" s="430">
        <f t="shared" ref="O2581:O2585" si="1124">M2581/31</f>
        <v>0</v>
      </c>
      <c r="P2581" s="427">
        <f t="shared" ref="P2581:P2585" si="1125">N2581/31</f>
        <v>0</v>
      </c>
    </row>
    <row r="2582" spans="1:16">
      <c r="A2582" s="474"/>
      <c r="B2582" s="127">
        <v>2</v>
      </c>
      <c r="C2582" s="147">
        <v>0</v>
      </c>
      <c r="D2582" s="147">
        <v>0</v>
      </c>
      <c r="E2582" s="147">
        <v>0</v>
      </c>
      <c r="F2582" s="147">
        <v>0</v>
      </c>
      <c r="G2582" s="147">
        <v>0</v>
      </c>
      <c r="H2582" s="147">
        <v>0</v>
      </c>
      <c r="I2582" s="147">
        <v>0</v>
      </c>
      <c r="J2582" s="147">
        <v>0</v>
      </c>
      <c r="K2582" s="147">
        <v>0</v>
      </c>
      <c r="L2582" s="174">
        <v>0</v>
      </c>
      <c r="M2582" s="149">
        <f t="shared" ref="M2582" si="1126">+C2582+E2582+G2582+I2582+K2582</f>
        <v>0</v>
      </c>
      <c r="N2582" s="150">
        <f t="shared" si="1123"/>
        <v>0</v>
      </c>
      <c r="O2582" s="167">
        <f t="shared" si="1124"/>
        <v>0</v>
      </c>
      <c r="P2582" s="152">
        <f t="shared" si="1125"/>
        <v>0</v>
      </c>
    </row>
    <row r="2583" spans="1:16">
      <c r="A2583" s="474"/>
      <c r="B2583" s="127">
        <v>3</v>
      </c>
      <c r="C2583" s="147">
        <v>0</v>
      </c>
      <c r="D2583" s="147">
        <v>0</v>
      </c>
      <c r="E2583" s="147">
        <v>0</v>
      </c>
      <c r="F2583" s="147">
        <v>0</v>
      </c>
      <c r="G2583" s="147">
        <v>0</v>
      </c>
      <c r="H2583" s="147">
        <v>0</v>
      </c>
      <c r="I2583" s="147">
        <v>0</v>
      </c>
      <c r="J2583" s="147">
        <v>0</v>
      </c>
      <c r="K2583" s="147">
        <v>0</v>
      </c>
      <c r="L2583" s="174">
        <v>0</v>
      </c>
      <c r="M2583" s="149">
        <f>+C2583+E2583+G2583+I2583+K2583</f>
        <v>0</v>
      </c>
      <c r="N2583" s="150">
        <f>+D2583+F2583+H2583+J2583+L2583</f>
        <v>0</v>
      </c>
      <c r="O2583" s="167">
        <f t="shared" si="1124"/>
        <v>0</v>
      </c>
      <c r="P2583" s="152">
        <f t="shared" si="1125"/>
        <v>0</v>
      </c>
    </row>
    <row r="2584" spans="1:16">
      <c r="A2584" s="474"/>
      <c r="B2584" s="127">
        <v>4</v>
      </c>
      <c r="C2584" s="147">
        <v>0</v>
      </c>
      <c r="D2584" s="147">
        <v>0</v>
      </c>
      <c r="E2584" s="147">
        <v>0</v>
      </c>
      <c r="F2584" s="147">
        <v>0</v>
      </c>
      <c r="G2584" s="147">
        <v>0</v>
      </c>
      <c r="H2584" s="147">
        <v>0</v>
      </c>
      <c r="I2584" s="147">
        <v>0</v>
      </c>
      <c r="J2584" s="147">
        <v>0</v>
      </c>
      <c r="K2584" s="147">
        <v>0</v>
      </c>
      <c r="L2584" s="174">
        <v>0</v>
      </c>
      <c r="M2584" s="154">
        <f t="shared" ref="M2584:M2588" si="1127">+C2584+E2584+G2584+I2584+K2584</f>
        <v>0</v>
      </c>
      <c r="N2584" s="155">
        <f t="shared" ref="N2584:N2588" si="1128">+D2584+F2584+H2584+J2584+L2584</f>
        <v>0</v>
      </c>
      <c r="O2584" s="168">
        <f t="shared" si="1124"/>
        <v>0</v>
      </c>
      <c r="P2584" s="157">
        <f t="shared" si="1125"/>
        <v>0</v>
      </c>
    </row>
    <row r="2585" spans="1:16">
      <c r="A2585" s="474"/>
      <c r="B2585" s="127">
        <v>5</v>
      </c>
      <c r="C2585" s="147">
        <v>0</v>
      </c>
      <c r="D2585" s="147">
        <v>0</v>
      </c>
      <c r="E2585" s="147">
        <v>0</v>
      </c>
      <c r="F2585" s="147">
        <v>0</v>
      </c>
      <c r="G2585" s="147">
        <v>0</v>
      </c>
      <c r="H2585" s="147">
        <v>0</v>
      </c>
      <c r="I2585" s="147">
        <v>0</v>
      </c>
      <c r="J2585" s="147">
        <v>0</v>
      </c>
      <c r="K2585" s="147">
        <v>0</v>
      </c>
      <c r="L2585" s="174">
        <v>0</v>
      </c>
      <c r="M2585" s="154">
        <f t="shared" si="1127"/>
        <v>0</v>
      </c>
      <c r="N2585" s="155">
        <f t="shared" si="1128"/>
        <v>0</v>
      </c>
      <c r="O2585" s="168">
        <f t="shared" si="1124"/>
        <v>0</v>
      </c>
      <c r="P2585" s="157">
        <f t="shared" si="1125"/>
        <v>0</v>
      </c>
    </row>
    <row r="2586" spans="1:16">
      <c r="A2586" s="474"/>
      <c r="B2586" s="127">
        <v>6</v>
      </c>
      <c r="C2586" s="147">
        <v>0</v>
      </c>
      <c r="D2586" s="147">
        <v>0</v>
      </c>
      <c r="E2586" s="147">
        <v>0</v>
      </c>
      <c r="F2586" s="147">
        <v>0</v>
      </c>
      <c r="G2586" s="147">
        <v>0</v>
      </c>
      <c r="H2586" s="147">
        <v>0</v>
      </c>
      <c r="I2586" s="147">
        <v>0</v>
      </c>
      <c r="J2586" s="147">
        <v>0</v>
      </c>
      <c r="K2586" s="147">
        <v>0</v>
      </c>
      <c r="L2586" s="174">
        <v>0</v>
      </c>
      <c r="M2586" s="154">
        <f t="shared" si="1127"/>
        <v>0</v>
      </c>
      <c r="N2586" s="155">
        <f t="shared" si="1128"/>
        <v>0</v>
      </c>
      <c r="O2586" s="168">
        <f>M2586/30</f>
        <v>0</v>
      </c>
      <c r="P2586" s="157">
        <f>N2586/30</f>
        <v>0</v>
      </c>
    </row>
    <row r="2587" spans="1:16">
      <c r="A2587" s="474"/>
      <c r="B2587" s="127">
        <v>7</v>
      </c>
      <c r="C2587" s="158">
        <v>0</v>
      </c>
      <c r="D2587" s="158">
        <v>0</v>
      </c>
      <c r="E2587" s="158">
        <v>0</v>
      </c>
      <c r="F2587" s="158">
        <v>0</v>
      </c>
      <c r="G2587" s="158">
        <v>0</v>
      </c>
      <c r="H2587" s="158">
        <v>0</v>
      </c>
      <c r="I2587" s="158">
        <v>0</v>
      </c>
      <c r="J2587" s="158">
        <v>0</v>
      </c>
      <c r="K2587" s="158">
        <v>0</v>
      </c>
      <c r="L2587" s="158">
        <v>0</v>
      </c>
      <c r="M2587" s="154">
        <f t="shared" si="1127"/>
        <v>0</v>
      </c>
      <c r="N2587" s="155">
        <f t="shared" si="1128"/>
        <v>0</v>
      </c>
      <c r="O2587" s="168">
        <f t="shared" ref="O2587:O2588" si="1129">M2587/31</f>
        <v>0</v>
      </c>
      <c r="P2587" s="157">
        <f t="shared" ref="P2587:P2588" si="1130">N2587/31</f>
        <v>0</v>
      </c>
    </row>
    <row r="2588" spans="1:16">
      <c r="A2588" s="474"/>
      <c r="B2588" s="127">
        <v>8</v>
      </c>
      <c r="C2588" s="158">
        <v>0</v>
      </c>
      <c r="D2588" s="158">
        <v>0</v>
      </c>
      <c r="E2588" s="158">
        <v>0</v>
      </c>
      <c r="F2588" s="158">
        <v>0</v>
      </c>
      <c r="G2588" s="158">
        <v>0</v>
      </c>
      <c r="H2588" s="158">
        <v>0</v>
      </c>
      <c r="I2588" s="158">
        <v>0</v>
      </c>
      <c r="J2588" s="158">
        <v>0</v>
      </c>
      <c r="K2588" s="158">
        <v>0</v>
      </c>
      <c r="L2588" s="158">
        <v>0</v>
      </c>
      <c r="M2588" s="177">
        <f t="shared" si="1127"/>
        <v>0</v>
      </c>
      <c r="N2588" s="158">
        <f t="shared" si="1128"/>
        <v>0</v>
      </c>
      <c r="O2588" s="168">
        <f t="shared" si="1129"/>
        <v>0</v>
      </c>
      <c r="P2588" s="157">
        <f t="shared" si="1130"/>
        <v>0</v>
      </c>
    </row>
    <row r="2589" spans="1:16">
      <c r="A2589" s="474"/>
      <c r="B2589" s="127">
        <v>9</v>
      </c>
      <c r="C2589" s="147">
        <v>1</v>
      </c>
      <c r="D2589" s="147">
        <v>2</v>
      </c>
      <c r="E2589" s="147">
        <v>0</v>
      </c>
      <c r="F2589" s="147">
        <v>0</v>
      </c>
      <c r="G2589" s="147">
        <v>0</v>
      </c>
      <c r="H2589" s="147">
        <v>0</v>
      </c>
      <c r="I2589" s="147">
        <v>0</v>
      </c>
      <c r="J2589" s="147">
        <v>0</v>
      </c>
      <c r="K2589" s="147">
        <v>0</v>
      </c>
      <c r="L2589" s="147">
        <v>0</v>
      </c>
      <c r="M2589" s="177">
        <v>1</v>
      </c>
      <c r="N2589" s="158">
        <v>2</v>
      </c>
      <c r="O2589" s="168">
        <v>3.2258064516129031E-2</v>
      </c>
      <c r="P2589" s="157">
        <v>6.4516129032258063E-2</v>
      </c>
    </row>
    <row r="2590" spans="1:16">
      <c r="A2590" s="474"/>
      <c r="B2590" s="127">
        <v>10</v>
      </c>
      <c r="C2590" s="147">
        <v>0</v>
      </c>
      <c r="D2590" s="147">
        <v>0</v>
      </c>
      <c r="E2590" s="147">
        <v>0</v>
      </c>
      <c r="F2590" s="181">
        <v>0</v>
      </c>
      <c r="G2590" s="147">
        <v>0</v>
      </c>
      <c r="H2590" s="147">
        <v>0</v>
      </c>
      <c r="I2590" s="147">
        <v>0</v>
      </c>
      <c r="J2590" s="147">
        <v>0</v>
      </c>
      <c r="K2590" s="147">
        <v>0</v>
      </c>
      <c r="L2590" s="148">
        <v>0</v>
      </c>
      <c r="M2590" s="154">
        <f t="shared" ref="M2590:M2592" si="1131">+C2590+E2590+G2590+I2590+K2590</f>
        <v>0</v>
      </c>
      <c r="N2590" s="155">
        <f>+D2590+F2590+H2590+J2590+L2590</f>
        <v>0</v>
      </c>
      <c r="O2590" s="168">
        <f t="shared" ref="O2590:O2592" si="1132">M2590/31</f>
        <v>0</v>
      </c>
      <c r="P2590" s="157">
        <f t="shared" ref="P2590:P2592" si="1133">N2590/31</f>
        <v>0</v>
      </c>
    </row>
    <row r="2591" spans="1:16">
      <c r="A2591" s="474"/>
      <c r="B2591" s="127">
        <v>11</v>
      </c>
      <c r="C2591" s="367">
        <v>0</v>
      </c>
      <c r="D2591" s="367">
        <v>0</v>
      </c>
      <c r="E2591" s="367">
        <v>0</v>
      </c>
      <c r="F2591" s="367">
        <v>0</v>
      </c>
      <c r="G2591" s="367">
        <v>0</v>
      </c>
      <c r="H2591" s="367">
        <v>0</v>
      </c>
      <c r="I2591" s="367">
        <v>0</v>
      </c>
      <c r="J2591" s="367">
        <v>0</v>
      </c>
      <c r="K2591" s="367">
        <v>0</v>
      </c>
      <c r="L2591" s="368">
        <v>0</v>
      </c>
      <c r="M2591" s="154">
        <f t="shared" si="1131"/>
        <v>0</v>
      </c>
      <c r="N2591" s="155">
        <f t="shared" ref="N2591:N2592" si="1134">+D2591+F2591+H2591+J2591+L2591</f>
        <v>0</v>
      </c>
      <c r="O2591" s="168">
        <f t="shared" si="1132"/>
        <v>0</v>
      </c>
      <c r="P2591" s="157">
        <f t="shared" si="1133"/>
        <v>0</v>
      </c>
    </row>
    <row r="2592" spans="1:16" ht="14.25" thickBot="1">
      <c r="A2592" s="475"/>
      <c r="B2592" s="127">
        <v>12</v>
      </c>
      <c r="C2592" s="187">
        <v>0</v>
      </c>
      <c r="D2592" s="187">
        <v>0</v>
      </c>
      <c r="E2592" s="187">
        <v>0</v>
      </c>
      <c r="F2592" s="188">
        <v>0</v>
      </c>
      <c r="G2592" s="187">
        <v>0</v>
      </c>
      <c r="H2592" s="187">
        <v>0</v>
      </c>
      <c r="I2592" s="187">
        <v>0</v>
      </c>
      <c r="J2592" s="187">
        <v>0</v>
      </c>
      <c r="K2592" s="187">
        <v>0</v>
      </c>
      <c r="L2592" s="189">
        <v>0</v>
      </c>
      <c r="M2592" s="190">
        <f t="shared" si="1131"/>
        <v>0</v>
      </c>
      <c r="N2592" s="191">
        <f t="shared" si="1134"/>
        <v>0</v>
      </c>
      <c r="O2592" s="192">
        <f t="shared" si="1132"/>
        <v>0</v>
      </c>
      <c r="P2592" s="193">
        <f t="shared" si="1133"/>
        <v>0</v>
      </c>
    </row>
    <row r="2593" spans="1:16">
      <c r="A2593" s="473">
        <v>2020</v>
      </c>
      <c r="B2593" s="410">
        <v>1</v>
      </c>
      <c r="C2593" s="434">
        <v>0</v>
      </c>
      <c r="D2593" s="434">
        <v>0</v>
      </c>
      <c r="E2593" s="434">
        <v>0</v>
      </c>
      <c r="F2593" s="434">
        <v>0</v>
      </c>
      <c r="G2593" s="434">
        <v>0</v>
      </c>
      <c r="H2593" s="434">
        <v>0</v>
      </c>
      <c r="I2593" s="434">
        <v>0</v>
      </c>
      <c r="J2593" s="434">
        <v>0</v>
      </c>
      <c r="K2593" s="434">
        <v>0</v>
      </c>
      <c r="L2593" s="436">
        <v>0</v>
      </c>
      <c r="M2593" s="424">
        <f>+C2593+E2593+G2593+I2593+K2593</f>
        <v>0</v>
      </c>
      <c r="N2593" s="425">
        <f t="shared" ref="N2593:N2594" si="1135">+D2593+F2593+H2593+J2593+L2593</f>
        <v>0</v>
      </c>
      <c r="O2593" s="430">
        <f t="shared" ref="O2593:O2597" si="1136">M2593/31</f>
        <v>0</v>
      </c>
      <c r="P2593" s="427">
        <f t="shared" ref="P2593:P2597" si="1137">N2593/31</f>
        <v>0</v>
      </c>
    </row>
    <row r="2594" spans="1:16">
      <c r="A2594" s="474"/>
      <c r="B2594" s="127">
        <v>2</v>
      </c>
      <c r="C2594" s="147">
        <v>0</v>
      </c>
      <c r="D2594" s="147">
        <v>0</v>
      </c>
      <c r="E2594" s="147">
        <v>0</v>
      </c>
      <c r="F2594" s="147">
        <v>0</v>
      </c>
      <c r="G2594" s="147">
        <v>0</v>
      </c>
      <c r="H2594" s="147">
        <v>0</v>
      </c>
      <c r="I2594" s="147">
        <v>0</v>
      </c>
      <c r="J2594" s="147">
        <v>0</v>
      </c>
      <c r="K2594" s="147">
        <v>0</v>
      </c>
      <c r="L2594" s="148">
        <v>0</v>
      </c>
      <c r="M2594" s="149">
        <f t="shared" ref="M2594" si="1138">+C2594+E2594+G2594+I2594+K2594</f>
        <v>0</v>
      </c>
      <c r="N2594" s="150">
        <f t="shared" si="1135"/>
        <v>0</v>
      </c>
      <c r="O2594" s="167">
        <f t="shared" si="1136"/>
        <v>0</v>
      </c>
      <c r="P2594" s="152">
        <f t="shared" si="1137"/>
        <v>0</v>
      </c>
    </row>
    <row r="2595" spans="1:16">
      <c r="A2595" s="474"/>
      <c r="B2595" s="127">
        <v>3</v>
      </c>
      <c r="C2595" s="147">
        <v>0</v>
      </c>
      <c r="D2595" s="147">
        <v>0</v>
      </c>
      <c r="E2595" s="147">
        <v>0</v>
      </c>
      <c r="F2595" s="147">
        <v>0</v>
      </c>
      <c r="G2595" s="147">
        <v>0</v>
      </c>
      <c r="H2595" s="147">
        <v>0</v>
      </c>
      <c r="I2595" s="147">
        <v>0</v>
      </c>
      <c r="J2595" s="147">
        <v>0</v>
      </c>
      <c r="K2595" s="147">
        <v>0</v>
      </c>
      <c r="L2595" s="148">
        <v>0</v>
      </c>
      <c r="M2595" s="149">
        <f>+C2595+E2595+G2595+I2595+K2595</f>
        <v>0</v>
      </c>
      <c r="N2595" s="150">
        <f>+D2595+F2595+H2595+J2595+L2595</f>
        <v>0</v>
      </c>
      <c r="O2595" s="167">
        <f t="shared" si="1136"/>
        <v>0</v>
      </c>
      <c r="P2595" s="152">
        <f t="shared" si="1137"/>
        <v>0</v>
      </c>
    </row>
    <row r="2596" spans="1:16">
      <c r="A2596" s="474"/>
      <c r="B2596" s="127">
        <v>4</v>
      </c>
      <c r="C2596" s="147">
        <v>0</v>
      </c>
      <c r="D2596" s="147">
        <v>0</v>
      </c>
      <c r="E2596" s="147">
        <v>0</v>
      </c>
      <c r="F2596" s="147">
        <v>0</v>
      </c>
      <c r="G2596" s="147">
        <v>0</v>
      </c>
      <c r="H2596" s="147">
        <v>0</v>
      </c>
      <c r="I2596" s="147">
        <v>0</v>
      </c>
      <c r="J2596" s="147">
        <v>0</v>
      </c>
      <c r="K2596" s="147">
        <v>0</v>
      </c>
      <c r="L2596" s="148">
        <v>0</v>
      </c>
      <c r="M2596" s="154">
        <f t="shared" ref="M2596:M2600" si="1139">+C2596+E2596+G2596+I2596+K2596</f>
        <v>0</v>
      </c>
      <c r="N2596" s="155">
        <f t="shared" ref="N2596:N2600" si="1140">+D2596+F2596+H2596+J2596+L2596</f>
        <v>0</v>
      </c>
      <c r="O2596" s="168">
        <f t="shared" si="1136"/>
        <v>0</v>
      </c>
      <c r="P2596" s="157">
        <f t="shared" si="1137"/>
        <v>0</v>
      </c>
    </row>
    <row r="2597" spans="1:16">
      <c r="A2597" s="474"/>
      <c r="B2597" s="127">
        <v>5</v>
      </c>
      <c r="C2597" s="147">
        <v>0</v>
      </c>
      <c r="D2597" s="147">
        <v>0</v>
      </c>
      <c r="E2597" s="147">
        <v>0</v>
      </c>
      <c r="F2597" s="147">
        <v>0</v>
      </c>
      <c r="G2597" s="147">
        <v>0</v>
      </c>
      <c r="H2597" s="147">
        <v>0</v>
      </c>
      <c r="I2597" s="147">
        <v>0</v>
      </c>
      <c r="J2597" s="147">
        <v>0</v>
      </c>
      <c r="K2597" s="147">
        <v>0</v>
      </c>
      <c r="L2597" s="148">
        <v>0</v>
      </c>
      <c r="M2597" s="154">
        <f t="shared" si="1139"/>
        <v>0</v>
      </c>
      <c r="N2597" s="155">
        <f t="shared" si="1140"/>
        <v>0</v>
      </c>
      <c r="O2597" s="168">
        <f t="shared" si="1136"/>
        <v>0</v>
      </c>
      <c r="P2597" s="157">
        <f t="shared" si="1137"/>
        <v>0</v>
      </c>
    </row>
    <row r="2598" spans="1:16">
      <c r="A2598" s="474"/>
      <c r="B2598" s="127">
        <v>6</v>
      </c>
      <c r="C2598" s="147">
        <f>集計用!C116</f>
        <v>0</v>
      </c>
      <c r="D2598" s="147">
        <f>集計用!S116</f>
        <v>0</v>
      </c>
      <c r="E2598" s="147">
        <f>集計用!E116</f>
        <v>0</v>
      </c>
      <c r="F2598" s="147">
        <f>集計用!U116</f>
        <v>0</v>
      </c>
      <c r="G2598" s="147">
        <f>集計用!G116</f>
        <v>0</v>
      </c>
      <c r="H2598" s="147">
        <f>集計用!W116</f>
        <v>0</v>
      </c>
      <c r="I2598" s="147">
        <f>集計用!I116</f>
        <v>0</v>
      </c>
      <c r="J2598" s="147">
        <f>集計用!Y116</f>
        <v>0</v>
      </c>
      <c r="K2598" s="147">
        <f>集計用!K116</f>
        <v>0</v>
      </c>
      <c r="L2598" s="148">
        <f>集計用!AA116</f>
        <v>0</v>
      </c>
      <c r="M2598" s="154">
        <f t="shared" si="1139"/>
        <v>0</v>
      </c>
      <c r="N2598" s="155">
        <f t="shared" si="1140"/>
        <v>0</v>
      </c>
      <c r="O2598" s="168">
        <f>M2598/30</f>
        <v>0</v>
      </c>
      <c r="P2598" s="157">
        <f>N2598/30</f>
        <v>0</v>
      </c>
    </row>
    <row r="2599" spans="1:16">
      <c r="A2599" s="474"/>
      <c r="B2599" s="127">
        <v>7</v>
      </c>
      <c r="C2599" s="158"/>
      <c r="D2599" s="158"/>
      <c r="E2599" s="158"/>
      <c r="F2599" s="158"/>
      <c r="G2599" s="158"/>
      <c r="H2599" s="158"/>
      <c r="I2599" s="158"/>
      <c r="J2599" s="158"/>
      <c r="K2599" s="158"/>
      <c r="L2599" s="158"/>
      <c r="M2599" s="154">
        <f t="shared" si="1139"/>
        <v>0</v>
      </c>
      <c r="N2599" s="155">
        <f t="shared" si="1140"/>
        <v>0</v>
      </c>
      <c r="O2599" s="168">
        <f t="shared" ref="O2599:O2604" si="1141">M2599/31</f>
        <v>0</v>
      </c>
      <c r="P2599" s="157">
        <f t="shared" ref="P2599:P2604" si="1142">N2599/31</f>
        <v>0</v>
      </c>
    </row>
    <row r="2600" spans="1:16">
      <c r="A2600" s="474"/>
      <c r="B2600" s="127">
        <v>8</v>
      </c>
      <c r="C2600" s="158"/>
      <c r="D2600" s="158"/>
      <c r="E2600" s="158"/>
      <c r="F2600" s="158"/>
      <c r="G2600" s="158"/>
      <c r="H2600" s="158"/>
      <c r="I2600" s="158"/>
      <c r="J2600" s="158"/>
      <c r="K2600" s="158"/>
      <c r="L2600" s="158"/>
      <c r="M2600" s="177">
        <f t="shared" si="1139"/>
        <v>0</v>
      </c>
      <c r="N2600" s="158">
        <f t="shared" si="1140"/>
        <v>0</v>
      </c>
      <c r="O2600" s="168">
        <f t="shared" si="1141"/>
        <v>0</v>
      </c>
      <c r="P2600" s="157">
        <f t="shared" si="1142"/>
        <v>0</v>
      </c>
    </row>
    <row r="2601" spans="1:16">
      <c r="A2601" s="474"/>
      <c r="B2601" s="127">
        <v>9</v>
      </c>
      <c r="C2601" s="147"/>
      <c r="D2601" s="147"/>
      <c r="E2601" s="147"/>
      <c r="F2601" s="147"/>
      <c r="G2601" s="147"/>
      <c r="H2601" s="147"/>
      <c r="I2601" s="147"/>
      <c r="J2601" s="147"/>
      <c r="K2601" s="147"/>
      <c r="L2601" s="147"/>
      <c r="M2601" s="177">
        <f t="shared" ref="M2601" si="1143">+C2601+E2601+G2601+I2601+K2601</f>
        <v>0</v>
      </c>
      <c r="N2601" s="158">
        <f t="shared" ref="N2601" si="1144">+D2601+F2601+H2601+J2601+L2601</f>
        <v>0</v>
      </c>
      <c r="O2601" s="168">
        <f>M2601/30</f>
        <v>0</v>
      </c>
      <c r="P2601" s="157">
        <f>N2601/30</f>
        <v>0</v>
      </c>
    </row>
    <row r="2602" spans="1:16">
      <c r="A2602" s="474"/>
      <c r="B2602" s="127">
        <v>10</v>
      </c>
      <c r="C2602" s="147"/>
      <c r="D2602" s="147"/>
      <c r="E2602" s="147"/>
      <c r="F2602" s="181"/>
      <c r="G2602" s="147"/>
      <c r="H2602" s="147"/>
      <c r="I2602" s="147"/>
      <c r="J2602" s="147"/>
      <c r="K2602" s="147"/>
      <c r="L2602" s="148"/>
      <c r="M2602" s="154">
        <f t="shared" ref="M2602" si="1145">+C2602+E2602+G2602+I2602+K2602</f>
        <v>0</v>
      </c>
      <c r="N2602" s="155">
        <f>+D2602+F2602+H2602+J2602+L2602</f>
        <v>0</v>
      </c>
      <c r="O2602" s="168">
        <f t="shared" ref="O2602" si="1146">M2602/31</f>
        <v>0</v>
      </c>
      <c r="P2602" s="157">
        <f t="shared" ref="P2602" si="1147">N2602/31</f>
        <v>0</v>
      </c>
    </row>
    <row r="2603" spans="1:16">
      <c r="A2603" s="474"/>
      <c r="B2603" s="127">
        <v>11</v>
      </c>
      <c r="C2603" s="367"/>
      <c r="D2603" s="367"/>
      <c r="E2603" s="367"/>
      <c r="F2603" s="367"/>
      <c r="G2603" s="367"/>
      <c r="H2603" s="367"/>
      <c r="I2603" s="367"/>
      <c r="J2603" s="367"/>
      <c r="K2603" s="367"/>
      <c r="L2603" s="368"/>
      <c r="M2603" s="154">
        <f t="shared" ref="M2603:M2604" si="1148">+C2603+E2603+G2603+I2603+K2603</f>
        <v>0</v>
      </c>
      <c r="N2603" s="155">
        <f t="shared" ref="N2603:N2604" si="1149">+D2603+F2603+H2603+J2603+L2603</f>
        <v>0</v>
      </c>
      <c r="O2603" s="168">
        <f t="shared" si="1141"/>
        <v>0</v>
      </c>
      <c r="P2603" s="157">
        <f t="shared" si="1142"/>
        <v>0</v>
      </c>
    </row>
    <row r="2604" spans="1:16" ht="14.25" thickBot="1">
      <c r="A2604" s="475"/>
      <c r="B2604" s="127">
        <v>12</v>
      </c>
      <c r="C2604" s="187"/>
      <c r="D2604" s="187"/>
      <c r="E2604" s="187"/>
      <c r="F2604" s="188"/>
      <c r="G2604" s="187"/>
      <c r="H2604" s="187"/>
      <c r="I2604" s="187"/>
      <c r="J2604" s="187"/>
      <c r="K2604" s="187"/>
      <c r="L2604" s="189"/>
      <c r="M2604" s="190">
        <f t="shared" si="1148"/>
        <v>0</v>
      </c>
      <c r="N2604" s="191">
        <f t="shared" si="1149"/>
        <v>0</v>
      </c>
      <c r="O2604" s="192">
        <f t="shared" si="1141"/>
        <v>0</v>
      </c>
      <c r="P2604" s="193">
        <f t="shared" si="1142"/>
        <v>0</v>
      </c>
    </row>
    <row r="2605" spans="1:16" ht="14.25" thickBot="1">
      <c r="A2605" s="180"/>
      <c r="B2605" s="160" t="s">
        <v>5</v>
      </c>
      <c r="C2605" s="161">
        <f>SUM(C2581:C2604)</f>
        <v>1</v>
      </c>
      <c r="D2605" s="161">
        <f t="shared" ref="D2605:P2605" si="1150">SUM(D2581:D2604)</f>
        <v>2</v>
      </c>
      <c r="E2605" s="161">
        <f t="shared" si="1150"/>
        <v>0</v>
      </c>
      <c r="F2605" s="161">
        <f t="shared" si="1150"/>
        <v>0</v>
      </c>
      <c r="G2605" s="161">
        <f t="shared" si="1150"/>
        <v>0</v>
      </c>
      <c r="H2605" s="161">
        <f t="shared" si="1150"/>
        <v>0</v>
      </c>
      <c r="I2605" s="161">
        <f t="shared" si="1150"/>
        <v>0</v>
      </c>
      <c r="J2605" s="161">
        <f t="shared" si="1150"/>
        <v>0</v>
      </c>
      <c r="K2605" s="161">
        <f t="shared" si="1150"/>
        <v>0</v>
      </c>
      <c r="L2605" s="161">
        <f t="shared" si="1150"/>
        <v>0</v>
      </c>
      <c r="M2605" s="162">
        <f t="shared" si="1150"/>
        <v>1</v>
      </c>
      <c r="N2605" s="161">
        <f t="shared" si="1150"/>
        <v>2</v>
      </c>
      <c r="O2605" s="161">
        <f t="shared" si="1150"/>
        <v>3.2258064516129031E-2</v>
      </c>
      <c r="P2605" s="161">
        <f t="shared" si="1150"/>
        <v>6.4516129032258063E-2</v>
      </c>
    </row>
    <row r="2608" spans="1:16">
      <c r="B2608" s="467" t="s">
        <v>248</v>
      </c>
      <c r="C2608" s="469" t="s">
        <v>29</v>
      </c>
      <c r="D2608" s="470"/>
      <c r="E2608" s="469" t="s">
        <v>30</v>
      </c>
      <c r="F2608" s="470"/>
      <c r="G2608" s="469" t="s">
        <v>31</v>
      </c>
      <c r="H2608" s="470"/>
      <c r="I2608" s="469" t="s">
        <v>58</v>
      </c>
      <c r="J2608" s="470"/>
      <c r="K2608" s="469" t="s">
        <v>57</v>
      </c>
      <c r="L2608" s="471"/>
      <c r="M2608" s="470" t="s">
        <v>5</v>
      </c>
      <c r="N2608" s="472"/>
      <c r="O2608" s="472" t="s">
        <v>33</v>
      </c>
      <c r="P2608" s="472"/>
    </row>
    <row r="2609" spans="1:16" ht="14.25" thickBot="1">
      <c r="B2609" s="468"/>
      <c r="C2609" s="13" t="s">
        <v>34</v>
      </c>
      <c r="D2609" s="13" t="s">
        <v>35</v>
      </c>
      <c r="E2609" s="13" t="s">
        <v>34</v>
      </c>
      <c r="F2609" s="13" t="s">
        <v>35</v>
      </c>
      <c r="G2609" s="13" t="s">
        <v>34</v>
      </c>
      <c r="H2609" s="13" t="s">
        <v>35</v>
      </c>
      <c r="I2609" s="13" t="s">
        <v>59</v>
      </c>
      <c r="J2609" s="13" t="s">
        <v>60</v>
      </c>
      <c r="K2609" s="13" t="s">
        <v>34</v>
      </c>
      <c r="L2609" s="14" t="s">
        <v>35</v>
      </c>
      <c r="M2609" s="15" t="s">
        <v>34</v>
      </c>
      <c r="N2609" s="13" t="s">
        <v>35</v>
      </c>
      <c r="O2609" s="163" t="s">
        <v>34</v>
      </c>
      <c r="P2609" s="163" t="s">
        <v>35</v>
      </c>
    </row>
    <row r="2610" spans="1:16">
      <c r="A2610" s="473">
        <v>2019</v>
      </c>
      <c r="B2610" s="410">
        <v>1</v>
      </c>
      <c r="C2610" s="422">
        <v>0</v>
      </c>
      <c r="D2610" s="422">
        <v>0</v>
      </c>
      <c r="E2610" s="422">
        <v>0</v>
      </c>
      <c r="F2610" s="422">
        <v>0</v>
      </c>
      <c r="G2610" s="422">
        <v>0</v>
      </c>
      <c r="H2610" s="422">
        <v>0</v>
      </c>
      <c r="I2610" s="422">
        <v>0</v>
      </c>
      <c r="J2610" s="422">
        <v>0</v>
      </c>
      <c r="K2610" s="422">
        <v>0</v>
      </c>
      <c r="L2610" s="422">
        <v>0</v>
      </c>
      <c r="M2610" s="424">
        <f>+C2610+E2610+G2610+I2610+K2610</f>
        <v>0</v>
      </c>
      <c r="N2610" s="425">
        <f t="shared" ref="N2610:N2611" si="1151">+D2610+F2610+H2610+J2610+L2610</f>
        <v>0</v>
      </c>
      <c r="O2610" s="430">
        <f t="shared" ref="O2610:O2614" si="1152">M2610/31</f>
        <v>0</v>
      </c>
      <c r="P2610" s="427">
        <f t="shared" ref="P2610:P2614" si="1153">N2610/31</f>
        <v>0</v>
      </c>
    </row>
    <row r="2611" spans="1:16">
      <c r="A2611" s="474"/>
      <c r="B2611" s="127">
        <v>2</v>
      </c>
      <c r="C2611" s="147">
        <v>0</v>
      </c>
      <c r="D2611" s="147">
        <v>0</v>
      </c>
      <c r="E2611" s="147">
        <v>0</v>
      </c>
      <c r="F2611" s="147">
        <v>0</v>
      </c>
      <c r="G2611" s="147">
        <v>0</v>
      </c>
      <c r="H2611" s="147">
        <v>0</v>
      </c>
      <c r="I2611" s="147">
        <v>0</v>
      </c>
      <c r="J2611" s="147">
        <v>0</v>
      </c>
      <c r="K2611" s="147">
        <v>0</v>
      </c>
      <c r="L2611" s="174">
        <v>0</v>
      </c>
      <c r="M2611" s="149">
        <f t="shared" ref="M2611" si="1154">+C2611+E2611+G2611+I2611+K2611</f>
        <v>0</v>
      </c>
      <c r="N2611" s="150">
        <f t="shared" si="1151"/>
        <v>0</v>
      </c>
      <c r="O2611" s="167">
        <f t="shared" si="1152"/>
        <v>0</v>
      </c>
      <c r="P2611" s="152">
        <f t="shared" si="1153"/>
        <v>0</v>
      </c>
    </row>
    <row r="2612" spans="1:16">
      <c r="A2612" s="474"/>
      <c r="B2612" s="127">
        <v>3</v>
      </c>
      <c r="C2612" s="147">
        <v>0</v>
      </c>
      <c r="D2612" s="147">
        <v>0</v>
      </c>
      <c r="E2612" s="147">
        <v>0</v>
      </c>
      <c r="F2612" s="147">
        <v>0</v>
      </c>
      <c r="G2612" s="147">
        <v>0</v>
      </c>
      <c r="H2612" s="147">
        <v>0</v>
      </c>
      <c r="I2612" s="147">
        <v>0</v>
      </c>
      <c r="J2612" s="147">
        <v>0</v>
      </c>
      <c r="K2612" s="147">
        <v>0</v>
      </c>
      <c r="L2612" s="174">
        <v>0</v>
      </c>
      <c r="M2612" s="149">
        <f>+C2612+E2612+G2612+I2612+K2612</f>
        <v>0</v>
      </c>
      <c r="N2612" s="150">
        <f>+D2612+F2612+H2612+J2612+L2612</f>
        <v>0</v>
      </c>
      <c r="O2612" s="167">
        <f t="shared" si="1152"/>
        <v>0</v>
      </c>
      <c r="P2612" s="152">
        <f t="shared" si="1153"/>
        <v>0</v>
      </c>
    </row>
    <row r="2613" spans="1:16">
      <c r="A2613" s="474"/>
      <c r="B2613" s="127">
        <v>4</v>
      </c>
      <c r="C2613" s="147">
        <v>0</v>
      </c>
      <c r="D2613" s="147">
        <v>0</v>
      </c>
      <c r="E2613" s="147">
        <v>0</v>
      </c>
      <c r="F2613" s="147">
        <v>0</v>
      </c>
      <c r="G2613" s="147">
        <v>0</v>
      </c>
      <c r="H2613" s="147">
        <v>0</v>
      </c>
      <c r="I2613" s="147">
        <v>0</v>
      </c>
      <c r="J2613" s="147">
        <v>0</v>
      </c>
      <c r="K2613" s="147">
        <v>0</v>
      </c>
      <c r="L2613" s="174">
        <v>0</v>
      </c>
      <c r="M2613" s="154">
        <f t="shared" ref="M2613:M2617" si="1155">+C2613+E2613+G2613+I2613+K2613</f>
        <v>0</v>
      </c>
      <c r="N2613" s="155">
        <f t="shared" ref="N2613:N2617" si="1156">+D2613+F2613+H2613+J2613+L2613</f>
        <v>0</v>
      </c>
      <c r="O2613" s="168">
        <f t="shared" si="1152"/>
        <v>0</v>
      </c>
      <c r="P2613" s="157">
        <f t="shared" si="1153"/>
        <v>0</v>
      </c>
    </row>
    <row r="2614" spans="1:16">
      <c r="A2614" s="474"/>
      <c r="B2614" s="127">
        <v>5</v>
      </c>
      <c r="C2614" s="147">
        <v>0</v>
      </c>
      <c r="D2614" s="147">
        <v>0</v>
      </c>
      <c r="E2614" s="147">
        <v>0</v>
      </c>
      <c r="F2614" s="147">
        <v>0</v>
      </c>
      <c r="G2614" s="147">
        <v>0</v>
      </c>
      <c r="H2614" s="147">
        <v>0</v>
      </c>
      <c r="I2614" s="147">
        <v>0</v>
      </c>
      <c r="J2614" s="147">
        <v>0</v>
      </c>
      <c r="K2614" s="147">
        <v>0</v>
      </c>
      <c r="L2614" s="174">
        <v>0</v>
      </c>
      <c r="M2614" s="154">
        <f t="shared" si="1155"/>
        <v>0</v>
      </c>
      <c r="N2614" s="155">
        <f t="shared" si="1156"/>
        <v>0</v>
      </c>
      <c r="O2614" s="168">
        <f t="shared" si="1152"/>
        <v>0</v>
      </c>
      <c r="P2614" s="157">
        <f t="shared" si="1153"/>
        <v>0</v>
      </c>
    </row>
    <row r="2615" spans="1:16">
      <c r="A2615" s="474"/>
      <c r="B2615" s="127">
        <v>6</v>
      </c>
      <c r="C2615" s="147">
        <v>0</v>
      </c>
      <c r="D2615" s="147">
        <v>0</v>
      </c>
      <c r="E2615" s="147">
        <v>0</v>
      </c>
      <c r="F2615" s="147">
        <v>0</v>
      </c>
      <c r="G2615" s="147">
        <v>0</v>
      </c>
      <c r="H2615" s="147">
        <v>0</v>
      </c>
      <c r="I2615" s="147">
        <v>0</v>
      </c>
      <c r="J2615" s="147">
        <v>0</v>
      </c>
      <c r="K2615" s="147">
        <v>0</v>
      </c>
      <c r="L2615" s="174">
        <v>0</v>
      </c>
      <c r="M2615" s="154">
        <f t="shared" si="1155"/>
        <v>0</v>
      </c>
      <c r="N2615" s="155">
        <f t="shared" si="1156"/>
        <v>0</v>
      </c>
      <c r="O2615" s="168">
        <f>M2615/30</f>
        <v>0</v>
      </c>
      <c r="P2615" s="157">
        <f>N2615/30</f>
        <v>0</v>
      </c>
    </row>
    <row r="2616" spans="1:16">
      <c r="A2616" s="474"/>
      <c r="B2616" s="127">
        <v>7</v>
      </c>
      <c r="C2616" s="158">
        <v>0</v>
      </c>
      <c r="D2616" s="158">
        <v>0</v>
      </c>
      <c r="E2616" s="158">
        <v>0</v>
      </c>
      <c r="F2616" s="158">
        <v>0</v>
      </c>
      <c r="G2616" s="158">
        <v>0</v>
      </c>
      <c r="H2616" s="158">
        <v>0</v>
      </c>
      <c r="I2616" s="158">
        <v>0</v>
      </c>
      <c r="J2616" s="158">
        <v>0</v>
      </c>
      <c r="K2616" s="158">
        <v>0</v>
      </c>
      <c r="L2616" s="158">
        <v>0</v>
      </c>
      <c r="M2616" s="154">
        <f t="shared" si="1155"/>
        <v>0</v>
      </c>
      <c r="N2616" s="155">
        <f t="shared" si="1156"/>
        <v>0</v>
      </c>
      <c r="O2616" s="168">
        <f t="shared" ref="O2616:O2617" si="1157">M2616/31</f>
        <v>0</v>
      </c>
      <c r="P2616" s="157">
        <f t="shared" ref="P2616:P2617" si="1158">N2616/31</f>
        <v>0</v>
      </c>
    </row>
    <row r="2617" spans="1:16">
      <c r="A2617" s="474"/>
      <c r="B2617" s="127">
        <v>8</v>
      </c>
      <c r="C2617" s="158">
        <v>0</v>
      </c>
      <c r="D2617" s="158">
        <v>0</v>
      </c>
      <c r="E2617" s="158">
        <v>0</v>
      </c>
      <c r="F2617" s="158">
        <v>0</v>
      </c>
      <c r="G2617" s="158">
        <v>0</v>
      </c>
      <c r="H2617" s="158">
        <v>0</v>
      </c>
      <c r="I2617" s="158">
        <v>0</v>
      </c>
      <c r="J2617" s="158">
        <v>0</v>
      </c>
      <c r="K2617" s="158">
        <v>0</v>
      </c>
      <c r="L2617" s="158">
        <v>0</v>
      </c>
      <c r="M2617" s="177">
        <f t="shared" si="1155"/>
        <v>0</v>
      </c>
      <c r="N2617" s="158">
        <f t="shared" si="1156"/>
        <v>0</v>
      </c>
      <c r="O2617" s="168">
        <f t="shared" si="1157"/>
        <v>0</v>
      </c>
      <c r="P2617" s="157">
        <f t="shared" si="1158"/>
        <v>0</v>
      </c>
    </row>
    <row r="2618" spans="1:16">
      <c r="A2618" s="474"/>
      <c r="B2618" s="127">
        <v>9</v>
      </c>
      <c r="C2618" s="158">
        <v>0</v>
      </c>
      <c r="D2618" s="158">
        <v>0</v>
      </c>
      <c r="E2618" s="158">
        <v>0</v>
      </c>
      <c r="F2618" s="158">
        <v>0</v>
      </c>
      <c r="G2618" s="158">
        <v>0</v>
      </c>
      <c r="H2618" s="158">
        <v>0</v>
      </c>
      <c r="I2618" s="158">
        <v>0</v>
      </c>
      <c r="J2618" s="158">
        <v>0</v>
      </c>
      <c r="K2618" s="158">
        <v>0</v>
      </c>
      <c r="L2618" s="158">
        <v>0</v>
      </c>
      <c r="M2618" s="177">
        <f t="shared" ref="M2618:M2619" si="1159">+C2618+E2618+G2618+I2618+K2618</f>
        <v>0</v>
      </c>
      <c r="N2618" s="158">
        <f t="shared" ref="N2618:N2619" si="1160">+D2618+F2618+H2618+J2618+L2618</f>
        <v>0</v>
      </c>
      <c r="O2618" s="168">
        <v>3.2258064516129031E-2</v>
      </c>
      <c r="P2618" s="157">
        <v>6.4516129032258063E-2</v>
      </c>
    </row>
    <row r="2619" spans="1:16">
      <c r="A2619" s="474"/>
      <c r="B2619" s="127">
        <v>10</v>
      </c>
      <c r="C2619" s="158">
        <v>0</v>
      </c>
      <c r="D2619" s="158">
        <v>0</v>
      </c>
      <c r="E2619" s="158">
        <v>0</v>
      </c>
      <c r="F2619" s="158">
        <v>0</v>
      </c>
      <c r="G2619" s="158">
        <v>0</v>
      </c>
      <c r="H2619" s="158">
        <v>0</v>
      </c>
      <c r="I2619" s="158">
        <v>0</v>
      </c>
      <c r="J2619" s="158">
        <v>0</v>
      </c>
      <c r="K2619" s="158">
        <v>0</v>
      </c>
      <c r="L2619" s="158">
        <v>0</v>
      </c>
      <c r="M2619" s="177">
        <f t="shared" si="1159"/>
        <v>0</v>
      </c>
      <c r="N2619" s="158">
        <f t="shared" si="1160"/>
        <v>0</v>
      </c>
      <c r="O2619" s="168">
        <f t="shared" ref="O2619:O2626" si="1161">M2619/31</f>
        <v>0</v>
      </c>
      <c r="P2619" s="157">
        <f t="shared" ref="P2619:P2626" si="1162">N2619/31</f>
        <v>0</v>
      </c>
    </row>
    <row r="2620" spans="1:16">
      <c r="A2620" s="474"/>
      <c r="B2620" s="127">
        <v>11</v>
      </c>
      <c r="C2620" s="367">
        <v>1</v>
      </c>
      <c r="D2620" s="367">
        <v>1</v>
      </c>
      <c r="E2620" s="367">
        <v>0</v>
      </c>
      <c r="F2620" s="367">
        <v>0</v>
      </c>
      <c r="G2620" s="367">
        <v>0</v>
      </c>
      <c r="H2620" s="367">
        <v>0</v>
      </c>
      <c r="I2620" s="367">
        <v>0</v>
      </c>
      <c r="J2620" s="367">
        <v>0</v>
      </c>
      <c r="K2620" s="367">
        <v>0</v>
      </c>
      <c r="L2620" s="368">
        <v>0</v>
      </c>
      <c r="M2620" s="154">
        <f t="shared" ref="M2620:M2621" si="1163">+C2620+E2620+G2620+I2620+K2620</f>
        <v>1</v>
      </c>
      <c r="N2620" s="155">
        <f t="shared" ref="N2620:N2623" si="1164">+D2620+F2620+H2620+J2620+L2620</f>
        <v>1</v>
      </c>
      <c r="O2620" s="168">
        <f t="shared" si="1161"/>
        <v>3.2258064516129031E-2</v>
      </c>
      <c r="P2620" s="157">
        <f t="shared" si="1162"/>
        <v>3.2258064516129031E-2</v>
      </c>
    </row>
    <row r="2621" spans="1:16" ht="14.25" thickBot="1">
      <c r="A2621" s="475"/>
      <c r="B2621" s="127">
        <v>12</v>
      </c>
      <c r="C2621" s="187">
        <v>4</v>
      </c>
      <c r="D2621" s="187">
        <v>8</v>
      </c>
      <c r="E2621" s="187">
        <v>0</v>
      </c>
      <c r="F2621" s="188">
        <v>0</v>
      </c>
      <c r="G2621" s="187">
        <v>1</v>
      </c>
      <c r="H2621" s="187">
        <v>3</v>
      </c>
      <c r="I2621" s="187">
        <v>0</v>
      </c>
      <c r="J2621" s="187">
        <v>0</v>
      </c>
      <c r="K2621" s="187">
        <v>0</v>
      </c>
      <c r="L2621" s="189">
        <v>0</v>
      </c>
      <c r="M2621" s="190">
        <f t="shared" si="1163"/>
        <v>5</v>
      </c>
      <c r="N2621" s="191">
        <f t="shared" si="1164"/>
        <v>11</v>
      </c>
      <c r="O2621" s="192">
        <f t="shared" si="1161"/>
        <v>0.16129032258064516</v>
      </c>
      <c r="P2621" s="193">
        <f t="shared" si="1162"/>
        <v>0.35483870967741937</v>
      </c>
    </row>
    <row r="2622" spans="1:16">
      <c r="A2622" s="473">
        <v>2020</v>
      </c>
      <c r="B2622" s="410">
        <v>1</v>
      </c>
      <c r="C2622" s="434">
        <v>5</v>
      </c>
      <c r="D2622" s="434">
        <v>21</v>
      </c>
      <c r="E2622" s="434">
        <v>0</v>
      </c>
      <c r="F2622" s="434">
        <v>0</v>
      </c>
      <c r="G2622" s="434">
        <v>1</v>
      </c>
      <c r="H2622" s="434">
        <v>1</v>
      </c>
      <c r="I2622" s="434">
        <v>1</v>
      </c>
      <c r="J2622" s="434">
        <v>2</v>
      </c>
      <c r="K2622" s="434">
        <v>0</v>
      </c>
      <c r="L2622" s="436">
        <v>0</v>
      </c>
      <c r="M2622" s="424">
        <f>+C2622+E2622+G2622+I2622+K2622</f>
        <v>7</v>
      </c>
      <c r="N2622" s="425">
        <f t="shared" si="1164"/>
        <v>24</v>
      </c>
      <c r="O2622" s="430">
        <f t="shared" si="1161"/>
        <v>0.22580645161290322</v>
      </c>
      <c r="P2622" s="427">
        <f t="shared" si="1162"/>
        <v>0.77419354838709675</v>
      </c>
    </row>
    <row r="2623" spans="1:16">
      <c r="A2623" s="474"/>
      <c r="B2623" s="127">
        <v>2</v>
      </c>
      <c r="C2623" s="147">
        <v>3</v>
      </c>
      <c r="D2623" s="147">
        <v>7</v>
      </c>
      <c r="E2623" s="147">
        <v>0</v>
      </c>
      <c r="F2623" s="147">
        <v>0</v>
      </c>
      <c r="G2623" s="147">
        <v>1</v>
      </c>
      <c r="H2623" s="147">
        <v>1</v>
      </c>
      <c r="I2623" s="147">
        <v>1</v>
      </c>
      <c r="J2623" s="147">
        <v>2</v>
      </c>
      <c r="K2623" s="147">
        <v>0</v>
      </c>
      <c r="L2623" s="148">
        <v>0</v>
      </c>
      <c r="M2623" s="149">
        <f t="shared" ref="M2623" si="1165">+C2623+E2623+G2623+I2623+K2623</f>
        <v>5</v>
      </c>
      <c r="N2623" s="150">
        <f t="shared" si="1164"/>
        <v>10</v>
      </c>
      <c r="O2623" s="167">
        <f>M2623/29</f>
        <v>0.17241379310344829</v>
      </c>
      <c r="P2623" s="152">
        <f>N2623/29</f>
        <v>0.34482758620689657</v>
      </c>
    </row>
    <row r="2624" spans="1:16">
      <c r="A2624" s="474"/>
      <c r="B2624" s="127">
        <v>3</v>
      </c>
      <c r="C2624" s="147">
        <v>2</v>
      </c>
      <c r="D2624" s="147">
        <v>4</v>
      </c>
      <c r="E2624" s="147">
        <v>0</v>
      </c>
      <c r="F2624" s="147">
        <v>0</v>
      </c>
      <c r="G2624" s="147">
        <v>0</v>
      </c>
      <c r="H2624" s="147">
        <v>0</v>
      </c>
      <c r="I2624" s="147">
        <v>0</v>
      </c>
      <c r="J2624" s="147">
        <v>0</v>
      </c>
      <c r="K2624" s="147">
        <v>0</v>
      </c>
      <c r="L2624" s="148">
        <v>0</v>
      </c>
      <c r="M2624" s="149">
        <f>+C2624+E2624+G2624+I2624+K2624</f>
        <v>2</v>
      </c>
      <c r="N2624" s="150">
        <f>+D2624+F2624+H2624+J2624+L2624</f>
        <v>4</v>
      </c>
      <c r="O2624" s="167">
        <f t="shared" si="1161"/>
        <v>6.4516129032258063E-2</v>
      </c>
      <c r="P2624" s="152">
        <f t="shared" si="1162"/>
        <v>0.12903225806451613</v>
      </c>
    </row>
    <row r="2625" spans="1:16">
      <c r="A2625" s="474"/>
      <c r="B2625" s="127">
        <v>4</v>
      </c>
      <c r="C2625" s="147">
        <v>0</v>
      </c>
      <c r="D2625" s="147">
        <v>0</v>
      </c>
      <c r="E2625" s="147">
        <v>0</v>
      </c>
      <c r="F2625" s="147">
        <v>0</v>
      </c>
      <c r="G2625" s="147">
        <v>0</v>
      </c>
      <c r="H2625" s="147">
        <v>0</v>
      </c>
      <c r="I2625" s="147">
        <v>0</v>
      </c>
      <c r="J2625" s="147">
        <v>0</v>
      </c>
      <c r="K2625" s="147">
        <v>0</v>
      </c>
      <c r="L2625" s="148">
        <v>0</v>
      </c>
      <c r="M2625" s="154">
        <f t="shared" ref="M2625:M2633" si="1166">+C2625+E2625+G2625+I2625+K2625</f>
        <v>0</v>
      </c>
      <c r="N2625" s="155">
        <f t="shared" ref="N2625:N2633" si="1167">+D2625+F2625+H2625+J2625+L2625</f>
        <v>0</v>
      </c>
      <c r="O2625" s="168">
        <f>M2625/30</f>
        <v>0</v>
      </c>
      <c r="P2625" s="157">
        <f>N2625/30</f>
        <v>0</v>
      </c>
    </row>
    <row r="2626" spans="1:16">
      <c r="A2626" s="474"/>
      <c r="B2626" s="127">
        <v>5</v>
      </c>
      <c r="C2626" s="147">
        <v>0</v>
      </c>
      <c r="D2626" s="147">
        <v>0</v>
      </c>
      <c r="E2626" s="147">
        <v>0</v>
      </c>
      <c r="F2626" s="147">
        <v>0</v>
      </c>
      <c r="G2626" s="147">
        <v>0</v>
      </c>
      <c r="H2626" s="147">
        <v>0</v>
      </c>
      <c r="I2626" s="147">
        <v>0</v>
      </c>
      <c r="J2626" s="147">
        <v>0</v>
      </c>
      <c r="K2626" s="147">
        <v>0</v>
      </c>
      <c r="L2626" s="148">
        <v>0</v>
      </c>
      <c r="M2626" s="154">
        <f t="shared" si="1166"/>
        <v>0</v>
      </c>
      <c r="N2626" s="155">
        <f t="shared" si="1167"/>
        <v>0</v>
      </c>
      <c r="O2626" s="168">
        <f t="shared" si="1161"/>
        <v>0</v>
      </c>
      <c r="P2626" s="157">
        <f t="shared" si="1162"/>
        <v>0</v>
      </c>
    </row>
    <row r="2627" spans="1:16">
      <c r="A2627" s="474"/>
      <c r="B2627" s="127">
        <v>6</v>
      </c>
      <c r="C2627" s="147">
        <f>集計用!C118</f>
        <v>0</v>
      </c>
      <c r="D2627" s="147">
        <f>集計用!S118</f>
        <v>0</v>
      </c>
      <c r="E2627" s="147">
        <f>集計用!E118</f>
        <v>0</v>
      </c>
      <c r="F2627" s="147">
        <f>集計用!U118</f>
        <v>0</v>
      </c>
      <c r="G2627" s="147">
        <f>集計用!G118</f>
        <v>0</v>
      </c>
      <c r="H2627" s="147">
        <f>集計用!W118</f>
        <v>0</v>
      </c>
      <c r="I2627" s="147">
        <f>集計用!I118</f>
        <v>0</v>
      </c>
      <c r="J2627" s="147">
        <f>集計用!Y118</f>
        <v>0</v>
      </c>
      <c r="K2627" s="147">
        <f>集計用!K118</f>
        <v>0</v>
      </c>
      <c r="L2627" s="148">
        <f>集計用!AA118</f>
        <v>0</v>
      </c>
      <c r="M2627" s="154">
        <f t="shared" si="1166"/>
        <v>0</v>
      </c>
      <c r="N2627" s="155">
        <f t="shared" si="1167"/>
        <v>0</v>
      </c>
      <c r="O2627" s="168">
        <f>M2627/30</f>
        <v>0</v>
      </c>
      <c r="P2627" s="157">
        <f>N2627/30</f>
        <v>0</v>
      </c>
    </row>
    <row r="2628" spans="1:16">
      <c r="A2628" s="474"/>
      <c r="B2628" s="127">
        <v>7</v>
      </c>
      <c r="C2628" s="158"/>
      <c r="D2628" s="158"/>
      <c r="E2628" s="158"/>
      <c r="F2628" s="158"/>
      <c r="G2628" s="158"/>
      <c r="H2628" s="158"/>
      <c r="I2628" s="158"/>
      <c r="J2628" s="158"/>
      <c r="K2628" s="158"/>
      <c r="L2628" s="158"/>
      <c r="M2628" s="154">
        <f t="shared" si="1166"/>
        <v>0</v>
      </c>
      <c r="N2628" s="155">
        <f t="shared" si="1167"/>
        <v>0</v>
      </c>
      <c r="O2628" s="168">
        <f t="shared" ref="O2628:O2629" si="1168">M2628/31</f>
        <v>0</v>
      </c>
      <c r="P2628" s="157">
        <f t="shared" ref="P2628:P2629" si="1169">N2628/31</f>
        <v>0</v>
      </c>
    </row>
    <row r="2629" spans="1:16">
      <c r="A2629" s="474"/>
      <c r="B2629" s="127">
        <v>8</v>
      </c>
      <c r="C2629" s="158"/>
      <c r="D2629" s="158"/>
      <c r="E2629" s="158"/>
      <c r="F2629" s="158"/>
      <c r="G2629" s="158"/>
      <c r="H2629" s="158"/>
      <c r="I2629" s="158"/>
      <c r="J2629" s="158"/>
      <c r="K2629" s="158"/>
      <c r="L2629" s="158"/>
      <c r="M2629" s="177">
        <f t="shared" si="1166"/>
        <v>0</v>
      </c>
      <c r="N2629" s="158">
        <f t="shared" si="1167"/>
        <v>0</v>
      </c>
      <c r="O2629" s="168">
        <f t="shared" si="1168"/>
        <v>0</v>
      </c>
      <c r="P2629" s="157">
        <f t="shared" si="1169"/>
        <v>0</v>
      </c>
    </row>
    <row r="2630" spans="1:16">
      <c r="A2630" s="474"/>
      <c r="B2630" s="127">
        <v>9</v>
      </c>
      <c r="C2630" s="158"/>
      <c r="D2630" s="158"/>
      <c r="E2630" s="158"/>
      <c r="F2630" s="158"/>
      <c r="G2630" s="158"/>
      <c r="H2630" s="158"/>
      <c r="I2630" s="158"/>
      <c r="J2630" s="158"/>
      <c r="K2630" s="158"/>
      <c r="L2630" s="158"/>
      <c r="M2630" s="177">
        <f t="shared" ref="M2630" si="1170">+C2630+E2630+G2630+I2630+K2630</f>
        <v>0</v>
      </c>
      <c r="N2630" s="158">
        <f t="shared" ref="N2630" si="1171">+D2630+F2630+H2630+J2630+L2630</f>
        <v>0</v>
      </c>
      <c r="O2630" s="168">
        <f>M2630/30</f>
        <v>0</v>
      </c>
      <c r="P2630" s="157">
        <f>N2630/30</f>
        <v>0</v>
      </c>
    </row>
    <row r="2631" spans="1:16">
      <c r="A2631" s="474"/>
      <c r="B2631" s="127">
        <v>10</v>
      </c>
      <c r="C2631" s="158"/>
      <c r="D2631" s="158"/>
      <c r="E2631" s="158"/>
      <c r="F2631" s="158"/>
      <c r="G2631" s="158"/>
      <c r="H2631" s="158"/>
      <c r="I2631" s="158"/>
      <c r="J2631" s="158"/>
      <c r="K2631" s="158"/>
      <c r="L2631" s="158"/>
      <c r="M2631" s="177">
        <f t="shared" si="1166"/>
        <v>0</v>
      </c>
      <c r="N2631" s="158">
        <f t="shared" si="1167"/>
        <v>0</v>
      </c>
      <c r="O2631" s="168">
        <f t="shared" ref="O2631:O2633" si="1172">M2631/31</f>
        <v>0</v>
      </c>
      <c r="P2631" s="157">
        <f t="shared" ref="P2631:P2633" si="1173">N2631/31</f>
        <v>0</v>
      </c>
    </row>
    <row r="2632" spans="1:16">
      <c r="A2632" s="474"/>
      <c r="B2632" s="127">
        <v>11</v>
      </c>
      <c r="C2632" s="367"/>
      <c r="D2632" s="367"/>
      <c r="E2632" s="367"/>
      <c r="F2632" s="367"/>
      <c r="G2632" s="367"/>
      <c r="H2632" s="367"/>
      <c r="I2632" s="367"/>
      <c r="J2632" s="367"/>
      <c r="K2632" s="367"/>
      <c r="L2632" s="368"/>
      <c r="M2632" s="154">
        <f t="shared" si="1166"/>
        <v>0</v>
      </c>
      <c r="N2632" s="155">
        <f t="shared" si="1167"/>
        <v>0</v>
      </c>
      <c r="O2632" s="168">
        <f>M2632/30</f>
        <v>0</v>
      </c>
      <c r="P2632" s="157">
        <f>N2632/30</f>
        <v>0</v>
      </c>
    </row>
    <row r="2633" spans="1:16" ht="14.25" thickBot="1">
      <c r="A2633" s="475"/>
      <c r="B2633" s="127">
        <v>12</v>
      </c>
      <c r="C2633" s="187"/>
      <c r="D2633" s="187"/>
      <c r="E2633" s="187"/>
      <c r="F2633" s="188"/>
      <c r="G2633" s="187"/>
      <c r="H2633" s="187"/>
      <c r="I2633" s="187"/>
      <c r="J2633" s="187"/>
      <c r="K2633" s="187"/>
      <c r="L2633" s="189"/>
      <c r="M2633" s="190">
        <f t="shared" si="1166"/>
        <v>0</v>
      </c>
      <c r="N2633" s="191">
        <f t="shared" si="1167"/>
        <v>0</v>
      </c>
      <c r="O2633" s="192">
        <f t="shared" si="1172"/>
        <v>0</v>
      </c>
      <c r="P2633" s="193">
        <f t="shared" si="1173"/>
        <v>0</v>
      </c>
    </row>
    <row r="2634" spans="1:16" ht="14.25" thickBot="1">
      <c r="A2634" s="180"/>
      <c r="B2634" s="160" t="s">
        <v>5</v>
      </c>
      <c r="C2634" s="161">
        <f>SUM(C2610:C2633)</f>
        <v>15</v>
      </c>
      <c r="D2634" s="161">
        <f t="shared" ref="D2634:L2634" si="1174">SUM(D2610:D2633)</f>
        <v>41</v>
      </c>
      <c r="E2634" s="161">
        <f t="shared" si="1174"/>
        <v>0</v>
      </c>
      <c r="F2634" s="161">
        <f t="shared" si="1174"/>
        <v>0</v>
      </c>
      <c r="G2634" s="161">
        <f t="shared" si="1174"/>
        <v>3</v>
      </c>
      <c r="H2634" s="161">
        <f t="shared" si="1174"/>
        <v>5</v>
      </c>
      <c r="I2634" s="161">
        <f t="shared" si="1174"/>
        <v>2</v>
      </c>
      <c r="J2634" s="161">
        <f t="shared" si="1174"/>
        <v>4</v>
      </c>
      <c r="K2634" s="161">
        <f t="shared" si="1174"/>
        <v>0</v>
      </c>
      <c r="L2634" s="161">
        <f t="shared" si="1174"/>
        <v>0</v>
      </c>
      <c r="M2634" s="162">
        <f>SUM(M2610:M2633)</f>
        <v>20</v>
      </c>
      <c r="N2634" s="162">
        <f>SUM(N2610:N2633)</f>
        <v>50</v>
      </c>
      <c r="O2634" s="161">
        <f>SUM(O2610:O2633)</f>
        <v>0.68854282536151268</v>
      </c>
      <c r="P2634" s="161">
        <f>SUM(P2610:P2633)</f>
        <v>1.6996662958843158</v>
      </c>
    </row>
  </sheetData>
  <mergeCells count="604"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</mergeCells>
  <phoneticPr fontId="29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4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2:AF123"/>
  <sheetViews>
    <sheetView topLeftCell="B1" zoomScale="70" zoomScaleNormal="70" workbookViewId="0">
      <pane xSplit="1" ySplit="3" topLeftCell="C83" activePane="bottomRight" state="frozen"/>
      <selection activeCell="B1" sqref="B1"/>
      <selection pane="topRight" activeCell="C1" sqref="C1"/>
      <selection pane="bottomLeft" activeCell="B11" sqref="B11"/>
      <selection pane="bottomRight" activeCell="B2" sqref="B2"/>
    </sheetView>
  </sheetViews>
  <sheetFormatPr defaultRowHeight="13.5"/>
  <cols>
    <col min="1" max="1" width="3.125" customWidth="1"/>
    <col min="2" max="2" width="25.75" customWidth="1"/>
    <col min="4" max="4" width="14.25" customWidth="1"/>
    <col min="6" max="6" width="9.625" bestFit="1" customWidth="1"/>
    <col min="8" max="8" width="7.75" bestFit="1" customWidth="1"/>
    <col min="10" max="10" width="7.75" bestFit="1" customWidth="1"/>
    <col min="12" max="12" width="7.75" bestFit="1" customWidth="1"/>
    <col min="15" max="15" width="6.75" customWidth="1"/>
    <col min="16" max="16" width="6.5" bestFit="1" customWidth="1"/>
    <col min="17" max="17" width="3.75" customWidth="1"/>
    <col min="18" max="18" width="18.375" customWidth="1"/>
    <col min="19" max="19" width="9.5" bestFit="1" customWidth="1"/>
    <col min="20" max="20" width="7.75" bestFit="1" customWidth="1"/>
    <col min="21" max="21" width="9" style="293"/>
    <col min="22" max="22" width="7.625" bestFit="1" customWidth="1"/>
    <col min="23" max="23" width="9" style="293"/>
    <col min="24" max="24" width="7.75" bestFit="1" customWidth="1"/>
    <col min="25" max="25" width="9" style="293"/>
    <col min="26" max="26" width="7.75" bestFit="1" customWidth="1"/>
    <col min="27" max="27" width="9" style="293"/>
    <col min="28" max="28" width="7.75" bestFit="1" customWidth="1"/>
    <col min="31" max="31" width="6.75" customWidth="1"/>
  </cols>
  <sheetData>
    <row r="2" spans="1:32">
      <c r="B2" s="359">
        <v>43983</v>
      </c>
      <c r="C2" t="s">
        <v>254</v>
      </c>
    </row>
    <row r="3" spans="1:32">
      <c r="A3" t="s">
        <v>168</v>
      </c>
      <c r="C3" s="369">
        <v>0</v>
      </c>
      <c r="D3" s="369">
        <v>1</v>
      </c>
      <c r="E3" s="369">
        <v>2</v>
      </c>
      <c r="F3" s="369">
        <v>3</v>
      </c>
      <c r="G3" s="369">
        <v>4</v>
      </c>
      <c r="H3" s="369">
        <v>5</v>
      </c>
      <c r="I3" s="369">
        <v>6</v>
      </c>
      <c r="J3" s="369">
        <v>7</v>
      </c>
      <c r="K3" s="369">
        <v>8</v>
      </c>
      <c r="L3" s="369">
        <v>9</v>
      </c>
      <c r="M3" s="369">
        <v>10</v>
      </c>
      <c r="N3" s="369">
        <v>11</v>
      </c>
      <c r="O3" s="369">
        <v>12</v>
      </c>
      <c r="P3" s="369">
        <v>13</v>
      </c>
      <c r="Q3" s="369">
        <v>14</v>
      </c>
      <c r="R3" s="369">
        <v>15</v>
      </c>
      <c r="S3" s="369">
        <v>16</v>
      </c>
      <c r="T3" s="369">
        <v>17</v>
      </c>
      <c r="U3" s="369">
        <v>18</v>
      </c>
      <c r="V3" s="369">
        <v>19</v>
      </c>
      <c r="W3" s="369">
        <v>20</v>
      </c>
      <c r="X3" s="369">
        <v>21</v>
      </c>
      <c r="Y3" s="369">
        <v>22</v>
      </c>
      <c r="Z3" s="369">
        <v>23</v>
      </c>
      <c r="AA3" s="369">
        <v>24</v>
      </c>
      <c r="AB3" s="369">
        <v>25</v>
      </c>
      <c r="AC3" s="369">
        <v>26</v>
      </c>
    </row>
    <row r="10" spans="1:32" ht="14.25" thickBot="1"/>
    <row r="11" spans="1:32" ht="14.25" thickBot="1">
      <c r="B11" s="383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  <c r="N11" s="384"/>
      <c r="O11" s="384"/>
      <c r="P11" s="384"/>
      <c r="Q11" s="384"/>
      <c r="R11" s="384"/>
      <c r="S11" s="384"/>
      <c r="T11" s="384"/>
      <c r="U11" s="385"/>
      <c r="V11" s="384"/>
      <c r="W11" s="385"/>
      <c r="X11" s="384"/>
      <c r="Y11" s="385"/>
      <c r="Z11" s="384"/>
      <c r="AA11" s="385"/>
      <c r="AB11" s="384"/>
      <c r="AC11" s="384"/>
      <c r="AD11" s="384"/>
      <c r="AE11" s="384"/>
      <c r="AF11" s="386"/>
    </row>
    <row r="12" spans="1:32" ht="14.25" thickBot="1">
      <c r="B12" s="383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4"/>
      <c r="R12" s="384"/>
      <c r="S12" s="384"/>
      <c r="T12" s="384"/>
      <c r="U12" s="385"/>
      <c r="V12" s="384"/>
      <c r="W12" s="385"/>
      <c r="X12" s="384"/>
      <c r="Y12" s="385"/>
      <c r="Z12" s="384"/>
      <c r="AA12" s="385"/>
      <c r="AB12" s="384"/>
      <c r="AC12" s="384"/>
      <c r="AD12" s="384"/>
      <c r="AE12" s="384"/>
      <c r="AF12" s="386"/>
    </row>
    <row r="13" spans="1:32" ht="14.25" thickBot="1">
      <c r="B13" s="383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384"/>
      <c r="T13" s="384"/>
      <c r="U13" s="385"/>
      <c r="V13" s="384"/>
      <c r="W13" s="385"/>
      <c r="X13" s="384"/>
      <c r="Y13" s="385"/>
      <c r="Z13" s="384"/>
      <c r="AA13" s="385"/>
      <c r="AB13" s="384"/>
      <c r="AC13" s="384"/>
      <c r="AD13" s="384"/>
      <c r="AE13" s="384"/>
      <c r="AF13" s="386"/>
    </row>
    <row r="14" spans="1:32" ht="14.25" thickBot="1">
      <c r="B14" s="383"/>
      <c r="C14" s="384"/>
      <c r="D14" s="384"/>
      <c r="E14" s="384"/>
      <c r="F14" s="384"/>
      <c r="G14" s="384"/>
      <c r="H14" s="384"/>
      <c r="I14" s="384"/>
      <c r="J14" s="384"/>
      <c r="K14" s="384"/>
      <c r="L14" s="384"/>
      <c r="M14" s="384"/>
      <c r="N14" s="384"/>
      <c r="O14" s="384"/>
      <c r="P14" s="384"/>
      <c r="Q14" s="384"/>
      <c r="R14" s="384"/>
      <c r="S14" s="384"/>
      <c r="T14" s="384"/>
      <c r="U14" s="385"/>
      <c r="V14" s="384"/>
      <c r="W14" s="385"/>
      <c r="X14" s="384"/>
      <c r="Y14" s="385"/>
      <c r="Z14" s="384"/>
      <c r="AA14" s="385"/>
      <c r="AB14" s="384"/>
      <c r="AC14" s="384"/>
      <c r="AD14" s="384"/>
      <c r="AE14" s="384"/>
      <c r="AF14" s="386"/>
    </row>
    <row r="15" spans="1:32" ht="14.25" thickBot="1">
      <c r="A15" t="s">
        <v>167</v>
      </c>
      <c r="B15" s="383"/>
      <c r="C15" s="384"/>
      <c r="D15" s="384"/>
      <c r="E15" s="384"/>
      <c r="F15" s="384"/>
      <c r="G15" s="384"/>
      <c r="H15" s="384"/>
      <c r="I15" s="384"/>
      <c r="J15" s="384"/>
      <c r="K15" s="384"/>
      <c r="L15" s="384"/>
      <c r="M15" s="384"/>
      <c r="N15" s="384"/>
      <c r="O15" s="384"/>
      <c r="P15" s="384"/>
      <c r="Q15" s="384"/>
      <c r="R15" s="384"/>
      <c r="S15" s="384"/>
      <c r="T15" s="384"/>
      <c r="U15" s="385"/>
      <c r="V15" s="384"/>
      <c r="W15" s="385"/>
      <c r="X15" s="384"/>
      <c r="Y15" s="385"/>
      <c r="Z15" s="384"/>
      <c r="AA15" s="385"/>
      <c r="AB15" s="384"/>
      <c r="AC15" s="384"/>
      <c r="AD15" s="384"/>
      <c r="AE15" s="384"/>
      <c r="AF15" s="386"/>
    </row>
    <row r="16" spans="1:32" ht="14.25" thickBot="1">
      <c r="B16" s="383"/>
      <c r="C16" s="384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384"/>
      <c r="T16" s="384"/>
      <c r="U16" s="385"/>
      <c r="V16" s="384"/>
      <c r="W16" s="385"/>
      <c r="X16" s="384"/>
      <c r="Y16" s="385"/>
      <c r="Z16" s="384"/>
      <c r="AA16" s="385"/>
      <c r="AB16" s="384"/>
      <c r="AC16" s="384"/>
      <c r="AD16" s="384"/>
      <c r="AE16" s="384"/>
      <c r="AF16" s="386"/>
    </row>
    <row r="17" spans="2:32">
      <c r="B17" s="383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  <c r="V17" s="384"/>
      <c r="W17" s="385"/>
      <c r="X17" s="384"/>
      <c r="Y17" s="385"/>
      <c r="Z17" s="384"/>
      <c r="AA17" s="385"/>
      <c r="AB17" s="384"/>
      <c r="AC17" s="384"/>
      <c r="AD17" s="384"/>
      <c r="AE17" s="384"/>
      <c r="AF17" s="386"/>
    </row>
    <row r="18" spans="2:32">
      <c r="B18" s="387">
        <f>$B$2</f>
        <v>43983</v>
      </c>
      <c r="C18" s="110"/>
      <c r="D18" s="16"/>
      <c r="E18" s="107"/>
      <c r="F18" s="16"/>
      <c r="G18" s="106"/>
      <c r="H18" s="16"/>
      <c r="I18" s="108"/>
      <c r="J18" s="16"/>
      <c r="K18" s="16"/>
      <c r="L18" s="16"/>
      <c r="M18" s="16"/>
      <c r="N18" s="18"/>
      <c r="O18" s="18"/>
      <c r="P18" s="18"/>
      <c r="Q18" s="18"/>
      <c r="R18" s="121">
        <f>B18</f>
        <v>43983</v>
      </c>
      <c r="S18" s="110"/>
      <c r="T18" s="16"/>
      <c r="U18" s="294"/>
      <c r="V18" s="16"/>
      <c r="W18" s="295"/>
      <c r="X18" s="16"/>
      <c r="Y18" s="296"/>
      <c r="Z18" s="16"/>
      <c r="AA18" s="297"/>
      <c r="AB18" s="16"/>
      <c r="AC18" s="16"/>
      <c r="AD18" s="18"/>
      <c r="AE18" s="18"/>
      <c r="AF18" s="388"/>
    </row>
    <row r="19" spans="2:32">
      <c r="B19" s="389" t="s">
        <v>54</v>
      </c>
      <c r="C19" s="110" t="s">
        <v>52</v>
      </c>
      <c r="D19" s="16"/>
      <c r="E19" s="107" t="s">
        <v>51</v>
      </c>
      <c r="F19" s="16"/>
      <c r="G19" s="106" t="s">
        <v>50</v>
      </c>
      <c r="H19" s="16"/>
      <c r="I19" s="108" t="s">
        <v>49</v>
      </c>
      <c r="J19" s="16"/>
      <c r="K19" s="16"/>
      <c r="L19" s="16"/>
      <c r="M19" s="16"/>
      <c r="N19" s="18"/>
      <c r="O19" s="18"/>
      <c r="P19" s="18"/>
      <c r="Q19" s="18" t="s">
        <v>168</v>
      </c>
      <c r="R19" s="16" t="s">
        <v>53</v>
      </c>
      <c r="S19" s="110" t="s">
        <v>52</v>
      </c>
      <c r="T19" s="16"/>
      <c r="U19" s="294" t="s">
        <v>51</v>
      </c>
      <c r="V19" s="16"/>
      <c r="W19" s="295" t="s">
        <v>50</v>
      </c>
      <c r="X19" s="16"/>
      <c r="Y19" s="296" t="s">
        <v>49</v>
      </c>
      <c r="Z19" s="16"/>
      <c r="AA19" s="297"/>
      <c r="AB19" s="16"/>
      <c r="AC19" s="16"/>
      <c r="AD19" s="18"/>
      <c r="AE19" s="18"/>
      <c r="AF19" s="388"/>
    </row>
    <row r="20" spans="2:32">
      <c r="B20" s="389" t="s">
        <v>36</v>
      </c>
      <c r="C20" s="400">
        <v>2</v>
      </c>
      <c r="D20" s="16"/>
      <c r="E20" s="401">
        <v>0</v>
      </c>
      <c r="F20" s="16"/>
      <c r="G20" s="402">
        <v>0</v>
      </c>
      <c r="H20" s="16"/>
      <c r="I20" s="403">
        <v>0</v>
      </c>
      <c r="J20" s="16"/>
      <c r="K20" s="16"/>
      <c r="L20" s="16"/>
      <c r="M20" s="16">
        <f>SUM(C20:K20)</f>
        <v>2</v>
      </c>
      <c r="N20" s="18"/>
      <c r="O20" s="18"/>
      <c r="P20" s="18"/>
      <c r="Q20" s="18"/>
      <c r="R20" s="16" t="s">
        <v>36</v>
      </c>
      <c r="S20" s="400">
        <v>0</v>
      </c>
      <c r="T20" s="16"/>
      <c r="U20" s="405">
        <v>0</v>
      </c>
      <c r="V20" s="16"/>
      <c r="W20" s="406">
        <v>0</v>
      </c>
      <c r="X20" s="16"/>
      <c r="Y20" s="407">
        <v>0</v>
      </c>
      <c r="Z20" s="16"/>
      <c r="AA20" s="297"/>
      <c r="AB20" s="16"/>
      <c r="AC20" s="16">
        <f>SUM(S20:AA20)</f>
        <v>0</v>
      </c>
      <c r="AD20" s="18"/>
      <c r="AE20" s="18"/>
      <c r="AF20" s="388"/>
    </row>
    <row r="21" spans="2:32">
      <c r="B21" s="389" t="s">
        <v>258</v>
      </c>
      <c r="C21" s="400">
        <v>0</v>
      </c>
      <c r="D21" s="122"/>
      <c r="E21" s="401">
        <v>0</v>
      </c>
      <c r="F21" s="122"/>
      <c r="G21" s="402">
        <v>0</v>
      </c>
      <c r="H21" s="122"/>
      <c r="I21" s="403">
        <v>0</v>
      </c>
      <c r="J21" s="16"/>
      <c r="K21" s="16"/>
      <c r="L21" s="16"/>
      <c r="M21" s="16">
        <f t="shared" ref="M21:M26" si="0">SUM(C21:K21)</f>
        <v>0</v>
      </c>
      <c r="N21" s="18"/>
      <c r="O21" s="18"/>
      <c r="P21" s="18"/>
      <c r="Q21" s="18"/>
      <c r="R21" s="16" t="s">
        <v>37</v>
      </c>
      <c r="S21" s="400">
        <v>0</v>
      </c>
      <c r="T21" s="16"/>
      <c r="U21" s="405">
        <v>0</v>
      </c>
      <c r="V21" s="16"/>
      <c r="W21" s="406">
        <v>0</v>
      </c>
      <c r="X21" s="16"/>
      <c r="Y21" s="407">
        <v>0</v>
      </c>
      <c r="Z21" s="16"/>
      <c r="AA21" s="297"/>
      <c r="AB21" s="16"/>
      <c r="AC21" s="16">
        <f t="shared" ref="AC21:AC27" si="1">SUM(S21:AA21)</f>
        <v>0</v>
      </c>
      <c r="AD21" s="18"/>
      <c r="AE21" s="18"/>
      <c r="AF21" s="388"/>
    </row>
    <row r="22" spans="2:32">
      <c r="B22" s="389" t="s">
        <v>256</v>
      </c>
      <c r="C22" s="400">
        <v>0</v>
      </c>
      <c r="D22" s="122"/>
      <c r="E22" s="401">
        <v>0</v>
      </c>
      <c r="F22" s="122"/>
      <c r="G22" s="402">
        <v>0</v>
      </c>
      <c r="H22" s="122"/>
      <c r="I22" s="403">
        <v>0</v>
      </c>
      <c r="J22" s="16"/>
      <c r="K22" s="16"/>
      <c r="L22" s="16"/>
      <c r="M22" s="16">
        <f t="shared" si="0"/>
        <v>0</v>
      </c>
      <c r="N22" s="18"/>
      <c r="O22" s="18"/>
      <c r="P22" s="18"/>
      <c r="Q22" s="18"/>
      <c r="R22" s="16" t="s">
        <v>38</v>
      </c>
      <c r="S22" s="400">
        <v>0</v>
      </c>
      <c r="T22" s="16"/>
      <c r="U22" s="405">
        <v>0</v>
      </c>
      <c r="V22" s="16"/>
      <c r="W22" s="406">
        <v>0</v>
      </c>
      <c r="X22" s="16"/>
      <c r="Y22" s="407">
        <v>0</v>
      </c>
      <c r="Z22" s="16"/>
      <c r="AA22" s="297"/>
      <c r="AB22" s="16"/>
      <c r="AC22" s="16">
        <f t="shared" si="1"/>
        <v>0</v>
      </c>
      <c r="AD22" s="18"/>
      <c r="AE22" s="18"/>
      <c r="AF22" s="388"/>
    </row>
    <row r="23" spans="2:32">
      <c r="B23" s="389" t="s">
        <v>255</v>
      </c>
      <c r="C23" s="400">
        <v>0</v>
      </c>
      <c r="D23" s="122"/>
      <c r="E23" s="401">
        <v>0</v>
      </c>
      <c r="F23" s="122"/>
      <c r="G23" s="402">
        <v>0</v>
      </c>
      <c r="H23" s="122"/>
      <c r="I23" s="403">
        <v>0</v>
      </c>
      <c r="J23" s="16"/>
      <c r="K23" s="16"/>
      <c r="L23" s="16"/>
      <c r="M23" s="16">
        <f t="shared" si="0"/>
        <v>0</v>
      </c>
      <c r="N23" s="18"/>
      <c r="O23" s="18"/>
      <c r="P23" s="18"/>
      <c r="Q23" s="18"/>
      <c r="R23" s="16" t="s">
        <v>39</v>
      </c>
      <c r="S23" s="400">
        <v>0</v>
      </c>
      <c r="T23" s="16"/>
      <c r="U23" s="405">
        <v>0</v>
      </c>
      <c r="V23" s="16"/>
      <c r="W23" s="406">
        <v>0</v>
      </c>
      <c r="X23" s="16"/>
      <c r="Y23" s="407">
        <v>0</v>
      </c>
      <c r="Z23" s="16"/>
      <c r="AA23" s="297"/>
      <c r="AB23" s="16"/>
      <c r="AC23" s="16">
        <f t="shared" si="1"/>
        <v>0</v>
      </c>
      <c r="AD23" s="18"/>
      <c r="AE23" s="18"/>
      <c r="AF23" s="388"/>
    </row>
    <row r="24" spans="2:32">
      <c r="B24" s="389" t="s">
        <v>40</v>
      </c>
      <c r="C24" s="400">
        <v>0</v>
      </c>
      <c r="D24" s="122"/>
      <c r="E24" s="401">
        <v>0</v>
      </c>
      <c r="F24" s="122"/>
      <c r="G24" s="402">
        <v>0</v>
      </c>
      <c r="H24" s="122"/>
      <c r="I24" s="403">
        <v>0</v>
      </c>
      <c r="J24" s="16"/>
      <c r="K24" s="16"/>
      <c r="L24" s="16"/>
      <c r="M24" s="16">
        <f t="shared" si="0"/>
        <v>0</v>
      </c>
      <c r="N24" s="18"/>
      <c r="O24" s="18"/>
      <c r="P24" s="18"/>
      <c r="Q24" s="18"/>
      <c r="R24" s="16" t="s">
        <v>40</v>
      </c>
      <c r="S24" s="400">
        <v>0</v>
      </c>
      <c r="T24" s="16"/>
      <c r="U24" s="405">
        <v>0</v>
      </c>
      <c r="V24" s="16"/>
      <c r="W24" s="406">
        <v>0</v>
      </c>
      <c r="X24" s="16"/>
      <c r="Y24" s="407">
        <v>0</v>
      </c>
      <c r="Z24" s="16"/>
      <c r="AA24" s="297"/>
      <c r="AB24" s="16"/>
      <c r="AC24" s="16">
        <f t="shared" si="1"/>
        <v>0</v>
      </c>
      <c r="AD24" s="18"/>
      <c r="AE24" s="18"/>
      <c r="AF24" s="388"/>
    </row>
    <row r="25" spans="2:32">
      <c r="B25" s="389" t="s">
        <v>257</v>
      </c>
      <c r="C25" s="400">
        <v>0</v>
      </c>
      <c r="D25" s="122"/>
      <c r="E25" s="401">
        <v>0</v>
      </c>
      <c r="F25" s="122"/>
      <c r="G25" s="402">
        <v>0</v>
      </c>
      <c r="H25" s="122"/>
      <c r="I25" s="403">
        <v>0</v>
      </c>
      <c r="J25" s="16"/>
      <c r="K25" s="16"/>
      <c r="L25" s="16"/>
      <c r="M25" s="16">
        <f t="shared" si="0"/>
        <v>0</v>
      </c>
      <c r="N25" s="18"/>
      <c r="O25" s="18"/>
      <c r="P25" s="18"/>
      <c r="Q25" s="18"/>
      <c r="R25" s="16" t="s">
        <v>41</v>
      </c>
      <c r="S25" s="400">
        <v>0</v>
      </c>
      <c r="T25" s="16"/>
      <c r="U25" s="405">
        <v>0</v>
      </c>
      <c r="V25" s="16"/>
      <c r="W25" s="406">
        <v>0</v>
      </c>
      <c r="X25" s="16"/>
      <c r="Y25" s="407">
        <v>0</v>
      </c>
      <c r="Z25" s="16"/>
      <c r="AA25" s="297"/>
      <c r="AB25" s="16"/>
      <c r="AC25" s="16">
        <f t="shared" si="1"/>
        <v>0</v>
      </c>
      <c r="AD25" s="18"/>
      <c r="AE25" s="18"/>
      <c r="AF25" s="388"/>
    </row>
    <row r="26" spans="2:32">
      <c r="B26" s="389" t="s">
        <v>42</v>
      </c>
      <c r="C26" s="400">
        <v>0</v>
      </c>
      <c r="D26" s="122"/>
      <c r="E26" s="401">
        <v>0</v>
      </c>
      <c r="F26" s="122"/>
      <c r="G26" s="402">
        <v>0</v>
      </c>
      <c r="H26" s="122"/>
      <c r="I26" s="403">
        <v>0</v>
      </c>
      <c r="J26" s="21"/>
      <c r="K26" s="16"/>
      <c r="L26" s="16"/>
      <c r="M26" s="16">
        <f t="shared" si="0"/>
        <v>0</v>
      </c>
      <c r="N26" s="18"/>
      <c r="O26" s="18"/>
      <c r="P26" s="18"/>
      <c r="Q26" s="18"/>
      <c r="R26" s="16" t="s">
        <v>42</v>
      </c>
      <c r="S26" s="400">
        <v>0</v>
      </c>
      <c r="T26" s="122"/>
      <c r="U26" s="405">
        <v>0</v>
      </c>
      <c r="V26" s="122"/>
      <c r="W26" s="406">
        <v>0</v>
      </c>
      <c r="X26" s="122"/>
      <c r="Y26" s="407">
        <v>0</v>
      </c>
      <c r="Z26" s="21"/>
      <c r="AA26" s="297"/>
      <c r="AB26" s="16"/>
      <c r="AC26" s="16">
        <f t="shared" si="1"/>
        <v>0</v>
      </c>
      <c r="AD26" s="18"/>
      <c r="AE26" s="18"/>
      <c r="AF26" s="388"/>
    </row>
    <row r="27" spans="2:32">
      <c r="B27" s="390" t="s">
        <v>243</v>
      </c>
      <c r="C27" s="110">
        <f>SUM(C20:C26)</f>
        <v>2</v>
      </c>
      <c r="D27" s="16"/>
      <c r="E27" s="107">
        <f>SUM(E20:E26)</f>
        <v>0</v>
      </c>
      <c r="F27" s="16"/>
      <c r="G27" s="106">
        <f>SUM(G20:G26)</f>
        <v>0</v>
      </c>
      <c r="H27" s="16"/>
      <c r="I27" s="108">
        <f>SUM(I20:I26)</f>
        <v>0</v>
      </c>
      <c r="J27" s="16"/>
      <c r="K27" s="16">
        <f t="shared" ref="K27" si="2">SUM(K20:K26)</f>
        <v>0</v>
      </c>
      <c r="L27" s="16"/>
      <c r="M27" s="16">
        <f t="shared" ref="M27" si="3">SUM(M20:M26)</f>
        <v>2</v>
      </c>
      <c r="N27" s="18"/>
      <c r="O27" s="18"/>
      <c r="P27" s="18"/>
      <c r="Q27" s="18"/>
      <c r="R27" s="332" t="s">
        <v>243</v>
      </c>
      <c r="S27" s="110">
        <f>SUM(S20:S26)</f>
        <v>0</v>
      </c>
      <c r="T27" s="16"/>
      <c r="U27" s="294">
        <f>SUM(U20:U26)</f>
        <v>0</v>
      </c>
      <c r="V27" s="16"/>
      <c r="W27" s="295">
        <f>SUM(W20:W26)</f>
        <v>0</v>
      </c>
      <c r="X27" s="16"/>
      <c r="Y27" s="296">
        <f>SUM(Y20:Y26)</f>
        <v>0</v>
      </c>
      <c r="Z27" s="16"/>
      <c r="AA27" s="297">
        <f t="shared" ref="AA27" si="4">SUM(AA20:AA26)</f>
        <v>0</v>
      </c>
      <c r="AB27" s="16"/>
      <c r="AC27" s="16">
        <f t="shared" si="1"/>
        <v>0</v>
      </c>
      <c r="AD27" s="18"/>
      <c r="AE27" s="18"/>
      <c r="AF27" s="388"/>
    </row>
    <row r="28" spans="2:32">
      <c r="B28" s="391" t="s">
        <v>244</v>
      </c>
      <c r="C28" s="16">
        <v>2</v>
      </c>
      <c r="D28" s="16"/>
      <c r="E28" s="16">
        <v>0</v>
      </c>
      <c r="F28" s="16"/>
      <c r="G28" s="16">
        <v>0</v>
      </c>
      <c r="H28" s="16"/>
      <c r="I28" s="16">
        <v>0</v>
      </c>
      <c r="J28" s="16"/>
      <c r="K28" s="16"/>
      <c r="L28" s="16"/>
      <c r="M28" s="16">
        <f>SUM(C28:L28)</f>
        <v>2</v>
      </c>
      <c r="N28" s="18"/>
      <c r="O28" s="18"/>
      <c r="P28" s="18"/>
      <c r="Q28" s="18"/>
      <c r="R28" s="333" t="s">
        <v>244</v>
      </c>
      <c r="S28" s="16">
        <v>0</v>
      </c>
      <c r="T28" s="16"/>
      <c r="U28" s="297">
        <v>0</v>
      </c>
      <c r="V28" s="16"/>
      <c r="W28" s="297">
        <v>0</v>
      </c>
      <c r="X28" s="16"/>
      <c r="Y28" s="297">
        <v>0</v>
      </c>
      <c r="Z28" s="16"/>
      <c r="AA28" s="297"/>
      <c r="AB28" s="16"/>
      <c r="AC28" s="16">
        <f>SUM(S28:AB28)</f>
        <v>0</v>
      </c>
      <c r="AD28" s="18"/>
      <c r="AE28" s="18"/>
      <c r="AF28" s="388"/>
    </row>
    <row r="29" spans="2:32" ht="14.25" thickBot="1">
      <c r="B29" s="392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382"/>
      <c r="V29" s="18"/>
      <c r="W29" s="382"/>
      <c r="X29" s="18"/>
      <c r="Y29" s="382"/>
      <c r="Z29" s="18"/>
      <c r="AA29" s="382"/>
      <c r="AB29" s="18"/>
      <c r="AC29" s="18"/>
      <c r="AD29" s="18"/>
      <c r="AE29" s="18"/>
      <c r="AF29" s="388"/>
    </row>
    <row r="30" spans="2:32">
      <c r="B30" s="387">
        <f>B18</f>
        <v>43983</v>
      </c>
      <c r="C30" s="110"/>
      <c r="D30" s="16" t="s">
        <v>261</v>
      </c>
      <c r="E30" s="107"/>
      <c r="F30" s="16"/>
      <c r="G30" s="106"/>
      <c r="H30" s="16"/>
      <c r="I30" s="108"/>
      <c r="J30" s="16"/>
      <c r="K30" s="109"/>
      <c r="L30" s="16"/>
      <c r="M30" s="113"/>
      <c r="N30" s="114"/>
      <c r="O30" s="115"/>
      <c r="P30" s="19"/>
      <c r="Q30" s="18"/>
      <c r="R30" s="121">
        <f>B18</f>
        <v>43983</v>
      </c>
      <c r="S30" s="110"/>
      <c r="T30" s="16" t="s">
        <v>261</v>
      </c>
      <c r="U30" s="294"/>
      <c r="V30" s="16"/>
      <c r="W30" s="295"/>
      <c r="X30" s="16"/>
      <c r="Y30" s="296"/>
      <c r="Z30" s="16"/>
      <c r="AA30" s="298"/>
      <c r="AB30" s="16"/>
      <c r="AC30" s="113"/>
      <c r="AD30" s="114"/>
      <c r="AE30" s="115"/>
      <c r="AF30" s="388"/>
    </row>
    <row r="31" spans="2:32">
      <c r="B31" s="389" t="s">
        <v>54</v>
      </c>
      <c r="C31" s="110" t="s">
        <v>52</v>
      </c>
      <c r="D31" s="111"/>
      <c r="E31" s="107" t="s">
        <v>51</v>
      </c>
      <c r="F31" s="111"/>
      <c r="G31" s="106" t="s">
        <v>50</v>
      </c>
      <c r="H31" s="111"/>
      <c r="I31" s="108" t="s">
        <v>49</v>
      </c>
      <c r="J31" s="111"/>
      <c r="K31" s="109" t="s">
        <v>69</v>
      </c>
      <c r="L31" s="111"/>
      <c r="M31" s="113" t="s">
        <v>166</v>
      </c>
      <c r="N31" s="118" t="s">
        <v>165</v>
      </c>
      <c r="O31" s="117"/>
      <c r="P31" s="19"/>
      <c r="Q31" s="18" t="s">
        <v>167</v>
      </c>
      <c r="R31" s="16" t="s">
        <v>53</v>
      </c>
      <c r="S31" s="110" t="s">
        <v>52</v>
      </c>
      <c r="T31" s="111"/>
      <c r="U31" s="294" t="s">
        <v>51</v>
      </c>
      <c r="V31" s="111"/>
      <c r="W31" s="295" t="s">
        <v>50</v>
      </c>
      <c r="X31" s="111"/>
      <c r="Y31" s="296" t="s">
        <v>49</v>
      </c>
      <c r="Z31" s="111"/>
      <c r="AA31" s="298" t="s">
        <v>69</v>
      </c>
      <c r="AB31" s="111"/>
      <c r="AC31" s="113" t="s">
        <v>166</v>
      </c>
      <c r="AD31" s="116" t="s">
        <v>165</v>
      </c>
      <c r="AE31" s="117"/>
      <c r="AF31" s="388"/>
    </row>
    <row r="32" spans="2:32">
      <c r="B32" s="389" t="s">
        <v>36</v>
      </c>
      <c r="C32" s="400">
        <v>64</v>
      </c>
      <c r="D32" s="112">
        <f>(C20+C32)/C122</f>
        <v>0.46153846153846156</v>
      </c>
      <c r="E32" s="401">
        <v>4</v>
      </c>
      <c r="F32" s="112">
        <f>(E32+E20)/E122</f>
        <v>0.8</v>
      </c>
      <c r="G32" s="402">
        <v>2</v>
      </c>
      <c r="H32" s="112">
        <f>(G32+G20)/G122</f>
        <v>0.5</v>
      </c>
      <c r="I32" s="403">
        <v>4</v>
      </c>
      <c r="J32" s="112">
        <f>(I32+I20)/I122</f>
        <v>0.5</v>
      </c>
      <c r="K32" s="404">
        <v>0</v>
      </c>
      <c r="L32" s="112" t="e">
        <f>(K32+K20)/K122</f>
        <v>#DIV/0!</v>
      </c>
      <c r="M32" s="113">
        <f>C32+E32+G32+I32+K32</f>
        <v>74</v>
      </c>
      <c r="N32" s="118">
        <f>M32+M20</f>
        <v>76</v>
      </c>
      <c r="O32" s="119">
        <f>(M32+M20)/M122</f>
        <v>0.47499999999999998</v>
      </c>
      <c r="P32" s="19"/>
      <c r="Q32" s="18"/>
      <c r="R32" s="122" t="s">
        <v>36</v>
      </c>
      <c r="S32" s="400">
        <v>108</v>
      </c>
      <c r="T32" s="112">
        <f>(S32+S20)/S122</f>
        <v>0.54545454545454541</v>
      </c>
      <c r="U32" s="405">
        <v>6</v>
      </c>
      <c r="V32" s="112">
        <f>(U32+U20)/U122</f>
        <v>0.8571428571428571</v>
      </c>
      <c r="W32" s="406">
        <v>2</v>
      </c>
      <c r="X32" s="112">
        <f>(W32+W20)/W122</f>
        <v>0.5</v>
      </c>
      <c r="Y32" s="403">
        <v>8</v>
      </c>
      <c r="Z32" s="112">
        <f>(Y32+Y20)/Y122</f>
        <v>0.8</v>
      </c>
      <c r="AA32" s="408">
        <v>0</v>
      </c>
      <c r="AB32" s="112" t="e">
        <f>(AA32+AA20)/AA122</f>
        <v>#DIV/0!</v>
      </c>
      <c r="AC32" s="113">
        <f>S32+U32+W32+Y32+AA32</f>
        <v>124</v>
      </c>
      <c r="AD32" s="118">
        <f>AC20+AC32</f>
        <v>124</v>
      </c>
      <c r="AE32" s="119">
        <f>(AC32+AC20)/AC122</f>
        <v>0.56621004566210043</v>
      </c>
      <c r="AF32" s="388"/>
    </row>
    <row r="33" spans="2:32">
      <c r="B33" s="393" t="s">
        <v>107</v>
      </c>
      <c r="C33" s="400">
        <v>0</v>
      </c>
      <c r="D33" s="112">
        <f>C33/C122</f>
        <v>0</v>
      </c>
      <c r="E33" s="401">
        <v>0</v>
      </c>
      <c r="F33" s="112">
        <f>E33/E122</f>
        <v>0</v>
      </c>
      <c r="G33" s="402">
        <v>0</v>
      </c>
      <c r="H33" s="112">
        <f>G33/G122</f>
        <v>0</v>
      </c>
      <c r="I33" s="403">
        <v>0</v>
      </c>
      <c r="J33" s="112">
        <f>I33/I122</f>
        <v>0</v>
      </c>
      <c r="K33" s="404">
        <v>0</v>
      </c>
      <c r="L33" s="112" t="e">
        <f>K33/K122</f>
        <v>#DIV/0!</v>
      </c>
      <c r="M33" s="113">
        <f>C33+E33+G33+I33+K33</f>
        <v>0</v>
      </c>
      <c r="N33" s="118">
        <f>M33</f>
        <v>0</v>
      </c>
      <c r="O33" s="119">
        <f>M33/M122</f>
        <v>0</v>
      </c>
      <c r="P33" s="19"/>
      <c r="Q33" s="18"/>
      <c r="R33" s="340" t="s">
        <v>107</v>
      </c>
      <c r="S33" s="400">
        <v>0</v>
      </c>
      <c r="T33" s="112">
        <f>S33/S122</f>
        <v>0</v>
      </c>
      <c r="U33" s="405">
        <v>0</v>
      </c>
      <c r="V33" s="112">
        <f>U33/U122</f>
        <v>0</v>
      </c>
      <c r="W33" s="406">
        <v>0</v>
      </c>
      <c r="X33" s="112">
        <f>W33/W122</f>
        <v>0</v>
      </c>
      <c r="Y33" s="403">
        <v>0</v>
      </c>
      <c r="Z33" s="112">
        <f>Y33/Y122</f>
        <v>0</v>
      </c>
      <c r="AA33" s="408">
        <v>0</v>
      </c>
      <c r="AB33" s="112" t="e">
        <f>AA33/AA122</f>
        <v>#DIV/0!</v>
      </c>
      <c r="AC33" s="113">
        <f>S33+U33+W33+Y33+AA33</f>
        <v>0</v>
      </c>
      <c r="AD33" s="118">
        <f>AC33</f>
        <v>0</v>
      </c>
      <c r="AE33" s="119">
        <f>AC33/AC122</f>
        <v>0</v>
      </c>
      <c r="AF33" s="388"/>
    </row>
    <row r="34" spans="2:32">
      <c r="B34" s="393"/>
      <c r="C34" s="400"/>
      <c r="D34" s="112">
        <f>C34/C122</f>
        <v>0</v>
      </c>
      <c r="E34" s="401"/>
      <c r="F34" s="112">
        <f>E34/E122</f>
        <v>0</v>
      </c>
      <c r="G34" s="402"/>
      <c r="H34" s="112">
        <f>G34/G122</f>
        <v>0</v>
      </c>
      <c r="I34" s="403"/>
      <c r="J34" s="112">
        <f>I34/I122</f>
        <v>0</v>
      </c>
      <c r="K34" s="404"/>
      <c r="L34" s="112" t="e">
        <f>K34/K122</f>
        <v>#DIV/0!</v>
      </c>
      <c r="M34" s="113">
        <f>C34+E34+G34+I34+K34</f>
        <v>0</v>
      </c>
      <c r="N34" s="118">
        <f>M34</f>
        <v>0</v>
      </c>
      <c r="O34" s="119">
        <f>M34/M122</f>
        <v>0</v>
      </c>
      <c r="P34" s="19"/>
      <c r="Q34" s="18"/>
      <c r="R34" s="340"/>
      <c r="S34" s="400"/>
      <c r="T34" s="112">
        <f>S34/S122</f>
        <v>0</v>
      </c>
      <c r="U34" s="405"/>
      <c r="V34" s="112">
        <f>U34/U122</f>
        <v>0</v>
      </c>
      <c r="W34" s="406"/>
      <c r="X34" s="112">
        <f>W34/W122</f>
        <v>0</v>
      </c>
      <c r="Y34" s="403"/>
      <c r="Z34" s="112">
        <f>Y34/Y122</f>
        <v>0</v>
      </c>
      <c r="AA34" s="408"/>
      <c r="AB34" s="112" t="e">
        <f>AA34/AA122</f>
        <v>#DIV/0!</v>
      </c>
      <c r="AC34" s="113">
        <f>S34+U34+W34+Y34+AA34</f>
        <v>0</v>
      </c>
      <c r="AD34" s="118">
        <f>AC34</f>
        <v>0</v>
      </c>
      <c r="AE34" s="119">
        <f>AC34/AC122</f>
        <v>0</v>
      </c>
      <c r="AF34" s="388"/>
    </row>
    <row r="35" spans="2:32">
      <c r="B35" s="389" t="s">
        <v>42</v>
      </c>
      <c r="C35" s="400">
        <v>16</v>
      </c>
      <c r="D35" s="112">
        <f>(C26+C35)/C122</f>
        <v>0.11188811188811189</v>
      </c>
      <c r="E35" s="401">
        <v>0</v>
      </c>
      <c r="F35" s="112">
        <f>(E35+E26)/E122</f>
        <v>0</v>
      </c>
      <c r="G35" s="402">
        <v>0</v>
      </c>
      <c r="H35" s="112">
        <f>(G35+G26)/G122</f>
        <v>0</v>
      </c>
      <c r="I35" s="403">
        <v>0</v>
      </c>
      <c r="J35" s="112">
        <f>(I35+I26)/I122</f>
        <v>0</v>
      </c>
      <c r="K35" s="404">
        <v>0</v>
      </c>
      <c r="L35" s="112" t="e">
        <f>(K35+K26)/K122</f>
        <v>#DIV/0!</v>
      </c>
      <c r="M35" s="113">
        <f t="shared" ref="M35:M40" si="5">C35+E35+G35+I35+K35</f>
        <v>16</v>
      </c>
      <c r="N35" s="118">
        <f>M35+M26</f>
        <v>16</v>
      </c>
      <c r="O35" s="119">
        <f>(M35+M26)/M122</f>
        <v>0.1</v>
      </c>
      <c r="P35" s="19"/>
      <c r="Q35" s="18"/>
      <c r="R35" s="122" t="s">
        <v>42</v>
      </c>
      <c r="S35" s="400">
        <v>36</v>
      </c>
      <c r="T35" s="112">
        <f>(S35+S26)/S122</f>
        <v>0.18181818181818182</v>
      </c>
      <c r="U35" s="405">
        <v>0</v>
      </c>
      <c r="V35" s="112">
        <f>(U35+U26)/U122</f>
        <v>0</v>
      </c>
      <c r="W35" s="406">
        <v>0</v>
      </c>
      <c r="X35" s="112">
        <f>(W35+W26)/W122</f>
        <v>0</v>
      </c>
      <c r="Y35" s="403">
        <v>0</v>
      </c>
      <c r="Z35" s="112">
        <f>(Y35+Y26)/Y122</f>
        <v>0</v>
      </c>
      <c r="AA35" s="408">
        <v>0</v>
      </c>
      <c r="AB35" s="112" t="e">
        <f>(AA35+AA26)/AA122</f>
        <v>#DIV/0!</v>
      </c>
      <c r="AC35" s="113">
        <f t="shared" ref="AC35:AC40" si="6">S35+U35+W35+Y35+AA35</f>
        <v>36</v>
      </c>
      <c r="AD35" s="118">
        <f>AC35+AC26</f>
        <v>36</v>
      </c>
      <c r="AE35" s="119">
        <f>(AC35+AC26)/AC122</f>
        <v>0.16438356164383561</v>
      </c>
      <c r="AF35" s="388"/>
    </row>
    <row r="36" spans="2:32">
      <c r="B36" s="389" t="s">
        <v>67</v>
      </c>
      <c r="C36" s="400">
        <v>0</v>
      </c>
      <c r="D36" s="112">
        <f>C36/C122</f>
        <v>0</v>
      </c>
      <c r="E36" s="401">
        <v>0</v>
      </c>
      <c r="F36" s="112">
        <f>E36/E122</f>
        <v>0</v>
      </c>
      <c r="G36" s="402">
        <v>0</v>
      </c>
      <c r="H36" s="112">
        <f>G36/G122</f>
        <v>0</v>
      </c>
      <c r="I36" s="403">
        <v>0</v>
      </c>
      <c r="J36" s="112">
        <f>I36/I122</f>
        <v>0</v>
      </c>
      <c r="K36" s="404">
        <v>0</v>
      </c>
      <c r="L36" s="112" t="e">
        <f>K36/K122</f>
        <v>#DIV/0!</v>
      </c>
      <c r="M36" s="113">
        <f t="shared" si="5"/>
        <v>0</v>
      </c>
      <c r="N36" s="118">
        <f>M36</f>
        <v>0</v>
      </c>
      <c r="O36" s="119">
        <f>M36/M122</f>
        <v>0</v>
      </c>
      <c r="P36" s="19"/>
      <c r="Q36" s="18"/>
      <c r="R36" s="122" t="s">
        <v>67</v>
      </c>
      <c r="S36" s="400">
        <v>0</v>
      </c>
      <c r="T36" s="112">
        <f>S36/S122</f>
        <v>0</v>
      </c>
      <c r="U36" s="405">
        <v>0</v>
      </c>
      <c r="V36" s="112">
        <f>U36/U122</f>
        <v>0</v>
      </c>
      <c r="W36" s="406">
        <v>0</v>
      </c>
      <c r="X36" s="112">
        <f>W36/W122</f>
        <v>0</v>
      </c>
      <c r="Y36" s="403">
        <v>0</v>
      </c>
      <c r="Z36" s="112">
        <f>Y36/Y122</f>
        <v>0</v>
      </c>
      <c r="AA36" s="408">
        <v>0</v>
      </c>
      <c r="AB36" s="112" t="e">
        <f>AA36/AA122</f>
        <v>#DIV/0!</v>
      </c>
      <c r="AC36" s="113">
        <f t="shared" si="6"/>
        <v>0</v>
      </c>
      <c r="AD36" s="118">
        <f>AC36</f>
        <v>0</v>
      </c>
      <c r="AE36" s="119">
        <f>AC36/AC122</f>
        <v>0</v>
      </c>
      <c r="AF36" s="388"/>
    </row>
    <row r="37" spans="2:32">
      <c r="B37" s="389"/>
      <c r="C37" s="400"/>
      <c r="D37" s="112">
        <f>C37/C122</f>
        <v>0</v>
      </c>
      <c r="E37" s="401"/>
      <c r="F37" s="112">
        <f>E37/E122</f>
        <v>0</v>
      </c>
      <c r="G37" s="402"/>
      <c r="H37" s="112">
        <f>G37/G122</f>
        <v>0</v>
      </c>
      <c r="I37" s="403"/>
      <c r="J37" s="112">
        <f>I37/I122</f>
        <v>0</v>
      </c>
      <c r="K37" s="404"/>
      <c r="L37" s="112" t="e">
        <f>K37/K122</f>
        <v>#DIV/0!</v>
      </c>
      <c r="M37" s="113">
        <f t="shared" si="5"/>
        <v>0</v>
      </c>
      <c r="N37" s="118"/>
      <c r="O37" s="119">
        <f>M37/M122</f>
        <v>0</v>
      </c>
      <c r="P37" s="19"/>
      <c r="Q37" s="18"/>
      <c r="R37" s="122"/>
      <c r="S37" s="400"/>
      <c r="T37" s="112">
        <f>S37/S122</f>
        <v>0</v>
      </c>
      <c r="U37" s="405"/>
      <c r="V37" s="112">
        <f>U37/U122</f>
        <v>0</v>
      </c>
      <c r="W37" s="406"/>
      <c r="X37" s="112">
        <f>W37/W122</f>
        <v>0</v>
      </c>
      <c r="Y37" s="403"/>
      <c r="Z37" s="112">
        <f>Y37/Y122</f>
        <v>0</v>
      </c>
      <c r="AA37" s="408"/>
      <c r="AB37" s="112" t="e">
        <f>AA37/AA122</f>
        <v>#DIV/0!</v>
      </c>
      <c r="AC37" s="113">
        <f t="shared" si="6"/>
        <v>0</v>
      </c>
      <c r="AD37" s="118"/>
      <c r="AE37" s="119">
        <f>AC37/AC122</f>
        <v>0</v>
      </c>
      <c r="AF37" s="388"/>
    </row>
    <row r="38" spans="2:32">
      <c r="B38" s="389" t="s">
        <v>37</v>
      </c>
      <c r="C38" s="400">
        <v>0</v>
      </c>
      <c r="D38" s="112">
        <f>(C38+C21)/C122</f>
        <v>0</v>
      </c>
      <c r="E38" s="401">
        <v>0</v>
      </c>
      <c r="F38" s="112">
        <f>(E38+E21)/E122</f>
        <v>0</v>
      </c>
      <c r="G38" s="402">
        <v>0</v>
      </c>
      <c r="H38" s="112">
        <f>(G38+G21)/G122</f>
        <v>0</v>
      </c>
      <c r="I38" s="403">
        <v>0</v>
      </c>
      <c r="J38" s="112">
        <f>(I38+I21)/I122</f>
        <v>0</v>
      </c>
      <c r="K38" s="404">
        <v>0</v>
      </c>
      <c r="L38" s="112" t="e">
        <f>(K38+K21)/K122</f>
        <v>#DIV/0!</v>
      </c>
      <c r="M38" s="113">
        <f t="shared" si="5"/>
        <v>0</v>
      </c>
      <c r="N38" s="118">
        <f>M38+M21</f>
        <v>0</v>
      </c>
      <c r="O38" s="119">
        <f>(M38+M21)/M122</f>
        <v>0</v>
      </c>
      <c r="P38" s="19"/>
      <c r="Q38" s="18"/>
      <c r="R38" s="122" t="s">
        <v>37</v>
      </c>
      <c r="S38" s="400">
        <v>0</v>
      </c>
      <c r="T38" s="112">
        <f>(S38+S21)/S122</f>
        <v>0</v>
      </c>
      <c r="U38" s="405">
        <v>0</v>
      </c>
      <c r="V38" s="112">
        <f>(U38+U21)/U122</f>
        <v>0</v>
      </c>
      <c r="W38" s="406">
        <v>0</v>
      </c>
      <c r="X38" s="112">
        <f>(W38+W21)/W122</f>
        <v>0</v>
      </c>
      <c r="Y38" s="403">
        <v>0</v>
      </c>
      <c r="Z38" s="112">
        <f>(Y38+Y21)/Y122</f>
        <v>0</v>
      </c>
      <c r="AA38" s="408">
        <v>0</v>
      </c>
      <c r="AB38" s="112" t="e">
        <f>(AA38+AA21)/AA122</f>
        <v>#DIV/0!</v>
      </c>
      <c r="AC38" s="113">
        <f t="shared" si="6"/>
        <v>0</v>
      </c>
      <c r="AD38" s="118">
        <f>AC38+AC21</f>
        <v>0</v>
      </c>
      <c r="AE38" s="119">
        <f>(AC38+AC21)/AC122</f>
        <v>0</v>
      </c>
      <c r="AF38" s="388"/>
    </row>
    <row r="39" spans="2:32">
      <c r="B39" s="389"/>
      <c r="C39" s="400"/>
      <c r="D39" s="112">
        <f>C39/C122</f>
        <v>0</v>
      </c>
      <c r="E39" s="401"/>
      <c r="F39" s="112">
        <f>E39/E122</f>
        <v>0</v>
      </c>
      <c r="G39" s="402"/>
      <c r="H39" s="112">
        <f>G39/G122</f>
        <v>0</v>
      </c>
      <c r="I39" s="403"/>
      <c r="J39" s="112">
        <f>I39/I122</f>
        <v>0</v>
      </c>
      <c r="K39" s="404"/>
      <c r="L39" s="112" t="e">
        <f>K39/K122</f>
        <v>#DIV/0!</v>
      </c>
      <c r="M39" s="113">
        <f t="shared" si="5"/>
        <v>0</v>
      </c>
      <c r="N39" s="118">
        <f>M39</f>
        <v>0</v>
      </c>
      <c r="O39" s="119">
        <f>M39/M122</f>
        <v>0</v>
      </c>
      <c r="P39" s="19"/>
      <c r="Q39" s="18"/>
      <c r="R39" s="122"/>
      <c r="S39" s="400"/>
      <c r="T39" s="112">
        <f>S39/S122</f>
        <v>0</v>
      </c>
      <c r="U39" s="405"/>
      <c r="V39" s="112">
        <f>U39/U122</f>
        <v>0</v>
      </c>
      <c r="W39" s="406"/>
      <c r="X39" s="112">
        <f>W39/W122</f>
        <v>0</v>
      </c>
      <c r="Y39" s="403"/>
      <c r="Z39" s="112">
        <f>Y39/Y122</f>
        <v>0</v>
      </c>
      <c r="AA39" s="408"/>
      <c r="AB39" s="112" t="e">
        <f>AA39/AA122</f>
        <v>#DIV/0!</v>
      </c>
      <c r="AC39" s="113">
        <f t="shared" si="6"/>
        <v>0</v>
      </c>
      <c r="AD39" s="118">
        <f t="shared" ref="AD39" si="7">AC39</f>
        <v>0</v>
      </c>
      <c r="AE39" s="119">
        <f>AC39/AC122</f>
        <v>0</v>
      </c>
      <c r="AF39" s="388"/>
    </row>
    <row r="40" spans="2:32">
      <c r="B40" s="389" t="s">
        <v>252</v>
      </c>
      <c r="C40" s="400">
        <v>10</v>
      </c>
      <c r="D40" s="112">
        <f>(C22+C40)/C122</f>
        <v>6.9930069930069935E-2</v>
      </c>
      <c r="E40" s="401">
        <v>0</v>
      </c>
      <c r="F40" s="112">
        <f>(E40+E22)/E122</f>
        <v>0</v>
      </c>
      <c r="G40" s="402">
        <v>2</v>
      </c>
      <c r="H40" s="112">
        <f>(G40+G22)/G122</f>
        <v>0.5</v>
      </c>
      <c r="I40" s="403">
        <v>2</v>
      </c>
      <c r="J40" s="112">
        <f>(I40+I22)/I122</f>
        <v>0.25</v>
      </c>
      <c r="K40" s="404">
        <v>0</v>
      </c>
      <c r="L40" s="112" t="e">
        <f>(K40+K22)/K122</f>
        <v>#DIV/0!</v>
      </c>
      <c r="M40" s="113">
        <f t="shared" si="5"/>
        <v>14</v>
      </c>
      <c r="N40" s="118">
        <f>M40+M22</f>
        <v>14</v>
      </c>
      <c r="O40" s="119">
        <f>(M40+M22)/M122</f>
        <v>8.7499999999999994E-2</v>
      </c>
      <c r="P40" s="19"/>
      <c r="Q40" s="18"/>
      <c r="R40" s="122" t="s">
        <v>38</v>
      </c>
      <c r="S40" s="400">
        <v>8</v>
      </c>
      <c r="T40" s="112">
        <f>(S40+S22)/S122</f>
        <v>4.0404040404040407E-2</v>
      </c>
      <c r="U40" s="405">
        <v>0</v>
      </c>
      <c r="V40" s="112">
        <f>(U40+U22)/U122</f>
        <v>0</v>
      </c>
      <c r="W40" s="406">
        <v>2</v>
      </c>
      <c r="X40" s="112">
        <f>(W40+W22)/W122</f>
        <v>0.5</v>
      </c>
      <c r="Y40" s="403">
        <v>0</v>
      </c>
      <c r="Z40" s="112">
        <f>(Y40+Y22)/Y122</f>
        <v>0</v>
      </c>
      <c r="AA40" s="408">
        <v>0</v>
      </c>
      <c r="AB40" s="112" t="e">
        <f>(AA40+AA22)/AA122</f>
        <v>#DIV/0!</v>
      </c>
      <c r="AC40" s="113">
        <f t="shared" si="6"/>
        <v>10</v>
      </c>
      <c r="AD40" s="118">
        <f>AC40+AC22</f>
        <v>10</v>
      </c>
      <c r="AE40" s="119">
        <f>(AC40+AC22)/AC122</f>
        <v>4.5662100456621002E-2</v>
      </c>
      <c r="AF40" s="388"/>
    </row>
    <row r="41" spans="2:32">
      <c r="B41" s="393" t="s">
        <v>161</v>
      </c>
      <c r="C41" s="400">
        <v>0</v>
      </c>
      <c r="D41" s="112">
        <f>C41/C122</f>
        <v>0</v>
      </c>
      <c r="E41" s="401">
        <v>0</v>
      </c>
      <c r="F41" s="112">
        <f>E41/E122</f>
        <v>0</v>
      </c>
      <c r="G41" s="402">
        <v>0</v>
      </c>
      <c r="H41" s="112">
        <f>G41/G122</f>
        <v>0</v>
      </c>
      <c r="I41" s="403">
        <v>0</v>
      </c>
      <c r="J41" s="112">
        <f>I41/I122</f>
        <v>0</v>
      </c>
      <c r="K41" s="404">
        <v>0</v>
      </c>
      <c r="L41" s="112" t="e">
        <f>K41/K122</f>
        <v>#DIV/0!</v>
      </c>
      <c r="M41" s="113">
        <f>C41+E41+G41+I41+K41</f>
        <v>0</v>
      </c>
      <c r="N41" s="118">
        <f>M41</f>
        <v>0</v>
      </c>
      <c r="O41" s="119">
        <f>M41/M122</f>
        <v>0</v>
      </c>
      <c r="P41" s="19"/>
      <c r="Q41" s="18"/>
      <c r="R41" s="340" t="s">
        <v>161</v>
      </c>
      <c r="S41" s="400">
        <v>0</v>
      </c>
      <c r="T41" s="112">
        <f>S41/S122</f>
        <v>0</v>
      </c>
      <c r="U41" s="405">
        <v>0</v>
      </c>
      <c r="V41" s="112">
        <f>U41/U122</f>
        <v>0</v>
      </c>
      <c r="W41" s="406">
        <v>0</v>
      </c>
      <c r="X41" s="112">
        <f>W41/W122</f>
        <v>0</v>
      </c>
      <c r="Y41" s="403">
        <v>0</v>
      </c>
      <c r="Z41" s="112">
        <f>Y41/Y122</f>
        <v>0</v>
      </c>
      <c r="AA41" s="408">
        <v>0</v>
      </c>
      <c r="AB41" s="112" t="e">
        <f>AA41/AA122</f>
        <v>#DIV/0!</v>
      </c>
      <c r="AC41" s="113">
        <f>S41+U41+W41+Y41+AA41</f>
        <v>0</v>
      </c>
      <c r="AD41" s="118">
        <f>AC41</f>
        <v>0</v>
      </c>
      <c r="AE41" s="119">
        <f>AC41/AC122</f>
        <v>0</v>
      </c>
      <c r="AF41" s="388"/>
    </row>
    <row r="42" spans="2:32">
      <c r="B42" s="389"/>
      <c r="C42" s="400"/>
      <c r="D42" s="112">
        <f>C42/C122</f>
        <v>0</v>
      </c>
      <c r="E42" s="401"/>
      <c r="F42" s="112">
        <f>E42/E122</f>
        <v>0</v>
      </c>
      <c r="G42" s="402"/>
      <c r="H42" s="112">
        <f>G42/G122</f>
        <v>0</v>
      </c>
      <c r="I42" s="403"/>
      <c r="J42" s="112">
        <f>I42/I122</f>
        <v>0</v>
      </c>
      <c r="K42" s="404"/>
      <c r="L42" s="112" t="e">
        <f>K42/K122</f>
        <v>#DIV/0!</v>
      </c>
      <c r="M42" s="113">
        <f t="shared" ref="M42:M58" si="8">C42+E42+G42+I42+K42</f>
        <v>0</v>
      </c>
      <c r="N42" s="118">
        <f>M42</f>
        <v>0</v>
      </c>
      <c r="O42" s="119">
        <f>M42/M122</f>
        <v>0</v>
      </c>
      <c r="P42" s="19"/>
      <c r="Q42" s="18"/>
      <c r="R42" s="122"/>
      <c r="S42" s="400"/>
      <c r="T42" s="112">
        <f>S42/S122</f>
        <v>0</v>
      </c>
      <c r="U42" s="405"/>
      <c r="V42" s="112">
        <f>U42/U122</f>
        <v>0</v>
      </c>
      <c r="W42" s="406"/>
      <c r="X42" s="112">
        <f>W42/W122</f>
        <v>0</v>
      </c>
      <c r="Y42" s="403"/>
      <c r="Z42" s="112">
        <f>Y42/Y122</f>
        <v>0</v>
      </c>
      <c r="AA42" s="408"/>
      <c r="AB42" s="112" t="e">
        <f>AA42/AA122</f>
        <v>#DIV/0!</v>
      </c>
      <c r="AC42" s="113">
        <f t="shared" ref="AC42:AC58" si="9">S42+U42+W42+Y42+AA42</f>
        <v>0</v>
      </c>
      <c r="AD42" s="118">
        <f t="shared" ref="AD42" si="10">AC42</f>
        <v>0</v>
      </c>
      <c r="AE42" s="119">
        <f>AC42/AC122</f>
        <v>0</v>
      </c>
      <c r="AF42" s="388"/>
    </row>
    <row r="43" spans="2:32">
      <c r="B43" s="393" t="s">
        <v>39</v>
      </c>
      <c r="C43" s="400">
        <v>2</v>
      </c>
      <c r="D43" s="112">
        <f>(C23+C43)/C122</f>
        <v>1.3986013986013986E-2</v>
      </c>
      <c r="E43" s="401">
        <v>0</v>
      </c>
      <c r="F43" s="112">
        <f>(E43+E23)/E122</f>
        <v>0</v>
      </c>
      <c r="G43" s="402">
        <v>0</v>
      </c>
      <c r="H43" s="112">
        <f>(G43+G23)/G122</f>
        <v>0</v>
      </c>
      <c r="I43" s="403">
        <v>0</v>
      </c>
      <c r="J43" s="112">
        <f>(I43+I23)/I122</f>
        <v>0</v>
      </c>
      <c r="K43" s="404">
        <v>0</v>
      </c>
      <c r="L43" s="112" t="e">
        <f>(K43+K23)/K122</f>
        <v>#DIV/0!</v>
      </c>
      <c r="M43" s="113">
        <f t="shared" si="8"/>
        <v>2</v>
      </c>
      <c r="N43" s="118">
        <f>M43+M23</f>
        <v>2</v>
      </c>
      <c r="O43" s="119">
        <f>(M43+M23)/M122</f>
        <v>1.2500000000000001E-2</v>
      </c>
      <c r="P43" s="19"/>
      <c r="Q43" s="18"/>
      <c r="R43" s="340" t="s">
        <v>39</v>
      </c>
      <c r="S43" s="400">
        <v>2</v>
      </c>
      <c r="T43" s="112">
        <f>(S43+S23)/S122</f>
        <v>1.0101010101010102E-2</v>
      </c>
      <c r="U43" s="405">
        <v>0</v>
      </c>
      <c r="V43" s="112">
        <f>(U43+U23)/U122</f>
        <v>0</v>
      </c>
      <c r="W43" s="406">
        <v>0</v>
      </c>
      <c r="X43" s="112">
        <f>(W43+W23)/W122</f>
        <v>0</v>
      </c>
      <c r="Y43" s="403">
        <v>0</v>
      </c>
      <c r="Z43" s="112">
        <f>(Y43+Y23)/Y122</f>
        <v>0</v>
      </c>
      <c r="AA43" s="408">
        <v>0</v>
      </c>
      <c r="AB43" s="112" t="e">
        <f>(AA43+AA23)/AA122</f>
        <v>#DIV/0!</v>
      </c>
      <c r="AC43" s="113">
        <f t="shared" si="9"/>
        <v>2</v>
      </c>
      <c r="AD43" s="118">
        <f>AC43+AC23</f>
        <v>2</v>
      </c>
      <c r="AE43" s="119">
        <f>(AC43+AC23)/AC122</f>
        <v>9.1324200913242004E-3</v>
      </c>
      <c r="AF43" s="388"/>
    </row>
    <row r="44" spans="2:32">
      <c r="B44" s="393" t="s">
        <v>164</v>
      </c>
      <c r="C44" s="400">
        <v>0</v>
      </c>
      <c r="D44" s="112">
        <f>C44/C122</f>
        <v>0</v>
      </c>
      <c r="E44" s="401">
        <v>0</v>
      </c>
      <c r="F44" s="112">
        <f>E44/E122</f>
        <v>0</v>
      </c>
      <c r="G44" s="402">
        <v>0</v>
      </c>
      <c r="H44" s="112">
        <f>G44/G122</f>
        <v>0</v>
      </c>
      <c r="I44" s="403">
        <v>0</v>
      </c>
      <c r="J44" s="112">
        <f>I44/I122</f>
        <v>0</v>
      </c>
      <c r="K44" s="404">
        <v>0</v>
      </c>
      <c r="L44" s="112" t="e">
        <f>K44/K122</f>
        <v>#DIV/0!</v>
      </c>
      <c r="M44" s="113">
        <f t="shared" si="8"/>
        <v>0</v>
      </c>
      <c r="N44" s="118">
        <f>M44</f>
        <v>0</v>
      </c>
      <c r="O44" s="119">
        <f>M44/M122</f>
        <v>0</v>
      </c>
      <c r="P44" s="19"/>
      <c r="Q44" s="18"/>
      <c r="R44" s="340" t="s">
        <v>164</v>
      </c>
      <c r="S44" s="400">
        <v>0</v>
      </c>
      <c r="T44" s="112">
        <f>S44/S122</f>
        <v>0</v>
      </c>
      <c r="U44" s="405">
        <v>0</v>
      </c>
      <c r="V44" s="112">
        <f>U44/U122</f>
        <v>0</v>
      </c>
      <c r="W44" s="406">
        <v>0</v>
      </c>
      <c r="X44" s="112">
        <f>W44/W122</f>
        <v>0</v>
      </c>
      <c r="Y44" s="403">
        <v>0</v>
      </c>
      <c r="Z44" s="112">
        <f>Y44/Y122</f>
        <v>0</v>
      </c>
      <c r="AA44" s="408">
        <v>0</v>
      </c>
      <c r="AB44" s="112" t="e">
        <f>AA44/AA122</f>
        <v>#DIV/0!</v>
      </c>
      <c r="AC44" s="113">
        <f t="shared" si="9"/>
        <v>0</v>
      </c>
      <c r="AD44" s="118">
        <f>AC44</f>
        <v>0</v>
      </c>
      <c r="AE44" s="119">
        <f>AC44/AC122</f>
        <v>0</v>
      </c>
      <c r="AF44" s="388"/>
    </row>
    <row r="45" spans="2:32" ht="12" customHeight="1">
      <c r="B45" s="393" t="s">
        <v>102</v>
      </c>
      <c r="C45" s="400">
        <v>0</v>
      </c>
      <c r="D45" s="112">
        <f>C45/C122</f>
        <v>0</v>
      </c>
      <c r="E45" s="401">
        <v>0</v>
      </c>
      <c r="F45" s="112">
        <f>E45/E122</f>
        <v>0</v>
      </c>
      <c r="G45" s="402">
        <v>0</v>
      </c>
      <c r="H45" s="112">
        <f>G45/G122</f>
        <v>0</v>
      </c>
      <c r="I45" s="403">
        <v>0</v>
      </c>
      <c r="J45" s="112">
        <f>I45/I122</f>
        <v>0</v>
      </c>
      <c r="K45" s="404">
        <v>0</v>
      </c>
      <c r="L45" s="112" t="e">
        <f>K45/K122</f>
        <v>#DIV/0!</v>
      </c>
      <c r="M45" s="113">
        <f t="shared" si="8"/>
        <v>0</v>
      </c>
      <c r="N45" s="118">
        <f>M45+M25</f>
        <v>0</v>
      </c>
      <c r="O45" s="119">
        <f>M45/M122</f>
        <v>0</v>
      </c>
      <c r="P45" s="19"/>
      <c r="Q45" s="18"/>
      <c r="R45" s="122" t="s">
        <v>102</v>
      </c>
      <c r="S45" s="400">
        <v>0</v>
      </c>
      <c r="T45" s="112">
        <f>S45/S122</f>
        <v>0</v>
      </c>
      <c r="U45" s="405">
        <v>0</v>
      </c>
      <c r="V45" s="112">
        <f>U45/U122</f>
        <v>0</v>
      </c>
      <c r="W45" s="406">
        <v>0</v>
      </c>
      <c r="X45" s="112">
        <f>W45/W122</f>
        <v>0</v>
      </c>
      <c r="Y45" s="403">
        <v>0</v>
      </c>
      <c r="Z45" s="112">
        <f>Y45/Y122</f>
        <v>0</v>
      </c>
      <c r="AA45" s="408">
        <v>0</v>
      </c>
      <c r="AB45" s="112" t="e">
        <f>AA45/AA122</f>
        <v>#DIV/0!</v>
      </c>
      <c r="AC45" s="113">
        <f t="shared" si="9"/>
        <v>0</v>
      </c>
      <c r="AD45" s="118">
        <f>AC45+AC25</f>
        <v>0</v>
      </c>
      <c r="AE45" s="119">
        <f>AC45/AC122</f>
        <v>0</v>
      </c>
      <c r="AF45" s="388"/>
    </row>
    <row r="46" spans="2:32">
      <c r="B46" s="389"/>
      <c r="C46" s="400"/>
      <c r="D46" s="112">
        <f>C46/C122</f>
        <v>0</v>
      </c>
      <c r="E46" s="401"/>
      <c r="F46" s="112">
        <f>E46/E122</f>
        <v>0</v>
      </c>
      <c r="G46" s="402"/>
      <c r="H46" s="112">
        <f>G46/G122</f>
        <v>0</v>
      </c>
      <c r="I46" s="403"/>
      <c r="J46" s="112">
        <f>I46/I122</f>
        <v>0</v>
      </c>
      <c r="K46" s="404"/>
      <c r="L46" s="112" t="e">
        <f>K46/K122</f>
        <v>#DIV/0!</v>
      </c>
      <c r="M46" s="113">
        <f t="shared" si="8"/>
        <v>0</v>
      </c>
      <c r="N46" s="118">
        <f>M46</f>
        <v>0</v>
      </c>
      <c r="O46" s="119">
        <f>M46/M122</f>
        <v>0</v>
      </c>
      <c r="P46" s="19"/>
      <c r="Q46" s="18"/>
      <c r="R46" s="122"/>
      <c r="S46" s="400"/>
      <c r="T46" s="112">
        <f>S46/S122</f>
        <v>0</v>
      </c>
      <c r="U46" s="405"/>
      <c r="V46" s="112">
        <f>U46/U122</f>
        <v>0</v>
      </c>
      <c r="W46" s="406"/>
      <c r="X46" s="112">
        <f>W46/W122</f>
        <v>0</v>
      </c>
      <c r="Y46" s="403"/>
      <c r="Z46" s="112">
        <f>Y46/Y122</f>
        <v>0</v>
      </c>
      <c r="AA46" s="408"/>
      <c r="AB46" s="112" t="e">
        <f>AA46/AA122</f>
        <v>#DIV/0!</v>
      </c>
      <c r="AC46" s="113">
        <f t="shared" si="9"/>
        <v>0</v>
      </c>
      <c r="AD46" s="118">
        <f>AC46+AC25</f>
        <v>0</v>
      </c>
      <c r="AE46" s="119">
        <f>AC46/AC122</f>
        <v>0</v>
      </c>
      <c r="AF46" s="388"/>
    </row>
    <row r="47" spans="2:32">
      <c r="B47" s="389" t="s">
        <v>40</v>
      </c>
      <c r="C47" s="400">
        <v>8</v>
      </c>
      <c r="D47" s="112">
        <f>(C24+C47)/C122</f>
        <v>5.5944055944055944E-2</v>
      </c>
      <c r="E47" s="401">
        <v>0</v>
      </c>
      <c r="F47" s="112">
        <f>(E47+E24)/E122</f>
        <v>0</v>
      </c>
      <c r="G47" s="402">
        <v>0</v>
      </c>
      <c r="H47" s="112">
        <f>(G47+G24)/G122</f>
        <v>0</v>
      </c>
      <c r="I47" s="403">
        <v>2</v>
      </c>
      <c r="J47" s="112">
        <f>(I47+I24)/I122</f>
        <v>0.25</v>
      </c>
      <c r="K47" s="404">
        <v>0</v>
      </c>
      <c r="L47" s="112" t="e">
        <f>(K47+K24)/K122</f>
        <v>#DIV/0!</v>
      </c>
      <c r="M47" s="113">
        <f t="shared" si="8"/>
        <v>10</v>
      </c>
      <c r="N47" s="118">
        <f>M47+M24</f>
        <v>10</v>
      </c>
      <c r="O47" s="119">
        <f>(M47+M24)/M122</f>
        <v>6.25E-2</v>
      </c>
      <c r="P47" s="19"/>
      <c r="Q47" s="18"/>
      <c r="R47" s="122" t="s">
        <v>40</v>
      </c>
      <c r="S47" s="400">
        <v>10</v>
      </c>
      <c r="T47" s="112">
        <f>(S47+S24)/S122</f>
        <v>5.0505050505050504E-2</v>
      </c>
      <c r="U47" s="405">
        <v>0</v>
      </c>
      <c r="V47" s="112">
        <f>(U47+U24)/U122</f>
        <v>0</v>
      </c>
      <c r="W47" s="406">
        <v>0</v>
      </c>
      <c r="X47" s="112">
        <f>(W47+W24)/W122</f>
        <v>0</v>
      </c>
      <c r="Y47" s="403">
        <v>2</v>
      </c>
      <c r="Z47" s="112">
        <f>(Y47+Y24)/Y122</f>
        <v>0.2</v>
      </c>
      <c r="AA47" s="408">
        <v>0</v>
      </c>
      <c r="AB47" s="112" t="e">
        <f>(AA47+AA24)/AA122</f>
        <v>#DIV/0!</v>
      </c>
      <c r="AC47" s="113">
        <f t="shared" si="9"/>
        <v>12</v>
      </c>
      <c r="AD47" s="118">
        <f>AC47+AC24</f>
        <v>12</v>
      </c>
      <c r="AE47" s="119">
        <f>(AC47+AC24)/AC122</f>
        <v>5.4794520547945202E-2</v>
      </c>
      <c r="AF47" s="388"/>
    </row>
    <row r="48" spans="2:32">
      <c r="B48" s="393" t="s">
        <v>285</v>
      </c>
      <c r="C48" s="400">
        <v>13</v>
      </c>
      <c r="D48" s="112">
        <f>(C25+C48)/C122</f>
        <v>9.0909090909090912E-2</v>
      </c>
      <c r="E48" s="401">
        <v>0</v>
      </c>
      <c r="F48" s="112">
        <f>(E48+E25)/E122</f>
        <v>0</v>
      </c>
      <c r="G48" s="402">
        <v>0</v>
      </c>
      <c r="H48" s="112">
        <f>(G48+G25)/G122</f>
        <v>0</v>
      </c>
      <c r="I48" s="403">
        <v>0</v>
      </c>
      <c r="J48" s="112">
        <f>(I48+I25)/I122</f>
        <v>0</v>
      </c>
      <c r="K48" s="404">
        <v>0</v>
      </c>
      <c r="L48" s="112" t="e">
        <f>(K48+K25)/K122</f>
        <v>#DIV/0!</v>
      </c>
      <c r="M48" s="113">
        <f t="shared" si="8"/>
        <v>13</v>
      </c>
      <c r="N48" s="118">
        <f>M48+M25</f>
        <v>13</v>
      </c>
      <c r="O48" s="119">
        <f>(M48+M25)/M122</f>
        <v>8.1250000000000003E-2</v>
      </c>
      <c r="P48" s="19"/>
      <c r="Q48" s="18"/>
      <c r="R48" s="340" t="s">
        <v>285</v>
      </c>
      <c r="S48" s="400">
        <v>10</v>
      </c>
      <c r="T48" s="112">
        <f>(S48+S25)/S122</f>
        <v>5.0505050505050504E-2</v>
      </c>
      <c r="U48" s="405">
        <v>0</v>
      </c>
      <c r="V48" s="112">
        <f>(U48+U25)/U122</f>
        <v>0</v>
      </c>
      <c r="W48" s="406">
        <v>0</v>
      </c>
      <c r="X48" s="112">
        <f>(W48+W25)/W122</f>
        <v>0</v>
      </c>
      <c r="Y48" s="403">
        <v>0</v>
      </c>
      <c r="Z48" s="112">
        <f>(Y48+Y25)/Y122</f>
        <v>0</v>
      </c>
      <c r="AA48" s="408">
        <v>0</v>
      </c>
      <c r="AB48" s="112" t="e">
        <f>(AA48+AA25)/AA122</f>
        <v>#DIV/0!</v>
      </c>
      <c r="AC48" s="113">
        <f t="shared" si="9"/>
        <v>10</v>
      </c>
      <c r="AD48" s="118">
        <f>AC48+AC25</f>
        <v>10</v>
      </c>
      <c r="AE48" s="119">
        <f>(AC48+AC25)/AC122</f>
        <v>4.5662100456621002E-2</v>
      </c>
      <c r="AF48" s="388"/>
    </row>
    <row r="49" spans="2:32">
      <c r="B49" s="389" t="s">
        <v>77</v>
      </c>
      <c r="C49" s="400">
        <v>6</v>
      </c>
      <c r="D49" s="112">
        <f>C49/C122</f>
        <v>4.195804195804196E-2</v>
      </c>
      <c r="E49" s="401">
        <v>0</v>
      </c>
      <c r="F49" s="112">
        <f>E49/E122</f>
        <v>0</v>
      </c>
      <c r="G49" s="402">
        <v>0</v>
      </c>
      <c r="H49" s="112">
        <f>G49/G122</f>
        <v>0</v>
      </c>
      <c r="I49" s="403">
        <v>0</v>
      </c>
      <c r="J49" s="112">
        <f>I49/I122</f>
        <v>0</v>
      </c>
      <c r="K49" s="404">
        <v>0</v>
      </c>
      <c r="L49" s="112" t="e">
        <f>K49/K122</f>
        <v>#DIV/0!</v>
      </c>
      <c r="M49" s="113">
        <f t="shared" si="8"/>
        <v>6</v>
      </c>
      <c r="N49" s="118">
        <f t="shared" ref="N49:N58" si="11">M49</f>
        <v>6</v>
      </c>
      <c r="O49" s="119">
        <f>M49/M122</f>
        <v>3.7499999999999999E-2</v>
      </c>
      <c r="P49" s="19"/>
      <c r="Q49" s="18"/>
      <c r="R49" s="122" t="s">
        <v>77</v>
      </c>
      <c r="S49" s="400">
        <v>7</v>
      </c>
      <c r="T49" s="112">
        <f>S49/S122</f>
        <v>3.5353535353535352E-2</v>
      </c>
      <c r="U49" s="405">
        <v>0</v>
      </c>
      <c r="V49" s="112">
        <f>U49/U122</f>
        <v>0</v>
      </c>
      <c r="W49" s="406">
        <v>0</v>
      </c>
      <c r="X49" s="112">
        <f>W49/W122</f>
        <v>0</v>
      </c>
      <c r="Y49" s="403">
        <v>0</v>
      </c>
      <c r="Z49" s="112">
        <f>Y49/Y122</f>
        <v>0</v>
      </c>
      <c r="AA49" s="408">
        <v>0</v>
      </c>
      <c r="AB49" s="112" t="e">
        <f>AA49/AA122</f>
        <v>#DIV/0!</v>
      </c>
      <c r="AC49" s="113">
        <f t="shared" si="9"/>
        <v>7</v>
      </c>
      <c r="AD49" s="118">
        <f t="shared" ref="AD49:AD58" si="12">AC49</f>
        <v>7</v>
      </c>
      <c r="AE49" s="119">
        <f>AC49/AC122</f>
        <v>3.1963470319634701E-2</v>
      </c>
      <c r="AF49" s="388"/>
    </row>
    <row r="50" spans="2:32">
      <c r="B50" s="389"/>
      <c r="C50" s="400"/>
      <c r="D50" s="112">
        <f>C50/C122</f>
        <v>0</v>
      </c>
      <c r="E50" s="401"/>
      <c r="F50" s="112">
        <f>E50/E122</f>
        <v>0</v>
      </c>
      <c r="G50" s="402"/>
      <c r="H50" s="112">
        <f>G50/G122</f>
        <v>0</v>
      </c>
      <c r="I50" s="403"/>
      <c r="J50" s="112">
        <f>I50/I122</f>
        <v>0</v>
      </c>
      <c r="K50" s="404"/>
      <c r="L50" s="112" t="e">
        <f>K50/K122</f>
        <v>#DIV/0!</v>
      </c>
      <c r="M50" s="113">
        <f t="shared" si="8"/>
        <v>0</v>
      </c>
      <c r="N50" s="118">
        <f t="shared" si="11"/>
        <v>0</v>
      </c>
      <c r="O50" s="119">
        <f>M50/M122</f>
        <v>0</v>
      </c>
      <c r="P50" s="19"/>
      <c r="Q50" s="18"/>
      <c r="R50" s="122"/>
      <c r="S50" s="400"/>
      <c r="T50" s="112">
        <f>S50/S122</f>
        <v>0</v>
      </c>
      <c r="U50" s="405"/>
      <c r="V50" s="112">
        <f>U50/U122</f>
        <v>0</v>
      </c>
      <c r="W50" s="406"/>
      <c r="X50" s="112">
        <f>W50/W122</f>
        <v>0</v>
      </c>
      <c r="Y50" s="403"/>
      <c r="Z50" s="112">
        <f>Y50/Y122</f>
        <v>0</v>
      </c>
      <c r="AA50" s="408"/>
      <c r="AB50" s="112" t="e">
        <f>AA50/AA122</f>
        <v>#DIV/0!</v>
      </c>
      <c r="AC50" s="113">
        <f t="shared" si="9"/>
        <v>0</v>
      </c>
      <c r="AD50" s="118">
        <f t="shared" si="12"/>
        <v>0</v>
      </c>
      <c r="AE50" s="119">
        <f>AC50/AC122</f>
        <v>0</v>
      </c>
      <c r="AF50" s="388"/>
    </row>
    <row r="51" spans="2:32">
      <c r="B51" s="393" t="s">
        <v>65</v>
      </c>
      <c r="C51" s="400">
        <v>1</v>
      </c>
      <c r="D51" s="112">
        <f>C51/C122</f>
        <v>6.993006993006993E-3</v>
      </c>
      <c r="E51" s="401">
        <v>0</v>
      </c>
      <c r="F51" s="112">
        <f>E51/E122</f>
        <v>0</v>
      </c>
      <c r="G51" s="402">
        <v>0</v>
      </c>
      <c r="H51" s="112">
        <f>G51/G122</f>
        <v>0</v>
      </c>
      <c r="I51" s="403">
        <v>0</v>
      </c>
      <c r="J51" s="112">
        <f>I51/I122</f>
        <v>0</v>
      </c>
      <c r="K51" s="404">
        <v>0</v>
      </c>
      <c r="L51" s="112" t="e">
        <f>K51/K122</f>
        <v>#DIV/0!</v>
      </c>
      <c r="M51" s="113">
        <f t="shared" si="8"/>
        <v>1</v>
      </c>
      <c r="N51" s="118">
        <f t="shared" si="11"/>
        <v>1</v>
      </c>
      <c r="O51" s="119">
        <f>M51/M122</f>
        <v>6.2500000000000003E-3</v>
      </c>
      <c r="P51" s="19"/>
      <c r="Q51" s="18"/>
      <c r="R51" s="340" t="s">
        <v>65</v>
      </c>
      <c r="S51" s="400">
        <v>1</v>
      </c>
      <c r="T51" s="112">
        <f>S51/S122</f>
        <v>5.0505050505050509E-3</v>
      </c>
      <c r="U51" s="405">
        <v>0</v>
      </c>
      <c r="V51" s="112">
        <f>U51/U122</f>
        <v>0</v>
      </c>
      <c r="W51" s="406">
        <v>0</v>
      </c>
      <c r="X51" s="112">
        <f>W51/W122</f>
        <v>0</v>
      </c>
      <c r="Y51" s="403">
        <v>0</v>
      </c>
      <c r="Z51" s="112">
        <f>Y51/Y122</f>
        <v>0</v>
      </c>
      <c r="AA51" s="408">
        <v>0</v>
      </c>
      <c r="AB51" s="112" t="e">
        <f>AA51/AA122</f>
        <v>#DIV/0!</v>
      </c>
      <c r="AC51" s="113">
        <f t="shared" si="9"/>
        <v>1</v>
      </c>
      <c r="AD51" s="118">
        <f t="shared" si="12"/>
        <v>1</v>
      </c>
      <c r="AE51" s="119">
        <f>AC51/AC122</f>
        <v>4.5662100456621002E-3</v>
      </c>
      <c r="AF51" s="388"/>
    </row>
    <row r="52" spans="2:32">
      <c r="B52" s="393" t="s">
        <v>75</v>
      </c>
      <c r="C52" s="400">
        <v>1</v>
      </c>
      <c r="D52" s="112">
        <f>C52/C122</f>
        <v>6.993006993006993E-3</v>
      </c>
      <c r="E52" s="401">
        <v>0</v>
      </c>
      <c r="F52" s="112">
        <f>E52/E122</f>
        <v>0</v>
      </c>
      <c r="G52" s="402">
        <v>0</v>
      </c>
      <c r="H52" s="112">
        <f>G52/G122</f>
        <v>0</v>
      </c>
      <c r="I52" s="403">
        <v>0</v>
      </c>
      <c r="J52" s="112">
        <f>I52/I122</f>
        <v>0</v>
      </c>
      <c r="K52" s="404">
        <v>0</v>
      </c>
      <c r="L52" s="112" t="e">
        <f>K52/K122</f>
        <v>#DIV/0!</v>
      </c>
      <c r="M52" s="113">
        <f t="shared" si="8"/>
        <v>1</v>
      </c>
      <c r="N52" s="118">
        <f t="shared" si="11"/>
        <v>1</v>
      </c>
      <c r="O52" s="119">
        <f>M52/M122</f>
        <v>6.2500000000000003E-3</v>
      </c>
      <c r="P52" s="19"/>
      <c r="Q52" s="18"/>
      <c r="R52" s="340" t="s">
        <v>236</v>
      </c>
      <c r="S52" s="400">
        <v>1</v>
      </c>
      <c r="T52" s="112">
        <f>S52/S122</f>
        <v>5.0505050505050509E-3</v>
      </c>
      <c r="U52" s="405">
        <v>0</v>
      </c>
      <c r="V52" s="112">
        <f>U52/U122</f>
        <v>0</v>
      </c>
      <c r="W52" s="406">
        <v>0</v>
      </c>
      <c r="X52" s="112">
        <f>W52/W122</f>
        <v>0</v>
      </c>
      <c r="Y52" s="403">
        <v>0</v>
      </c>
      <c r="Z52" s="112">
        <f>Y52/Y122</f>
        <v>0</v>
      </c>
      <c r="AA52" s="408">
        <v>0</v>
      </c>
      <c r="AB52" s="112" t="e">
        <f>AA52/AA122</f>
        <v>#DIV/0!</v>
      </c>
      <c r="AC52" s="113">
        <f t="shared" si="9"/>
        <v>1</v>
      </c>
      <c r="AD52" s="118">
        <f t="shared" si="12"/>
        <v>1</v>
      </c>
      <c r="AE52" s="119">
        <f>AC52/AC122</f>
        <v>4.5662100456621002E-3</v>
      </c>
      <c r="AF52" s="388"/>
    </row>
    <row r="53" spans="2:32">
      <c r="B53" s="389" t="s">
        <v>76</v>
      </c>
      <c r="C53" s="400">
        <v>0</v>
      </c>
      <c r="D53" s="112">
        <f>C53/C122</f>
        <v>0</v>
      </c>
      <c r="E53" s="401">
        <v>0</v>
      </c>
      <c r="F53" s="112">
        <f>E53/E122</f>
        <v>0</v>
      </c>
      <c r="G53" s="402">
        <v>0</v>
      </c>
      <c r="H53" s="112">
        <f>G53/G122</f>
        <v>0</v>
      </c>
      <c r="I53" s="403">
        <v>0</v>
      </c>
      <c r="J53" s="112">
        <f>I53/I122</f>
        <v>0</v>
      </c>
      <c r="K53" s="404">
        <v>0</v>
      </c>
      <c r="L53" s="112" t="e">
        <f>K53/K122</f>
        <v>#DIV/0!</v>
      </c>
      <c r="M53" s="113">
        <f t="shared" si="8"/>
        <v>0</v>
      </c>
      <c r="N53" s="118">
        <f t="shared" si="11"/>
        <v>0</v>
      </c>
      <c r="O53" s="119">
        <f>M53/M122</f>
        <v>0</v>
      </c>
      <c r="P53" s="19"/>
      <c r="Q53" s="18"/>
      <c r="R53" s="122" t="s">
        <v>76</v>
      </c>
      <c r="S53" s="400">
        <v>0</v>
      </c>
      <c r="T53" s="112">
        <f>S53/S122</f>
        <v>0</v>
      </c>
      <c r="U53" s="405">
        <v>0</v>
      </c>
      <c r="V53" s="112">
        <f>U53/U122</f>
        <v>0</v>
      </c>
      <c r="W53" s="406">
        <v>0</v>
      </c>
      <c r="X53" s="112">
        <f>W53/W122</f>
        <v>0</v>
      </c>
      <c r="Y53" s="403">
        <v>0</v>
      </c>
      <c r="Z53" s="112">
        <f>Y53/Y122</f>
        <v>0</v>
      </c>
      <c r="AA53" s="408">
        <v>0</v>
      </c>
      <c r="AB53" s="112" t="e">
        <f>AA53/AA122</f>
        <v>#DIV/0!</v>
      </c>
      <c r="AC53" s="113">
        <f t="shared" si="9"/>
        <v>0</v>
      </c>
      <c r="AD53" s="118">
        <f t="shared" si="12"/>
        <v>0</v>
      </c>
      <c r="AE53" s="119">
        <f>AC53/AC122</f>
        <v>0</v>
      </c>
      <c r="AF53" s="388"/>
    </row>
    <row r="54" spans="2:32">
      <c r="B54" s="389"/>
      <c r="C54" s="400"/>
      <c r="D54" s="112">
        <f>C54/C122</f>
        <v>0</v>
      </c>
      <c r="E54" s="401"/>
      <c r="F54" s="112">
        <f>E54/E122</f>
        <v>0</v>
      </c>
      <c r="G54" s="402"/>
      <c r="H54" s="112">
        <f>G54/G122</f>
        <v>0</v>
      </c>
      <c r="I54" s="403"/>
      <c r="J54" s="112">
        <f>I54/I122</f>
        <v>0</v>
      </c>
      <c r="K54" s="404"/>
      <c r="L54" s="112" t="e">
        <f>K54/K122</f>
        <v>#DIV/0!</v>
      </c>
      <c r="M54" s="113">
        <f t="shared" si="8"/>
        <v>0</v>
      </c>
      <c r="N54" s="118">
        <f t="shared" si="11"/>
        <v>0</v>
      </c>
      <c r="O54" s="119">
        <f>M54/M122</f>
        <v>0</v>
      </c>
      <c r="P54" s="19"/>
      <c r="Q54" s="18"/>
      <c r="R54" s="122"/>
      <c r="S54" s="400"/>
      <c r="T54" s="112">
        <f>S54/S122</f>
        <v>0</v>
      </c>
      <c r="U54" s="405"/>
      <c r="V54" s="112">
        <f>U54/U122</f>
        <v>0</v>
      </c>
      <c r="W54" s="406"/>
      <c r="X54" s="112">
        <f>W54/W122</f>
        <v>0</v>
      </c>
      <c r="Y54" s="403"/>
      <c r="Z54" s="112">
        <f>Y54/Y122</f>
        <v>0</v>
      </c>
      <c r="AA54" s="408"/>
      <c r="AB54" s="112" t="e">
        <f>AA54/AA122</f>
        <v>#DIV/0!</v>
      </c>
      <c r="AC54" s="113">
        <f t="shared" si="9"/>
        <v>0</v>
      </c>
      <c r="AD54" s="118">
        <f t="shared" si="12"/>
        <v>0</v>
      </c>
      <c r="AE54" s="119">
        <f>AC54/AC122</f>
        <v>0</v>
      </c>
      <c r="AF54" s="388"/>
    </row>
    <row r="55" spans="2:32">
      <c r="B55" s="393" t="s">
        <v>64</v>
      </c>
      <c r="C55" s="400">
        <v>6</v>
      </c>
      <c r="D55" s="112">
        <f>C55/C122</f>
        <v>4.195804195804196E-2</v>
      </c>
      <c r="E55" s="401">
        <v>0</v>
      </c>
      <c r="F55" s="112">
        <f>E55/E122</f>
        <v>0</v>
      </c>
      <c r="G55" s="402">
        <v>0</v>
      </c>
      <c r="H55" s="112">
        <f>G55/G122</f>
        <v>0</v>
      </c>
      <c r="I55" s="403">
        <v>0</v>
      </c>
      <c r="J55" s="112">
        <f>I55/I122</f>
        <v>0</v>
      </c>
      <c r="K55" s="404">
        <v>0</v>
      </c>
      <c r="L55" s="112" t="e">
        <f>K55/K122</f>
        <v>#DIV/0!</v>
      </c>
      <c r="M55" s="113">
        <f t="shared" si="8"/>
        <v>6</v>
      </c>
      <c r="N55" s="118">
        <f t="shared" si="11"/>
        <v>6</v>
      </c>
      <c r="O55" s="119">
        <f>M55/M122</f>
        <v>3.7499999999999999E-2</v>
      </c>
      <c r="P55" s="19"/>
      <c r="Q55" s="18"/>
      <c r="R55" s="340" t="s">
        <v>64</v>
      </c>
      <c r="S55" s="400">
        <v>0</v>
      </c>
      <c r="T55" s="112">
        <f>S55/S122</f>
        <v>0</v>
      </c>
      <c r="U55" s="405">
        <v>0</v>
      </c>
      <c r="V55" s="112">
        <f>U55/U122</f>
        <v>0</v>
      </c>
      <c r="W55" s="406">
        <v>0</v>
      </c>
      <c r="X55" s="112">
        <f>W55/W122</f>
        <v>0</v>
      </c>
      <c r="Y55" s="403">
        <v>0</v>
      </c>
      <c r="Z55" s="112">
        <f>Y55/Y122</f>
        <v>0</v>
      </c>
      <c r="AA55" s="408">
        <v>0</v>
      </c>
      <c r="AB55" s="112" t="e">
        <f>AA55/AA122</f>
        <v>#DIV/0!</v>
      </c>
      <c r="AC55" s="113">
        <f t="shared" si="9"/>
        <v>0</v>
      </c>
      <c r="AD55" s="118">
        <f t="shared" si="12"/>
        <v>0</v>
      </c>
      <c r="AE55" s="119">
        <f>AC55/AC122</f>
        <v>0</v>
      </c>
      <c r="AF55" s="388"/>
    </row>
    <row r="56" spans="2:32">
      <c r="B56" s="393" t="s">
        <v>88</v>
      </c>
      <c r="C56" s="400">
        <v>0</v>
      </c>
      <c r="D56" s="112">
        <f>C56/C122</f>
        <v>0</v>
      </c>
      <c r="E56" s="401">
        <v>0</v>
      </c>
      <c r="F56" s="112">
        <f>E56/E122</f>
        <v>0</v>
      </c>
      <c r="G56" s="402">
        <v>0</v>
      </c>
      <c r="H56" s="112">
        <f>G56/G122</f>
        <v>0</v>
      </c>
      <c r="I56" s="403">
        <v>0</v>
      </c>
      <c r="J56" s="112">
        <f>I56/I122</f>
        <v>0</v>
      </c>
      <c r="K56" s="404">
        <v>0</v>
      </c>
      <c r="L56" s="112" t="e">
        <f>K56/K122</f>
        <v>#DIV/0!</v>
      </c>
      <c r="M56" s="113">
        <f t="shared" si="8"/>
        <v>0</v>
      </c>
      <c r="N56" s="118">
        <f t="shared" si="11"/>
        <v>0</v>
      </c>
      <c r="O56" s="119">
        <f>M56/M122</f>
        <v>0</v>
      </c>
      <c r="P56" s="19"/>
      <c r="Q56" s="18"/>
      <c r="R56" s="340" t="s">
        <v>88</v>
      </c>
      <c r="S56" s="400">
        <v>0</v>
      </c>
      <c r="T56" s="112">
        <f>S56/S122</f>
        <v>0</v>
      </c>
      <c r="U56" s="405">
        <v>0</v>
      </c>
      <c r="V56" s="112">
        <f>U56/U122</f>
        <v>0</v>
      </c>
      <c r="W56" s="406">
        <v>0</v>
      </c>
      <c r="X56" s="112">
        <f>W56/W122</f>
        <v>0</v>
      </c>
      <c r="Y56" s="403">
        <v>0</v>
      </c>
      <c r="Z56" s="112">
        <f>Y56/Y122</f>
        <v>0</v>
      </c>
      <c r="AA56" s="408">
        <v>0</v>
      </c>
      <c r="AB56" s="112" t="e">
        <f>AA56/AA122</f>
        <v>#DIV/0!</v>
      </c>
      <c r="AC56" s="113">
        <f t="shared" si="9"/>
        <v>0</v>
      </c>
      <c r="AD56" s="118">
        <f t="shared" si="12"/>
        <v>0</v>
      </c>
      <c r="AE56" s="119">
        <f>AC56/AC122</f>
        <v>0</v>
      </c>
      <c r="AF56" s="388"/>
    </row>
    <row r="57" spans="2:32">
      <c r="B57" s="393" t="s">
        <v>74</v>
      </c>
      <c r="C57" s="400">
        <v>0</v>
      </c>
      <c r="D57" s="112">
        <f>C57/C122</f>
        <v>0</v>
      </c>
      <c r="E57" s="401">
        <v>0</v>
      </c>
      <c r="F57" s="112">
        <f>E57/E122</f>
        <v>0</v>
      </c>
      <c r="G57" s="402">
        <v>0</v>
      </c>
      <c r="H57" s="112">
        <f>G57/G122</f>
        <v>0</v>
      </c>
      <c r="I57" s="403">
        <v>0</v>
      </c>
      <c r="J57" s="112">
        <f>I57/I122</f>
        <v>0</v>
      </c>
      <c r="K57" s="404">
        <v>0</v>
      </c>
      <c r="L57" s="112" t="e">
        <f>K57/K122</f>
        <v>#DIV/0!</v>
      </c>
      <c r="M57" s="113">
        <f t="shared" si="8"/>
        <v>0</v>
      </c>
      <c r="N57" s="118">
        <f t="shared" si="11"/>
        <v>0</v>
      </c>
      <c r="O57" s="119">
        <f>M57/M122</f>
        <v>0</v>
      </c>
      <c r="P57" s="19"/>
      <c r="Q57" s="18"/>
      <c r="R57" s="340" t="s">
        <v>74</v>
      </c>
      <c r="S57" s="400">
        <v>0</v>
      </c>
      <c r="T57" s="112">
        <f>S57/S122</f>
        <v>0</v>
      </c>
      <c r="U57" s="405">
        <v>0</v>
      </c>
      <c r="V57" s="112">
        <f>U57/U122</f>
        <v>0</v>
      </c>
      <c r="W57" s="406">
        <v>0</v>
      </c>
      <c r="X57" s="112">
        <f>W57/W122</f>
        <v>0</v>
      </c>
      <c r="Y57" s="403">
        <v>0</v>
      </c>
      <c r="Z57" s="112">
        <f>Y57/Y122</f>
        <v>0</v>
      </c>
      <c r="AA57" s="408">
        <v>0</v>
      </c>
      <c r="AB57" s="112" t="e">
        <f>AA57/AA122</f>
        <v>#DIV/0!</v>
      </c>
      <c r="AC57" s="113">
        <f t="shared" si="9"/>
        <v>0</v>
      </c>
      <c r="AD57" s="118">
        <f t="shared" si="12"/>
        <v>0</v>
      </c>
      <c r="AE57" s="119">
        <f>AC57/AC122</f>
        <v>0</v>
      </c>
      <c r="AF57" s="388"/>
    </row>
    <row r="58" spans="2:32">
      <c r="B58" s="393" t="s">
        <v>163</v>
      </c>
      <c r="C58" s="400">
        <v>0</v>
      </c>
      <c r="D58" s="112">
        <f>C58/C122</f>
        <v>0</v>
      </c>
      <c r="E58" s="401">
        <v>0</v>
      </c>
      <c r="F58" s="112">
        <f>E58/E122</f>
        <v>0</v>
      </c>
      <c r="G58" s="402">
        <v>0</v>
      </c>
      <c r="H58" s="112">
        <f>G58/G122</f>
        <v>0</v>
      </c>
      <c r="I58" s="403">
        <v>0</v>
      </c>
      <c r="J58" s="112">
        <f>I58/I122</f>
        <v>0</v>
      </c>
      <c r="K58" s="404">
        <v>0</v>
      </c>
      <c r="L58" s="112" t="e">
        <f>K58/K122</f>
        <v>#DIV/0!</v>
      </c>
      <c r="M58" s="113">
        <f t="shared" si="8"/>
        <v>0</v>
      </c>
      <c r="N58" s="118">
        <f t="shared" si="11"/>
        <v>0</v>
      </c>
      <c r="O58" s="119">
        <f>M58/M122</f>
        <v>0</v>
      </c>
      <c r="P58" s="19"/>
      <c r="Q58" s="18"/>
      <c r="R58" s="340" t="s">
        <v>163</v>
      </c>
      <c r="S58" s="400">
        <v>0</v>
      </c>
      <c r="T58" s="112">
        <f>S58/S122</f>
        <v>0</v>
      </c>
      <c r="U58" s="405">
        <v>0</v>
      </c>
      <c r="V58" s="112">
        <f>U58/U122</f>
        <v>0</v>
      </c>
      <c r="W58" s="406">
        <v>0</v>
      </c>
      <c r="X58" s="112">
        <f>W58/W122</f>
        <v>0</v>
      </c>
      <c r="Y58" s="403">
        <v>0</v>
      </c>
      <c r="Z58" s="112">
        <f>Y58/Y122</f>
        <v>0</v>
      </c>
      <c r="AA58" s="408">
        <v>0</v>
      </c>
      <c r="AB58" s="112" t="e">
        <f>AA58/AA122</f>
        <v>#DIV/0!</v>
      </c>
      <c r="AC58" s="113">
        <f t="shared" si="9"/>
        <v>0</v>
      </c>
      <c r="AD58" s="118">
        <f t="shared" si="12"/>
        <v>0</v>
      </c>
      <c r="AE58" s="119">
        <f>AC58/AC122</f>
        <v>0</v>
      </c>
      <c r="AF58" s="388"/>
    </row>
    <row r="59" spans="2:32">
      <c r="B59" s="393" t="s">
        <v>174</v>
      </c>
      <c r="C59" s="400">
        <v>0</v>
      </c>
      <c r="D59" s="112">
        <f>C59/C122</f>
        <v>0</v>
      </c>
      <c r="E59" s="401">
        <v>0</v>
      </c>
      <c r="F59" s="112">
        <f>E59/E122</f>
        <v>0</v>
      </c>
      <c r="G59" s="402">
        <v>0</v>
      </c>
      <c r="H59" s="112">
        <f>G59/G122</f>
        <v>0</v>
      </c>
      <c r="I59" s="403">
        <v>0</v>
      </c>
      <c r="J59" s="112">
        <f>I59/I122</f>
        <v>0</v>
      </c>
      <c r="K59" s="404">
        <v>0</v>
      </c>
      <c r="L59" s="112" t="e">
        <f>K59/K122</f>
        <v>#DIV/0!</v>
      </c>
      <c r="M59" s="113">
        <f>C59+E59+G59+I59+K59</f>
        <v>0</v>
      </c>
      <c r="N59" s="118">
        <f>M59</f>
        <v>0</v>
      </c>
      <c r="O59" s="119">
        <f>M59/M122</f>
        <v>0</v>
      </c>
      <c r="P59" s="19"/>
      <c r="Q59" s="18"/>
      <c r="R59" s="340" t="s">
        <v>171</v>
      </c>
      <c r="S59" s="400">
        <v>0</v>
      </c>
      <c r="T59" s="112">
        <f>S59/S122</f>
        <v>0</v>
      </c>
      <c r="U59" s="405">
        <v>0</v>
      </c>
      <c r="V59" s="112">
        <f>U59/U122</f>
        <v>0</v>
      </c>
      <c r="W59" s="406">
        <v>0</v>
      </c>
      <c r="X59" s="112">
        <f>W59/W122</f>
        <v>0</v>
      </c>
      <c r="Y59" s="403">
        <v>0</v>
      </c>
      <c r="Z59" s="112">
        <f>Y59/Y122</f>
        <v>0</v>
      </c>
      <c r="AA59" s="408">
        <v>0</v>
      </c>
      <c r="AB59" s="112" t="e">
        <f>AA59/AA122</f>
        <v>#DIV/0!</v>
      </c>
      <c r="AC59" s="113">
        <f>S59+U59+W59+Y59+AA59</f>
        <v>0</v>
      </c>
      <c r="AD59" s="118">
        <f>AC59</f>
        <v>0</v>
      </c>
      <c r="AE59" s="119">
        <f>AC59/AC122</f>
        <v>0</v>
      </c>
      <c r="AF59" s="388"/>
    </row>
    <row r="60" spans="2:32">
      <c r="B60" s="393"/>
      <c r="C60" s="400"/>
      <c r="D60" s="112">
        <f>C60/C122</f>
        <v>0</v>
      </c>
      <c r="E60" s="401"/>
      <c r="F60" s="112">
        <f>E60/E122</f>
        <v>0</v>
      </c>
      <c r="G60" s="402"/>
      <c r="H60" s="112">
        <f>G60/G122</f>
        <v>0</v>
      </c>
      <c r="I60" s="403"/>
      <c r="J60" s="112">
        <f>I60/I122</f>
        <v>0</v>
      </c>
      <c r="K60" s="404"/>
      <c r="L60" s="112" t="e">
        <f>K60/K122</f>
        <v>#DIV/0!</v>
      </c>
      <c r="M60" s="113">
        <f t="shared" ref="M60:M61" si="13">C60+E60+G60+I60+K60</f>
        <v>0</v>
      </c>
      <c r="N60" s="118">
        <f t="shared" ref="N60:N118" si="14">M60</f>
        <v>0</v>
      </c>
      <c r="O60" s="119">
        <f>M60/M122</f>
        <v>0</v>
      </c>
      <c r="P60" s="19"/>
      <c r="Q60" s="18"/>
      <c r="R60" s="340"/>
      <c r="S60" s="400"/>
      <c r="T60" s="112">
        <f>S60/S122</f>
        <v>0</v>
      </c>
      <c r="U60" s="405"/>
      <c r="V60" s="112">
        <f>U60/U122</f>
        <v>0</v>
      </c>
      <c r="W60" s="406"/>
      <c r="X60" s="112">
        <f>W60/W122</f>
        <v>0</v>
      </c>
      <c r="Y60" s="403"/>
      <c r="Z60" s="112">
        <f>Y60/Y122</f>
        <v>0</v>
      </c>
      <c r="AA60" s="408"/>
      <c r="AB60" s="112" t="e">
        <f>AA60/AA122</f>
        <v>#DIV/0!</v>
      </c>
      <c r="AC60" s="113">
        <f t="shared" ref="AC60:AC61" si="15">S60+U60+W60+Y60+AA60</f>
        <v>0</v>
      </c>
      <c r="AD60" s="118">
        <f t="shared" ref="AD60:AD61" si="16">AC60</f>
        <v>0</v>
      </c>
      <c r="AE60" s="119">
        <f>AC60/AC122</f>
        <v>0</v>
      </c>
      <c r="AF60" s="388"/>
    </row>
    <row r="61" spans="2:32">
      <c r="B61" s="393" t="s">
        <v>89</v>
      </c>
      <c r="C61" s="400">
        <v>0</v>
      </c>
      <c r="D61" s="112">
        <f>C61/C122</f>
        <v>0</v>
      </c>
      <c r="E61" s="401">
        <v>0</v>
      </c>
      <c r="F61" s="112">
        <f>E61/E122</f>
        <v>0</v>
      </c>
      <c r="G61" s="402">
        <v>0</v>
      </c>
      <c r="H61" s="112">
        <f>G61/G122</f>
        <v>0</v>
      </c>
      <c r="I61" s="403">
        <v>0</v>
      </c>
      <c r="J61" s="112">
        <f>I61/I122</f>
        <v>0</v>
      </c>
      <c r="K61" s="404">
        <v>0</v>
      </c>
      <c r="L61" s="112" t="e">
        <f>K61/K122</f>
        <v>#DIV/0!</v>
      </c>
      <c r="M61" s="113">
        <f t="shared" si="13"/>
        <v>0</v>
      </c>
      <c r="N61" s="118">
        <f t="shared" si="14"/>
        <v>0</v>
      </c>
      <c r="O61" s="119">
        <f>M61/M122</f>
        <v>0</v>
      </c>
      <c r="P61" s="19"/>
      <c r="Q61" s="18"/>
      <c r="R61" s="340" t="s">
        <v>89</v>
      </c>
      <c r="S61" s="400">
        <v>0</v>
      </c>
      <c r="T61" s="112">
        <f>S61/S122</f>
        <v>0</v>
      </c>
      <c r="U61" s="405">
        <v>0</v>
      </c>
      <c r="V61" s="112">
        <f>U61/U122</f>
        <v>0</v>
      </c>
      <c r="W61" s="406">
        <v>0</v>
      </c>
      <c r="X61" s="112">
        <f>W61/W122</f>
        <v>0</v>
      </c>
      <c r="Y61" s="403">
        <v>0</v>
      </c>
      <c r="Z61" s="112">
        <f>Y61/Y122</f>
        <v>0</v>
      </c>
      <c r="AA61" s="408">
        <v>0</v>
      </c>
      <c r="AB61" s="112" t="e">
        <f>AA61/AA122</f>
        <v>#DIV/0!</v>
      </c>
      <c r="AC61" s="113">
        <f t="shared" si="15"/>
        <v>0</v>
      </c>
      <c r="AD61" s="118">
        <f t="shared" si="16"/>
        <v>0</v>
      </c>
      <c r="AE61" s="119">
        <f>AC61/AC122</f>
        <v>0</v>
      </c>
      <c r="AF61" s="388"/>
    </row>
    <row r="62" spans="2:32">
      <c r="B62" s="393" t="s">
        <v>119</v>
      </c>
      <c r="C62" s="400">
        <v>0</v>
      </c>
      <c r="D62" s="112">
        <f>C62/C122</f>
        <v>0</v>
      </c>
      <c r="E62" s="401">
        <v>0</v>
      </c>
      <c r="F62" s="112">
        <f>E62/E122</f>
        <v>0</v>
      </c>
      <c r="G62" s="402">
        <v>0</v>
      </c>
      <c r="H62" s="112">
        <f>G62/G122</f>
        <v>0</v>
      </c>
      <c r="I62" s="403">
        <v>0</v>
      </c>
      <c r="J62" s="112">
        <f>I62/I122</f>
        <v>0</v>
      </c>
      <c r="K62" s="404">
        <v>0</v>
      </c>
      <c r="L62" s="112" t="e">
        <f>K62/K122</f>
        <v>#DIV/0!</v>
      </c>
      <c r="M62" s="113">
        <f>C62+E62+G62+I62+K62</f>
        <v>0</v>
      </c>
      <c r="N62" s="118">
        <f t="shared" si="14"/>
        <v>0</v>
      </c>
      <c r="O62" s="119">
        <f>M62/M122</f>
        <v>0</v>
      </c>
      <c r="P62" s="19"/>
      <c r="Q62" s="18"/>
      <c r="R62" s="340" t="s">
        <v>119</v>
      </c>
      <c r="S62" s="400">
        <v>0</v>
      </c>
      <c r="T62" s="112">
        <f>S62/S122</f>
        <v>0</v>
      </c>
      <c r="U62" s="405">
        <v>0</v>
      </c>
      <c r="V62" s="112">
        <f>U62/U122</f>
        <v>0</v>
      </c>
      <c r="W62" s="406">
        <v>0</v>
      </c>
      <c r="X62" s="112">
        <f>W62/W122</f>
        <v>0</v>
      </c>
      <c r="Y62" s="403">
        <v>0</v>
      </c>
      <c r="Z62" s="112">
        <f>Y62/Y122</f>
        <v>0</v>
      </c>
      <c r="AA62" s="408">
        <v>0</v>
      </c>
      <c r="AB62" s="112" t="e">
        <f>AA62/AA122</f>
        <v>#DIV/0!</v>
      </c>
      <c r="AC62" s="113">
        <f>S62+U62+W62+Y62+AA62</f>
        <v>0</v>
      </c>
      <c r="AD62" s="118">
        <f>AC62</f>
        <v>0</v>
      </c>
      <c r="AE62" s="119">
        <f>AC62/AC122</f>
        <v>0</v>
      </c>
      <c r="AF62" s="388"/>
    </row>
    <row r="63" spans="2:32">
      <c r="B63" s="393"/>
      <c r="C63" s="400"/>
      <c r="D63" s="112">
        <f>C63/C122</f>
        <v>0</v>
      </c>
      <c r="E63" s="401"/>
      <c r="F63" s="112">
        <f>E63/E122</f>
        <v>0</v>
      </c>
      <c r="G63" s="402"/>
      <c r="H63" s="112">
        <f>G63/G122</f>
        <v>0</v>
      </c>
      <c r="I63" s="403"/>
      <c r="J63" s="112">
        <f>I63/I122</f>
        <v>0</v>
      </c>
      <c r="K63" s="404"/>
      <c r="L63" s="112" t="e">
        <f>K63/K122</f>
        <v>#DIV/0!</v>
      </c>
      <c r="M63" s="113">
        <f t="shared" ref="M63:M67" si="17">C63+E63+G63+I63+K63</f>
        <v>0</v>
      </c>
      <c r="N63" s="118">
        <f t="shared" si="14"/>
        <v>0</v>
      </c>
      <c r="O63" s="119">
        <f>M63/M122</f>
        <v>0</v>
      </c>
      <c r="P63" s="19"/>
      <c r="Q63" s="18"/>
      <c r="R63" s="340"/>
      <c r="S63" s="400"/>
      <c r="T63" s="112">
        <f>S63/S122</f>
        <v>0</v>
      </c>
      <c r="U63" s="405"/>
      <c r="V63" s="112">
        <f>U63/U122</f>
        <v>0</v>
      </c>
      <c r="W63" s="406"/>
      <c r="X63" s="112">
        <f>W63/W122</f>
        <v>0</v>
      </c>
      <c r="Y63" s="403"/>
      <c r="Z63" s="112">
        <f>Y63/Y122</f>
        <v>0</v>
      </c>
      <c r="AA63" s="408"/>
      <c r="AB63" s="112" t="e">
        <f>AA63/AA122</f>
        <v>#DIV/0!</v>
      </c>
      <c r="AC63" s="113">
        <f t="shared" ref="AC63:AC67" si="18">S63+U63+W63+Y63+AA63</f>
        <v>0</v>
      </c>
      <c r="AD63" s="118">
        <f t="shared" ref="AD63:AD67" si="19">AC63</f>
        <v>0</v>
      </c>
      <c r="AE63" s="119">
        <f>AC63/AC122</f>
        <v>0</v>
      </c>
      <c r="AF63" s="388"/>
    </row>
    <row r="64" spans="2:32">
      <c r="B64" s="389" t="s">
        <v>70</v>
      </c>
      <c r="C64" s="400">
        <v>8</v>
      </c>
      <c r="D64" s="112">
        <f>C64/C122</f>
        <v>5.5944055944055944E-2</v>
      </c>
      <c r="E64" s="401">
        <v>0</v>
      </c>
      <c r="F64" s="112">
        <f>E64/E122</f>
        <v>0</v>
      </c>
      <c r="G64" s="402">
        <v>0</v>
      </c>
      <c r="H64" s="112">
        <f>G64/G122</f>
        <v>0</v>
      </c>
      <c r="I64" s="403">
        <v>0</v>
      </c>
      <c r="J64" s="112">
        <f>I64/I122</f>
        <v>0</v>
      </c>
      <c r="K64" s="404">
        <v>0</v>
      </c>
      <c r="L64" s="112" t="e">
        <f>K64/K122</f>
        <v>#DIV/0!</v>
      </c>
      <c r="M64" s="113">
        <f t="shared" si="17"/>
        <v>8</v>
      </c>
      <c r="N64" s="118">
        <f t="shared" si="14"/>
        <v>8</v>
      </c>
      <c r="O64" s="119">
        <f>M64/M122</f>
        <v>0.05</v>
      </c>
      <c r="P64" s="19"/>
      <c r="Q64" s="18"/>
      <c r="R64" s="122" t="s">
        <v>70</v>
      </c>
      <c r="S64" s="400">
        <v>10</v>
      </c>
      <c r="T64" s="112">
        <f>S64/S122</f>
        <v>5.0505050505050504E-2</v>
      </c>
      <c r="U64" s="405">
        <v>0</v>
      </c>
      <c r="V64" s="112">
        <f>U64/U122</f>
        <v>0</v>
      </c>
      <c r="W64" s="406">
        <v>0</v>
      </c>
      <c r="X64" s="112">
        <f>W64/W122</f>
        <v>0</v>
      </c>
      <c r="Y64" s="403">
        <v>0</v>
      </c>
      <c r="Z64" s="112">
        <f>Y64/Y122</f>
        <v>0</v>
      </c>
      <c r="AA64" s="408">
        <v>0</v>
      </c>
      <c r="AB64" s="112" t="e">
        <f>AA64/AA122</f>
        <v>#DIV/0!</v>
      </c>
      <c r="AC64" s="113">
        <f t="shared" si="18"/>
        <v>10</v>
      </c>
      <c r="AD64" s="118">
        <f t="shared" si="19"/>
        <v>10</v>
      </c>
      <c r="AE64" s="119">
        <f>AC64/AC122</f>
        <v>4.5662100456621002E-2</v>
      </c>
      <c r="AF64" s="388"/>
    </row>
    <row r="65" spans="2:32">
      <c r="B65" s="389"/>
      <c r="C65" s="400"/>
      <c r="D65" s="112">
        <f>C65/C122</f>
        <v>0</v>
      </c>
      <c r="E65" s="401"/>
      <c r="F65" s="112">
        <f>E65/E122</f>
        <v>0</v>
      </c>
      <c r="G65" s="402"/>
      <c r="H65" s="112">
        <f>G65/G122</f>
        <v>0</v>
      </c>
      <c r="I65" s="403"/>
      <c r="J65" s="112">
        <f>I65/I122</f>
        <v>0</v>
      </c>
      <c r="K65" s="404"/>
      <c r="L65" s="112" t="e">
        <f>K65/K122</f>
        <v>#DIV/0!</v>
      </c>
      <c r="M65" s="113">
        <f t="shared" si="17"/>
        <v>0</v>
      </c>
      <c r="N65" s="118">
        <f t="shared" si="14"/>
        <v>0</v>
      </c>
      <c r="O65" s="119">
        <f>M65/M122</f>
        <v>0</v>
      </c>
      <c r="P65" s="19"/>
      <c r="Q65" s="18"/>
      <c r="R65" s="122"/>
      <c r="S65" s="400"/>
      <c r="T65" s="112">
        <f>S65/S122</f>
        <v>0</v>
      </c>
      <c r="U65" s="405"/>
      <c r="V65" s="112">
        <f>U65/U122</f>
        <v>0</v>
      </c>
      <c r="W65" s="406"/>
      <c r="X65" s="112">
        <f>W65/W122</f>
        <v>0</v>
      </c>
      <c r="Y65" s="403"/>
      <c r="Z65" s="112">
        <f>Y65/Y122</f>
        <v>0</v>
      </c>
      <c r="AA65" s="408"/>
      <c r="AB65" s="112" t="e">
        <f>AA65/AA122</f>
        <v>#DIV/0!</v>
      </c>
      <c r="AC65" s="113">
        <f t="shared" si="18"/>
        <v>0</v>
      </c>
      <c r="AD65" s="118">
        <f t="shared" si="19"/>
        <v>0</v>
      </c>
      <c r="AE65" s="119">
        <f>AC65/AC122</f>
        <v>0</v>
      </c>
      <c r="AF65" s="388"/>
    </row>
    <row r="66" spans="2:32">
      <c r="B66" s="389" t="s">
        <v>68</v>
      </c>
      <c r="C66" s="400">
        <v>0</v>
      </c>
      <c r="D66" s="112">
        <f>C66/C122</f>
        <v>0</v>
      </c>
      <c r="E66" s="401">
        <v>0</v>
      </c>
      <c r="F66" s="112">
        <f>E66/E122</f>
        <v>0</v>
      </c>
      <c r="G66" s="402">
        <v>0</v>
      </c>
      <c r="H66" s="112">
        <f>G66/G122</f>
        <v>0</v>
      </c>
      <c r="I66" s="403">
        <v>0</v>
      </c>
      <c r="J66" s="112">
        <f>I66/I122</f>
        <v>0</v>
      </c>
      <c r="K66" s="404">
        <v>0</v>
      </c>
      <c r="L66" s="112" t="e">
        <f>K66/K122</f>
        <v>#DIV/0!</v>
      </c>
      <c r="M66" s="113">
        <f t="shared" si="17"/>
        <v>0</v>
      </c>
      <c r="N66" s="118">
        <f t="shared" si="14"/>
        <v>0</v>
      </c>
      <c r="O66" s="119">
        <f>M66/M122</f>
        <v>0</v>
      </c>
      <c r="P66" s="19"/>
      <c r="Q66" s="18"/>
      <c r="R66" s="122" t="s">
        <v>68</v>
      </c>
      <c r="S66" s="400">
        <v>0</v>
      </c>
      <c r="T66" s="112">
        <f>S66/S122</f>
        <v>0</v>
      </c>
      <c r="U66" s="405">
        <v>0</v>
      </c>
      <c r="V66" s="112">
        <f>U66/U122</f>
        <v>0</v>
      </c>
      <c r="W66" s="406">
        <v>0</v>
      </c>
      <c r="X66" s="112">
        <f>W66/W122</f>
        <v>0</v>
      </c>
      <c r="Y66" s="403">
        <v>0</v>
      </c>
      <c r="Z66" s="112">
        <f>Y66/Y122</f>
        <v>0</v>
      </c>
      <c r="AA66" s="408">
        <v>0</v>
      </c>
      <c r="AB66" s="112" t="e">
        <f>AA66/AA122</f>
        <v>#DIV/0!</v>
      </c>
      <c r="AC66" s="113">
        <f t="shared" si="18"/>
        <v>0</v>
      </c>
      <c r="AD66" s="118">
        <f t="shared" si="19"/>
        <v>0</v>
      </c>
      <c r="AE66" s="119">
        <f>AC66/AC122</f>
        <v>0</v>
      </c>
      <c r="AF66" s="388"/>
    </row>
    <row r="67" spans="2:32">
      <c r="B67" s="394"/>
      <c r="C67" s="400"/>
      <c r="D67" s="112">
        <f>C67/C122</f>
        <v>0</v>
      </c>
      <c r="E67" s="401"/>
      <c r="F67" s="112">
        <f>E67/E122</f>
        <v>0</v>
      </c>
      <c r="G67" s="402"/>
      <c r="H67" s="112">
        <f>G67/G122</f>
        <v>0</v>
      </c>
      <c r="I67" s="403"/>
      <c r="J67" s="112">
        <f>I67/I122</f>
        <v>0</v>
      </c>
      <c r="K67" s="404"/>
      <c r="L67" s="112" t="e">
        <f>K67/K122</f>
        <v>#DIV/0!</v>
      </c>
      <c r="M67" s="113">
        <f t="shared" si="17"/>
        <v>0</v>
      </c>
      <c r="N67" s="118">
        <f t="shared" si="14"/>
        <v>0</v>
      </c>
      <c r="O67" s="119">
        <f>M67/M122</f>
        <v>0</v>
      </c>
      <c r="P67" s="19"/>
      <c r="Q67" s="337"/>
      <c r="R67" s="341"/>
      <c r="S67" s="400"/>
      <c r="T67" s="112">
        <f>S67/S122</f>
        <v>0</v>
      </c>
      <c r="U67" s="405"/>
      <c r="V67" s="112">
        <f>U67/U122</f>
        <v>0</v>
      </c>
      <c r="W67" s="406"/>
      <c r="X67" s="112">
        <f>W67/W122</f>
        <v>0</v>
      </c>
      <c r="Y67" s="403"/>
      <c r="Z67" s="112">
        <f>Y67/Y122</f>
        <v>0</v>
      </c>
      <c r="AA67" s="408"/>
      <c r="AB67" s="112" t="e">
        <f>AA67/AA122</f>
        <v>#DIV/0!</v>
      </c>
      <c r="AC67" s="113">
        <f t="shared" si="18"/>
        <v>0</v>
      </c>
      <c r="AD67" s="118">
        <f t="shared" si="19"/>
        <v>0</v>
      </c>
      <c r="AE67" s="119">
        <f>AC67/AC122</f>
        <v>0</v>
      </c>
      <c r="AF67" s="388"/>
    </row>
    <row r="68" spans="2:32">
      <c r="B68" s="389" t="s">
        <v>72</v>
      </c>
      <c r="C68" s="400">
        <v>0</v>
      </c>
      <c r="D68" s="112">
        <f>C68/C122</f>
        <v>0</v>
      </c>
      <c r="E68" s="401">
        <v>0</v>
      </c>
      <c r="F68" s="112">
        <f>E68/E122</f>
        <v>0</v>
      </c>
      <c r="G68" s="402">
        <v>0</v>
      </c>
      <c r="H68" s="112">
        <f>G68/G122</f>
        <v>0</v>
      </c>
      <c r="I68" s="403">
        <v>0</v>
      </c>
      <c r="J68" s="112">
        <f>I68/I122</f>
        <v>0</v>
      </c>
      <c r="K68" s="404">
        <v>0</v>
      </c>
      <c r="L68" s="112" t="e">
        <f>K68/K122</f>
        <v>#DIV/0!</v>
      </c>
      <c r="M68" s="113">
        <f>C68+E68+G68+I68+K68</f>
        <v>0</v>
      </c>
      <c r="N68" s="118">
        <f t="shared" si="14"/>
        <v>0</v>
      </c>
      <c r="O68" s="119">
        <f>M68/M122</f>
        <v>0</v>
      </c>
      <c r="P68" s="19"/>
      <c r="Q68" s="18"/>
      <c r="R68" s="122" t="s">
        <v>72</v>
      </c>
      <c r="S68" s="400">
        <v>1</v>
      </c>
      <c r="T68" s="112">
        <f>S68/S122</f>
        <v>5.0505050505050509E-3</v>
      </c>
      <c r="U68" s="405">
        <v>0</v>
      </c>
      <c r="V68" s="112">
        <f>U68/U122</f>
        <v>0</v>
      </c>
      <c r="W68" s="406">
        <v>0</v>
      </c>
      <c r="X68" s="112">
        <f>W68/W122</f>
        <v>0</v>
      </c>
      <c r="Y68" s="403">
        <v>0</v>
      </c>
      <c r="Z68" s="112">
        <f>Y68/Y122</f>
        <v>0</v>
      </c>
      <c r="AA68" s="408">
        <v>0</v>
      </c>
      <c r="AB68" s="112" t="e">
        <f>AA68/AA122</f>
        <v>#DIV/0!</v>
      </c>
      <c r="AC68" s="113">
        <f>S68+U68+W68+Y68+AA68</f>
        <v>1</v>
      </c>
      <c r="AD68" s="118">
        <f>AC68</f>
        <v>1</v>
      </c>
      <c r="AE68" s="119">
        <f>AC68/AC122</f>
        <v>4.5662100456621002E-3</v>
      </c>
      <c r="AF68" s="388"/>
    </row>
    <row r="69" spans="2:32">
      <c r="B69" s="393"/>
      <c r="C69" s="400"/>
      <c r="D69" s="112">
        <f>C69/C122</f>
        <v>0</v>
      </c>
      <c r="E69" s="401"/>
      <c r="F69" s="112">
        <f>E69/E122</f>
        <v>0</v>
      </c>
      <c r="G69" s="402"/>
      <c r="H69" s="112">
        <f>G69/G122</f>
        <v>0</v>
      </c>
      <c r="I69" s="403"/>
      <c r="J69" s="112">
        <f>I69/I122</f>
        <v>0</v>
      </c>
      <c r="K69" s="404"/>
      <c r="L69" s="112" t="e">
        <f>K69/K122</f>
        <v>#DIV/0!</v>
      </c>
      <c r="M69" s="113">
        <f>C69+E69+G69+I69+K69</f>
        <v>0</v>
      </c>
      <c r="N69" s="118">
        <f t="shared" si="14"/>
        <v>0</v>
      </c>
      <c r="O69" s="119">
        <f>M69/M122</f>
        <v>0</v>
      </c>
      <c r="P69" s="19"/>
      <c r="Q69" s="18"/>
      <c r="R69" s="340"/>
      <c r="S69" s="400"/>
      <c r="T69" s="112">
        <f>S69/S122</f>
        <v>0</v>
      </c>
      <c r="U69" s="405"/>
      <c r="V69" s="112">
        <f>U69/U122</f>
        <v>0</v>
      </c>
      <c r="W69" s="406"/>
      <c r="X69" s="112">
        <f>W69/W122</f>
        <v>0</v>
      </c>
      <c r="Y69" s="403"/>
      <c r="Z69" s="112">
        <f>Y69/Y122</f>
        <v>0</v>
      </c>
      <c r="AA69" s="408"/>
      <c r="AB69" s="112" t="e">
        <f>AA69/AA122</f>
        <v>#DIV/0!</v>
      </c>
      <c r="AC69" s="113">
        <f>S69+U69+W69+Y69+AA69</f>
        <v>0</v>
      </c>
      <c r="AD69" s="118">
        <f>AC69</f>
        <v>0</v>
      </c>
      <c r="AE69" s="119">
        <f>AC69/AC122</f>
        <v>0</v>
      </c>
      <c r="AF69" s="388"/>
    </row>
    <row r="70" spans="2:32">
      <c r="B70" s="393" t="s">
        <v>117</v>
      </c>
      <c r="C70" s="400">
        <v>0</v>
      </c>
      <c r="D70" s="112">
        <f>C70/C122</f>
        <v>0</v>
      </c>
      <c r="E70" s="401">
        <v>0</v>
      </c>
      <c r="F70" s="112">
        <f>E70/E122</f>
        <v>0</v>
      </c>
      <c r="G70" s="402">
        <v>0</v>
      </c>
      <c r="H70" s="112">
        <f>G70/G122</f>
        <v>0</v>
      </c>
      <c r="I70" s="403">
        <v>0</v>
      </c>
      <c r="J70" s="112">
        <f>I70/I122</f>
        <v>0</v>
      </c>
      <c r="K70" s="404">
        <v>0</v>
      </c>
      <c r="L70" s="112" t="e">
        <f>K70/K122</f>
        <v>#DIV/0!</v>
      </c>
      <c r="M70" s="113">
        <f>C70+E70+G70+I70+K70</f>
        <v>0</v>
      </c>
      <c r="N70" s="118">
        <f t="shared" si="14"/>
        <v>0</v>
      </c>
      <c r="O70" s="119">
        <f>M70/M122</f>
        <v>0</v>
      </c>
      <c r="P70" s="19"/>
      <c r="Q70" s="18"/>
      <c r="R70" s="340" t="s">
        <v>117</v>
      </c>
      <c r="S70" s="400">
        <v>0</v>
      </c>
      <c r="T70" s="112">
        <f>S70/S122</f>
        <v>0</v>
      </c>
      <c r="U70" s="405">
        <v>0</v>
      </c>
      <c r="V70" s="112">
        <f>U70/U122</f>
        <v>0</v>
      </c>
      <c r="W70" s="406">
        <v>0</v>
      </c>
      <c r="X70" s="112">
        <f>W70/W122</f>
        <v>0</v>
      </c>
      <c r="Y70" s="403">
        <v>0</v>
      </c>
      <c r="Z70" s="112">
        <f>Y70/Y122</f>
        <v>0</v>
      </c>
      <c r="AA70" s="408">
        <v>0</v>
      </c>
      <c r="AB70" s="112" t="e">
        <f>AA70/AA122</f>
        <v>#DIV/0!</v>
      </c>
      <c r="AC70" s="113">
        <f>S70+U70+W70+Y70+AA70</f>
        <v>0</v>
      </c>
      <c r="AD70" s="118">
        <f>AC70</f>
        <v>0</v>
      </c>
      <c r="AE70" s="119">
        <f>AC70/AC122</f>
        <v>0</v>
      </c>
      <c r="AF70" s="388"/>
    </row>
    <row r="71" spans="2:32">
      <c r="B71" s="393"/>
      <c r="C71" s="400"/>
      <c r="D71" s="112">
        <f>C71/C122</f>
        <v>0</v>
      </c>
      <c r="E71" s="401"/>
      <c r="F71" s="112">
        <f>E71/E122</f>
        <v>0</v>
      </c>
      <c r="G71" s="402"/>
      <c r="H71" s="112">
        <f>G71/G122</f>
        <v>0</v>
      </c>
      <c r="I71" s="403"/>
      <c r="J71" s="112">
        <f>I71/I122</f>
        <v>0</v>
      </c>
      <c r="K71" s="404"/>
      <c r="L71" s="112" t="e">
        <f>K71/K122</f>
        <v>#DIV/0!</v>
      </c>
      <c r="M71" s="113">
        <f>C71+E71+G71+I71+K71</f>
        <v>0</v>
      </c>
      <c r="N71" s="118">
        <f t="shared" si="14"/>
        <v>0</v>
      </c>
      <c r="O71" s="119">
        <f>M71/M122</f>
        <v>0</v>
      </c>
      <c r="P71" s="19"/>
      <c r="Q71" s="18"/>
      <c r="R71" s="340"/>
      <c r="S71" s="400"/>
      <c r="T71" s="112">
        <f>S71/S122</f>
        <v>0</v>
      </c>
      <c r="U71" s="405"/>
      <c r="V71" s="112">
        <f>U71/U122</f>
        <v>0</v>
      </c>
      <c r="W71" s="406"/>
      <c r="X71" s="112">
        <f>W71/W122</f>
        <v>0</v>
      </c>
      <c r="Y71" s="403"/>
      <c r="Z71" s="112">
        <f>Y71/Y122</f>
        <v>0</v>
      </c>
      <c r="AA71" s="408"/>
      <c r="AB71" s="112" t="e">
        <f>AA71/AA122</f>
        <v>#DIV/0!</v>
      </c>
      <c r="AC71" s="113">
        <f>S71+U71+W71+Y71+AA71</f>
        <v>0</v>
      </c>
      <c r="AD71" s="118">
        <f>AC71</f>
        <v>0</v>
      </c>
      <c r="AE71" s="119">
        <f>AC71/AC122</f>
        <v>0</v>
      </c>
      <c r="AF71" s="388"/>
    </row>
    <row r="72" spans="2:32">
      <c r="B72" s="394" t="s">
        <v>71</v>
      </c>
      <c r="C72" s="400">
        <v>0</v>
      </c>
      <c r="D72" s="112">
        <f>C72/C122</f>
        <v>0</v>
      </c>
      <c r="E72" s="401">
        <v>0</v>
      </c>
      <c r="F72" s="112">
        <f>E72/E122</f>
        <v>0</v>
      </c>
      <c r="G72" s="402">
        <v>0</v>
      </c>
      <c r="H72" s="112">
        <f>G72/G122</f>
        <v>0</v>
      </c>
      <c r="I72" s="403">
        <v>0</v>
      </c>
      <c r="J72" s="112">
        <f>I72/I122</f>
        <v>0</v>
      </c>
      <c r="K72" s="404">
        <v>0</v>
      </c>
      <c r="L72" s="112" t="e">
        <f>K72/K122</f>
        <v>#DIV/0!</v>
      </c>
      <c r="M72" s="113">
        <f t="shared" ref="M72:M73" si="20">C72+E72+G72+I72+K72</f>
        <v>0</v>
      </c>
      <c r="N72" s="118">
        <f t="shared" si="14"/>
        <v>0</v>
      </c>
      <c r="O72" s="119">
        <f>M72/M122</f>
        <v>0</v>
      </c>
      <c r="P72" s="19"/>
      <c r="Q72" s="337"/>
      <c r="R72" s="341" t="s">
        <v>87</v>
      </c>
      <c r="S72" s="400">
        <v>0</v>
      </c>
      <c r="T72" s="112">
        <f>S72/S122</f>
        <v>0</v>
      </c>
      <c r="U72" s="405">
        <v>0</v>
      </c>
      <c r="V72" s="112">
        <f>U72/U122</f>
        <v>0</v>
      </c>
      <c r="W72" s="406">
        <v>0</v>
      </c>
      <c r="X72" s="112">
        <f>W72/W122</f>
        <v>0</v>
      </c>
      <c r="Y72" s="403">
        <v>0</v>
      </c>
      <c r="Z72" s="112">
        <f>Y72/Y122</f>
        <v>0</v>
      </c>
      <c r="AA72" s="408">
        <v>0</v>
      </c>
      <c r="AB72" s="112" t="e">
        <f>AA72/AA122</f>
        <v>#DIV/0!</v>
      </c>
      <c r="AC72" s="113">
        <f t="shared" ref="AC72:AC73" si="21">S72+U72+W72+Y72+AA72</f>
        <v>0</v>
      </c>
      <c r="AD72" s="118">
        <f t="shared" ref="AD72:AD73" si="22">AC72</f>
        <v>0</v>
      </c>
      <c r="AE72" s="119">
        <f>AC72/AC122</f>
        <v>0</v>
      </c>
      <c r="AF72" s="388"/>
    </row>
    <row r="73" spans="2:32">
      <c r="B73" s="393"/>
      <c r="C73" s="400"/>
      <c r="D73" s="112">
        <f>C73/C122</f>
        <v>0</v>
      </c>
      <c r="E73" s="401"/>
      <c r="F73" s="112">
        <f>E73/E122</f>
        <v>0</v>
      </c>
      <c r="G73" s="402"/>
      <c r="H73" s="112">
        <f>G73/G122</f>
        <v>0</v>
      </c>
      <c r="I73" s="403"/>
      <c r="J73" s="112">
        <f>I73/I122</f>
        <v>0</v>
      </c>
      <c r="K73" s="404"/>
      <c r="L73" s="112" t="e">
        <f>K73/K122</f>
        <v>#DIV/0!</v>
      </c>
      <c r="M73" s="113">
        <f t="shared" si="20"/>
        <v>0</v>
      </c>
      <c r="N73" s="118">
        <f t="shared" si="14"/>
        <v>0</v>
      </c>
      <c r="O73" s="119">
        <f>M73/M122</f>
        <v>0</v>
      </c>
      <c r="P73" s="19"/>
      <c r="Q73" s="18"/>
      <c r="R73" s="340"/>
      <c r="S73" s="400"/>
      <c r="T73" s="112">
        <f>S73/S122</f>
        <v>0</v>
      </c>
      <c r="U73" s="405"/>
      <c r="V73" s="112">
        <f>U73/U122</f>
        <v>0</v>
      </c>
      <c r="W73" s="406"/>
      <c r="X73" s="112">
        <f>W73/W122</f>
        <v>0</v>
      </c>
      <c r="Y73" s="403"/>
      <c r="Z73" s="112">
        <f>Y73/Y122</f>
        <v>0</v>
      </c>
      <c r="AA73" s="408"/>
      <c r="AB73" s="112" t="e">
        <f>AA73/AA122</f>
        <v>#DIV/0!</v>
      </c>
      <c r="AC73" s="113">
        <f t="shared" si="21"/>
        <v>0</v>
      </c>
      <c r="AD73" s="118">
        <f t="shared" si="22"/>
        <v>0</v>
      </c>
      <c r="AE73" s="119">
        <f>AC73/AC122</f>
        <v>0</v>
      </c>
      <c r="AF73" s="388"/>
    </row>
    <row r="74" spans="2:32">
      <c r="B74" s="393" t="s">
        <v>273</v>
      </c>
      <c r="C74" s="400">
        <v>0</v>
      </c>
      <c r="D74" s="112">
        <f>C74/C122</f>
        <v>0</v>
      </c>
      <c r="E74" s="401">
        <v>0</v>
      </c>
      <c r="F74" s="112">
        <f>E74/E122</f>
        <v>0</v>
      </c>
      <c r="G74" s="402">
        <v>0</v>
      </c>
      <c r="H74" s="112">
        <f>G74/G122</f>
        <v>0</v>
      </c>
      <c r="I74" s="403">
        <v>0</v>
      </c>
      <c r="J74" s="112">
        <f>I74/I122</f>
        <v>0</v>
      </c>
      <c r="K74" s="404">
        <v>0</v>
      </c>
      <c r="L74" s="112" t="e">
        <f>K74/K122</f>
        <v>#DIV/0!</v>
      </c>
      <c r="M74" s="113">
        <f>C74+E74+G74+I74+K74</f>
        <v>0</v>
      </c>
      <c r="N74" s="118">
        <f t="shared" si="14"/>
        <v>0</v>
      </c>
      <c r="O74" s="119">
        <f>M74/M122</f>
        <v>0</v>
      </c>
      <c r="P74" s="19"/>
      <c r="Q74" s="18"/>
      <c r="R74" s="340" t="s">
        <v>78</v>
      </c>
      <c r="S74" s="400">
        <v>0</v>
      </c>
      <c r="T74" s="112">
        <f>S74/S122</f>
        <v>0</v>
      </c>
      <c r="U74" s="405">
        <v>0</v>
      </c>
      <c r="V74" s="112">
        <f>U74/U122</f>
        <v>0</v>
      </c>
      <c r="W74" s="406">
        <v>0</v>
      </c>
      <c r="X74" s="112">
        <f>W74/W122</f>
        <v>0</v>
      </c>
      <c r="Y74" s="403">
        <v>0</v>
      </c>
      <c r="Z74" s="112">
        <f>Y74/Y122</f>
        <v>0</v>
      </c>
      <c r="AA74" s="408">
        <v>0</v>
      </c>
      <c r="AB74" s="112" t="e">
        <f>AA74/AA122</f>
        <v>#DIV/0!</v>
      </c>
      <c r="AC74" s="113">
        <f>S74+U74+W74+Y74+AA74</f>
        <v>0</v>
      </c>
      <c r="AD74" s="118">
        <f>AC74</f>
        <v>0</v>
      </c>
      <c r="AE74" s="119">
        <f>AC74/AC122</f>
        <v>0</v>
      </c>
      <c r="AF74" s="388"/>
    </row>
    <row r="75" spans="2:32">
      <c r="B75" s="389"/>
      <c r="C75" s="400"/>
      <c r="D75" s="112">
        <f>C75/C122</f>
        <v>0</v>
      </c>
      <c r="E75" s="401"/>
      <c r="F75" s="112">
        <f>E75/E122</f>
        <v>0</v>
      </c>
      <c r="G75" s="402"/>
      <c r="H75" s="112">
        <f>G75/G122</f>
        <v>0</v>
      </c>
      <c r="I75" s="403"/>
      <c r="J75" s="112">
        <f>I75/I122</f>
        <v>0</v>
      </c>
      <c r="K75" s="404"/>
      <c r="L75" s="112" t="e">
        <f>K75/K122</f>
        <v>#DIV/0!</v>
      </c>
      <c r="M75" s="113">
        <f>C75+E75+G75+I75+K75</f>
        <v>0</v>
      </c>
      <c r="N75" s="118">
        <f t="shared" si="14"/>
        <v>0</v>
      </c>
      <c r="O75" s="119">
        <f>M75/M122</f>
        <v>0</v>
      </c>
      <c r="P75" s="19"/>
      <c r="Q75" s="18"/>
      <c r="R75" s="122"/>
      <c r="S75" s="400"/>
      <c r="T75" s="112">
        <f>S75/S122</f>
        <v>0</v>
      </c>
      <c r="U75" s="405"/>
      <c r="V75" s="112">
        <f>U75/U122</f>
        <v>0</v>
      </c>
      <c r="W75" s="406"/>
      <c r="X75" s="112">
        <f>W75/W122</f>
        <v>0</v>
      </c>
      <c r="Y75" s="403"/>
      <c r="Z75" s="112">
        <f>Y75/Y122</f>
        <v>0</v>
      </c>
      <c r="AA75" s="408"/>
      <c r="AB75" s="112" t="e">
        <f>AA75/AA122</f>
        <v>#DIV/0!</v>
      </c>
      <c r="AC75" s="113">
        <f>S75+U75+W75+Y75+AA75</f>
        <v>0</v>
      </c>
      <c r="AD75" s="118">
        <f>AC75</f>
        <v>0</v>
      </c>
      <c r="AE75" s="119">
        <f>AC75/AC122</f>
        <v>0</v>
      </c>
      <c r="AF75" s="388"/>
    </row>
    <row r="76" spans="2:32">
      <c r="B76" s="389" t="s">
        <v>275</v>
      </c>
      <c r="C76" s="400">
        <v>4</v>
      </c>
      <c r="D76" s="112">
        <f>C76/C122</f>
        <v>2.7972027972027972E-2</v>
      </c>
      <c r="E76" s="401">
        <v>0</v>
      </c>
      <c r="F76" s="112">
        <f>E76/E122</f>
        <v>0</v>
      </c>
      <c r="G76" s="402">
        <v>0</v>
      </c>
      <c r="H76" s="112">
        <f>G76/G122</f>
        <v>0</v>
      </c>
      <c r="I76" s="403">
        <v>0</v>
      </c>
      <c r="J76" s="112">
        <f>I76/I122</f>
        <v>0</v>
      </c>
      <c r="K76" s="404">
        <v>0</v>
      </c>
      <c r="L76" s="112" t="e">
        <f>K76/K122</f>
        <v>#DIV/0!</v>
      </c>
      <c r="M76" s="113">
        <f t="shared" ref="M76:M107" si="23">C76+E76+G76+I76+K76</f>
        <v>4</v>
      </c>
      <c r="N76" s="118">
        <f t="shared" si="14"/>
        <v>4</v>
      </c>
      <c r="O76" s="119">
        <f>M76/M122</f>
        <v>2.5000000000000001E-2</v>
      </c>
      <c r="P76" s="19"/>
      <c r="Q76" s="18"/>
      <c r="R76" s="122" t="s">
        <v>73</v>
      </c>
      <c r="S76" s="400">
        <v>2</v>
      </c>
      <c r="T76" s="112">
        <f>S76/S122</f>
        <v>1.0101010101010102E-2</v>
      </c>
      <c r="U76" s="405">
        <v>0</v>
      </c>
      <c r="V76" s="112">
        <f>U76/U122</f>
        <v>0</v>
      </c>
      <c r="W76" s="406">
        <v>0</v>
      </c>
      <c r="X76" s="112">
        <f>W76/W122</f>
        <v>0</v>
      </c>
      <c r="Y76" s="403">
        <v>0</v>
      </c>
      <c r="Z76" s="112">
        <f>Y76/Y122</f>
        <v>0</v>
      </c>
      <c r="AA76" s="408">
        <v>0</v>
      </c>
      <c r="AB76" s="112" t="e">
        <f>AA76/AA122</f>
        <v>#DIV/0!</v>
      </c>
      <c r="AC76" s="113">
        <f t="shared" ref="AC76:AC118" si="24">S76+U76+W76+Y76+AA76</f>
        <v>2</v>
      </c>
      <c r="AD76" s="118">
        <f t="shared" ref="AD76:AD118" si="25">AC76</f>
        <v>2</v>
      </c>
      <c r="AE76" s="119">
        <f>AC76/AC122</f>
        <v>9.1324200913242004E-3</v>
      </c>
      <c r="AF76" s="388"/>
    </row>
    <row r="77" spans="2:32">
      <c r="B77" s="393"/>
      <c r="C77" s="400"/>
      <c r="D77" s="112">
        <f>C77/C122</f>
        <v>0</v>
      </c>
      <c r="E77" s="401"/>
      <c r="F77" s="112">
        <f>E77/E122</f>
        <v>0</v>
      </c>
      <c r="G77" s="402"/>
      <c r="H77" s="112">
        <f>G77/G122</f>
        <v>0</v>
      </c>
      <c r="I77" s="403"/>
      <c r="J77" s="112">
        <f>I77/I122</f>
        <v>0</v>
      </c>
      <c r="K77" s="404"/>
      <c r="L77" s="112" t="e">
        <f>K77/K122</f>
        <v>#DIV/0!</v>
      </c>
      <c r="M77" s="113">
        <f t="shared" si="23"/>
        <v>0</v>
      </c>
      <c r="N77" s="118">
        <f t="shared" si="14"/>
        <v>0</v>
      </c>
      <c r="O77" s="119">
        <f>M77/M122</f>
        <v>0</v>
      </c>
      <c r="P77" s="19"/>
      <c r="Q77" s="18"/>
      <c r="R77" s="340"/>
      <c r="S77" s="400"/>
      <c r="T77" s="112">
        <f>S77/S122</f>
        <v>0</v>
      </c>
      <c r="U77" s="405"/>
      <c r="V77" s="112">
        <f>U77/U122</f>
        <v>0</v>
      </c>
      <c r="W77" s="406"/>
      <c r="X77" s="112">
        <f>W77/W122</f>
        <v>0</v>
      </c>
      <c r="Y77" s="403"/>
      <c r="Z77" s="112">
        <f>Y77/Y122</f>
        <v>0</v>
      </c>
      <c r="AA77" s="408"/>
      <c r="AB77" s="112" t="e">
        <f>AA77/AA122</f>
        <v>#DIV/0!</v>
      </c>
      <c r="AC77" s="113">
        <f t="shared" si="24"/>
        <v>0</v>
      </c>
      <c r="AD77" s="118">
        <f t="shared" si="25"/>
        <v>0</v>
      </c>
      <c r="AE77" s="119">
        <f>AC77/AC122</f>
        <v>0</v>
      </c>
      <c r="AF77" s="388"/>
    </row>
    <row r="78" spans="2:32">
      <c r="B78" s="389" t="s">
        <v>271</v>
      </c>
      <c r="C78" s="400">
        <v>0</v>
      </c>
      <c r="D78" s="112">
        <f>C78/C122</f>
        <v>0</v>
      </c>
      <c r="E78" s="401">
        <v>0</v>
      </c>
      <c r="F78" s="112">
        <f>E78/E122</f>
        <v>0</v>
      </c>
      <c r="G78" s="402">
        <v>0</v>
      </c>
      <c r="H78" s="112">
        <f>G78/G122</f>
        <v>0</v>
      </c>
      <c r="I78" s="403">
        <v>0</v>
      </c>
      <c r="J78" s="112">
        <f>I78/I122</f>
        <v>0</v>
      </c>
      <c r="K78" s="404">
        <v>0</v>
      </c>
      <c r="L78" s="112" t="e">
        <f>K78/K122</f>
        <v>#DIV/0!</v>
      </c>
      <c r="M78" s="113">
        <f t="shared" si="23"/>
        <v>0</v>
      </c>
      <c r="N78" s="118">
        <f t="shared" si="14"/>
        <v>0</v>
      </c>
      <c r="O78" s="119">
        <f>M78/M122</f>
        <v>0</v>
      </c>
      <c r="P78" s="19"/>
      <c r="Q78" s="18"/>
      <c r="R78" s="122" t="s">
        <v>90</v>
      </c>
      <c r="S78" s="400">
        <v>0</v>
      </c>
      <c r="T78" s="112">
        <f>S78/S122</f>
        <v>0</v>
      </c>
      <c r="U78" s="405">
        <v>0</v>
      </c>
      <c r="V78" s="112">
        <f>U78/U122</f>
        <v>0</v>
      </c>
      <c r="W78" s="406">
        <v>0</v>
      </c>
      <c r="X78" s="112">
        <f>W78/W122</f>
        <v>0</v>
      </c>
      <c r="Y78" s="403">
        <v>0</v>
      </c>
      <c r="Z78" s="112">
        <f>Y78/Y122</f>
        <v>0</v>
      </c>
      <c r="AA78" s="408">
        <v>0</v>
      </c>
      <c r="AB78" s="112" t="e">
        <f>AA78/AA122</f>
        <v>#DIV/0!</v>
      </c>
      <c r="AC78" s="113">
        <f t="shared" si="24"/>
        <v>0</v>
      </c>
      <c r="AD78" s="118">
        <f t="shared" si="25"/>
        <v>0</v>
      </c>
      <c r="AE78" s="119">
        <f>AC78/AC122</f>
        <v>0</v>
      </c>
      <c r="AF78" s="388"/>
    </row>
    <row r="79" spans="2:32">
      <c r="B79" s="393"/>
      <c r="C79" s="400"/>
      <c r="D79" s="112">
        <f>C79/C122</f>
        <v>0</v>
      </c>
      <c r="E79" s="401"/>
      <c r="F79" s="112">
        <f>E79/E122</f>
        <v>0</v>
      </c>
      <c r="G79" s="402"/>
      <c r="H79" s="112">
        <f>G79/G122</f>
        <v>0</v>
      </c>
      <c r="I79" s="403"/>
      <c r="J79" s="112">
        <f>I79/I122</f>
        <v>0</v>
      </c>
      <c r="K79" s="404"/>
      <c r="L79" s="112" t="e">
        <f>K79/K122</f>
        <v>#DIV/0!</v>
      </c>
      <c r="M79" s="113">
        <f t="shared" si="23"/>
        <v>0</v>
      </c>
      <c r="N79" s="118">
        <f t="shared" si="14"/>
        <v>0</v>
      </c>
      <c r="O79" s="119">
        <f>M79/M122</f>
        <v>0</v>
      </c>
      <c r="P79" s="19"/>
      <c r="Q79" s="18"/>
      <c r="R79" s="340"/>
      <c r="S79" s="400"/>
      <c r="T79" s="112">
        <f>S79/S122</f>
        <v>0</v>
      </c>
      <c r="U79" s="405"/>
      <c r="V79" s="112">
        <f>U79/U122</f>
        <v>0</v>
      </c>
      <c r="W79" s="406"/>
      <c r="X79" s="112">
        <f>W79/W122</f>
        <v>0</v>
      </c>
      <c r="Y79" s="403"/>
      <c r="Z79" s="112">
        <f>Y79/Y122</f>
        <v>0</v>
      </c>
      <c r="AA79" s="408"/>
      <c r="AB79" s="112" t="e">
        <f>AA79/AA122</f>
        <v>#DIV/0!</v>
      </c>
      <c r="AC79" s="113">
        <f t="shared" si="24"/>
        <v>0</v>
      </c>
      <c r="AD79" s="118">
        <f t="shared" si="25"/>
        <v>0</v>
      </c>
      <c r="AE79" s="119">
        <f>AC79/AC122</f>
        <v>0</v>
      </c>
      <c r="AF79" s="388"/>
    </row>
    <row r="80" spans="2:32">
      <c r="B80" s="393" t="s">
        <v>269</v>
      </c>
      <c r="C80" s="400">
        <v>0</v>
      </c>
      <c r="D80" s="112">
        <f>C80/C122</f>
        <v>0</v>
      </c>
      <c r="E80" s="401">
        <v>0</v>
      </c>
      <c r="F80" s="112">
        <f>E80/E122</f>
        <v>0</v>
      </c>
      <c r="G80" s="402">
        <v>0</v>
      </c>
      <c r="H80" s="112">
        <f>G80/G122</f>
        <v>0</v>
      </c>
      <c r="I80" s="403">
        <v>0</v>
      </c>
      <c r="J80" s="112">
        <f>I80/I122</f>
        <v>0</v>
      </c>
      <c r="K80" s="404">
        <v>0</v>
      </c>
      <c r="L80" s="112" t="e">
        <f>K80/K122</f>
        <v>#DIV/0!</v>
      </c>
      <c r="M80" s="113">
        <f t="shared" si="23"/>
        <v>0</v>
      </c>
      <c r="N80" s="118">
        <f t="shared" si="14"/>
        <v>0</v>
      </c>
      <c r="O80" s="119">
        <f>M80/M122</f>
        <v>0</v>
      </c>
      <c r="P80" s="19"/>
      <c r="Q80" s="18"/>
      <c r="R80" s="340" t="s">
        <v>98</v>
      </c>
      <c r="S80" s="400">
        <v>0</v>
      </c>
      <c r="T80" s="112">
        <f>S80/S122</f>
        <v>0</v>
      </c>
      <c r="U80" s="405">
        <v>0</v>
      </c>
      <c r="V80" s="112">
        <f>U80/U122</f>
        <v>0</v>
      </c>
      <c r="W80" s="406">
        <v>0</v>
      </c>
      <c r="X80" s="112">
        <f>W80/W122</f>
        <v>0</v>
      </c>
      <c r="Y80" s="403">
        <v>0</v>
      </c>
      <c r="Z80" s="112">
        <f>Y80/Y122</f>
        <v>0</v>
      </c>
      <c r="AA80" s="408">
        <v>0</v>
      </c>
      <c r="AB80" s="112" t="e">
        <f>AA80/AA122</f>
        <v>#DIV/0!</v>
      </c>
      <c r="AC80" s="113">
        <f t="shared" si="24"/>
        <v>0</v>
      </c>
      <c r="AD80" s="118">
        <f t="shared" si="25"/>
        <v>0</v>
      </c>
      <c r="AE80" s="119">
        <f>AC80/AC122</f>
        <v>0</v>
      </c>
      <c r="AF80" s="388"/>
    </row>
    <row r="81" spans="2:32">
      <c r="B81" s="393"/>
      <c r="C81" s="400"/>
      <c r="D81" s="112">
        <f>C81/C122</f>
        <v>0</v>
      </c>
      <c r="E81" s="401"/>
      <c r="F81" s="112">
        <f>E81/E122</f>
        <v>0</v>
      </c>
      <c r="G81" s="402"/>
      <c r="H81" s="112">
        <f>G81/G122</f>
        <v>0</v>
      </c>
      <c r="I81" s="403"/>
      <c r="J81" s="112">
        <f>I81/I122</f>
        <v>0</v>
      </c>
      <c r="K81" s="404"/>
      <c r="L81" s="112" t="e">
        <f>K81/K122</f>
        <v>#DIV/0!</v>
      </c>
      <c r="M81" s="113">
        <f t="shared" si="23"/>
        <v>0</v>
      </c>
      <c r="N81" s="118">
        <f t="shared" si="14"/>
        <v>0</v>
      </c>
      <c r="O81" s="119">
        <f>M81/M122</f>
        <v>0</v>
      </c>
      <c r="P81" s="19"/>
      <c r="Q81" s="18"/>
      <c r="R81" s="340"/>
      <c r="S81" s="400"/>
      <c r="T81" s="112">
        <f>S81/S122</f>
        <v>0</v>
      </c>
      <c r="U81" s="405"/>
      <c r="V81" s="112">
        <f>U81/U122</f>
        <v>0</v>
      </c>
      <c r="W81" s="406"/>
      <c r="X81" s="112">
        <f>W81/W122</f>
        <v>0</v>
      </c>
      <c r="Y81" s="403"/>
      <c r="Z81" s="112">
        <f>Y81/Y122</f>
        <v>0</v>
      </c>
      <c r="AA81" s="408"/>
      <c r="AB81" s="112" t="e">
        <f>AA81/AA122</f>
        <v>#DIV/0!</v>
      </c>
      <c r="AC81" s="113">
        <f t="shared" si="24"/>
        <v>0</v>
      </c>
      <c r="AD81" s="118">
        <f t="shared" si="25"/>
        <v>0</v>
      </c>
      <c r="AE81" s="119">
        <f>AC81/AC122</f>
        <v>0</v>
      </c>
      <c r="AF81" s="388"/>
    </row>
    <row r="82" spans="2:32">
      <c r="B82" s="393" t="s">
        <v>267</v>
      </c>
      <c r="C82" s="400">
        <v>0</v>
      </c>
      <c r="D82" s="112">
        <f>C82/C122</f>
        <v>0</v>
      </c>
      <c r="E82" s="401">
        <v>0</v>
      </c>
      <c r="F82" s="112">
        <f>E82/E122</f>
        <v>0</v>
      </c>
      <c r="G82" s="402">
        <v>0</v>
      </c>
      <c r="H82" s="112">
        <f>G82/G122</f>
        <v>0</v>
      </c>
      <c r="I82" s="403">
        <v>0</v>
      </c>
      <c r="J82" s="112">
        <f>I82/I122</f>
        <v>0</v>
      </c>
      <c r="K82" s="404">
        <v>0</v>
      </c>
      <c r="L82" s="112" t="e">
        <f>K82/K122</f>
        <v>#DIV/0!</v>
      </c>
      <c r="M82" s="113">
        <f t="shared" si="23"/>
        <v>0</v>
      </c>
      <c r="N82" s="118">
        <f t="shared" si="14"/>
        <v>0</v>
      </c>
      <c r="O82" s="119">
        <f>M82/M122</f>
        <v>0</v>
      </c>
      <c r="P82" s="19"/>
      <c r="Q82" s="18"/>
      <c r="R82" s="340" t="s">
        <v>105</v>
      </c>
      <c r="S82" s="400">
        <v>0</v>
      </c>
      <c r="T82" s="112">
        <f>S82/S122</f>
        <v>0</v>
      </c>
      <c r="U82" s="405">
        <v>0</v>
      </c>
      <c r="V82" s="112">
        <f>U82/U122</f>
        <v>0</v>
      </c>
      <c r="W82" s="406">
        <v>0</v>
      </c>
      <c r="X82" s="112">
        <f>W82/W122</f>
        <v>0</v>
      </c>
      <c r="Y82" s="403">
        <v>0</v>
      </c>
      <c r="Z82" s="112">
        <f>Y82/Y122</f>
        <v>0</v>
      </c>
      <c r="AA82" s="408">
        <v>0</v>
      </c>
      <c r="AB82" s="112" t="e">
        <f>AA82/AA122</f>
        <v>#DIV/0!</v>
      </c>
      <c r="AC82" s="113">
        <f t="shared" si="24"/>
        <v>0</v>
      </c>
      <c r="AD82" s="118">
        <f t="shared" si="25"/>
        <v>0</v>
      </c>
      <c r="AE82" s="119">
        <f>AC82/AC122</f>
        <v>0</v>
      </c>
      <c r="AF82" s="388"/>
    </row>
    <row r="83" spans="2:32">
      <c r="B83" s="393"/>
      <c r="C83" s="400"/>
      <c r="D83" s="112">
        <f>C83/C122</f>
        <v>0</v>
      </c>
      <c r="E83" s="401"/>
      <c r="F83" s="112">
        <f>E83/E122</f>
        <v>0</v>
      </c>
      <c r="G83" s="402"/>
      <c r="H83" s="112">
        <f>G83/G122</f>
        <v>0</v>
      </c>
      <c r="I83" s="403"/>
      <c r="J83" s="112">
        <f>I83/I122</f>
        <v>0</v>
      </c>
      <c r="K83" s="404"/>
      <c r="L83" s="112" t="e">
        <f>K83/K122</f>
        <v>#DIV/0!</v>
      </c>
      <c r="M83" s="113">
        <f t="shared" si="23"/>
        <v>0</v>
      </c>
      <c r="N83" s="118">
        <f t="shared" si="14"/>
        <v>0</v>
      </c>
      <c r="O83" s="119">
        <f>M83/M122</f>
        <v>0</v>
      </c>
      <c r="P83" s="19"/>
      <c r="Q83" s="18"/>
      <c r="R83" s="340"/>
      <c r="S83" s="400"/>
      <c r="T83" s="112">
        <f>S83/S122</f>
        <v>0</v>
      </c>
      <c r="U83" s="405"/>
      <c r="V83" s="112">
        <f>U83/U122</f>
        <v>0</v>
      </c>
      <c r="W83" s="406"/>
      <c r="X83" s="112">
        <f>W83/W122</f>
        <v>0</v>
      </c>
      <c r="Y83" s="403"/>
      <c r="Z83" s="112">
        <f>Y83/Y122</f>
        <v>0</v>
      </c>
      <c r="AA83" s="408"/>
      <c r="AB83" s="112" t="e">
        <f>AA83/AA122</f>
        <v>#DIV/0!</v>
      </c>
      <c r="AC83" s="113">
        <f t="shared" si="24"/>
        <v>0</v>
      </c>
      <c r="AD83" s="118">
        <f t="shared" si="25"/>
        <v>0</v>
      </c>
      <c r="AE83" s="119">
        <f>AC83/AC122</f>
        <v>0</v>
      </c>
      <c r="AF83" s="388"/>
    </row>
    <row r="84" spans="2:32">
      <c r="B84" s="393" t="s">
        <v>253</v>
      </c>
      <c r="C84" s="400">
        <v>0</v>
      </c>
      <c r="D84" s="112">
        <f>C84/C122</f>
        <v>0</v>
      </c>
      <c r="E84" s="401">
        <v>0</v>
      </c>
      <c r="F84" s="112">
        <f>E84/E122</f>
        <v>0</v>
      </c>
      <c r="G84" s="402">
        <v>0</v>
      </c>
      <c r="H84" s="112">
        <f>G84/G122</f>
        <v>0</v>
      </c>
      <c r="I84" s="403">
        <v>0</v>
      </c>
      <c r="J84" s="112">
        <f>I84/I122</f>
        <v>0</v>
      </c>
      <c r="K84" s="404">
        <v>0</v>
      </c>
      <c r="L84" s="112" t="e">
        <f>K84/K122</f>
        <v>#DIV/0!</v>
      </c>
      <c r="M84" s="113">
        <f t="shared" si="23"/>
        <v>0</v>
      </c>
      <c r="N84" s="118">
        <f t="shared" si="14"/>
        <v>0</v>
      </c>
      <c r="O84" s="119">
        <f>M84/M122</f>
        <v>0</v>
      </c>
      <c r="P84" s="19"/>
      <c r="Q84" s="18"/>
      <c r="R84" s="340" t="s">
        <v>116</v>
      </c>
      <c r="S84" s="400">
        <v>0</v>
      </c>
      <c r="T84" s="112">
        <f>S84/S122</f>
        <v>0</v>
      </c>
      <c r="U84" s="405">
        <v>0</v>
      </c>
      <c r="V84" s="112">
        <f>U84/U122</f>
        <v>0</v>
      </c>
      <c r="W84" s="406">
        <v>0</v>
      </c>
      <c r="X84" s="112">
        <f>W84/W122</f>
        <v>0</v>
      </c>
      <c r="Y84" s="403">
        <v>0</v>
      </c>
      <c r="Z84" s="112">
        <f>Y84/Y122</f>
        <v>0</v>
      </c>
      <c r="AA84" s="408">
        <v>0</v>
      </c>
      <c r="AB84" s="112" t="e">
        <f>AA84/AA122</f>
        <v>#DIV/0!</v>
      </c>
      <c r="AC84" s="113">
        <f t="shared" si="24"/>
        <v>0</v>
      </c>
      <c r="AD84" s="118">
        <f t="shared" si="25"/>
        <v>0</v>
      </c>
      <c r="AE84" s="119">
        <f>AC84/AC122</f>
        <v>0</v>
      </c>
      <c r="AF84" s="388"/>
    </row>
    <row r="85" spans="2:32">
      <c r="B85" s="393"/>
      <c r="C85" s="400"/>
      <c r="D85" s="112">
        <f>C85/C122</f>
        <v>0</v>
      </c>
      <c r="E85" s="401"/>
      <c r="F85" s="112">
        <f>E85/E122</f>
        <v>0</v>
      </c>
      <c r="G85" s="402"/>
      <c r="H85" s="112">
        <f>G85/G122</f>
        <v>0</v>
      </c>
      <c r="I85" s="403"/>
      <c r="J85" s="112">
        <f>I85/I122</f>
        <v>0</v>
      </c>
      <c r="K85" s="404"/>
      <c r="L85" s="112" t="e">
        <f>K85/K122</f>
        <v>#DIV/0!</v>
      </c>
      <c r="M85" s="113">
        <f t="shared" si="23"/>
        <v>0</v>
      </c>
      <c r="N85" s="118">
        <f t="shared" si="14"/>
        <v>0</v>
      </c>
      <c r="O85" s="119">
        <f>M85/M122</f>
        <v>0</v>
      </c>
      <c r="P85" s="19"/>
      <c r="Q85" s="18"/>
      <c r="R85" s="340"/>
      <c r="S85" s="400"/>
      <c r="T85" s="112">
        <f>S85/S122</f>
        <v>0</v>
      </c>
      <c r="U85" s="405"/>
      <c r="V85" s="112">
        <f>U85/U122</f>
        <v>0</v>
      </c>
      <c r="W85" s="406"/>
      <c r="X85" s="112">
        <f>W85/W122</f>
        <v>0</v>
      </c>
      <c r="Y85" s="403"/>
      <c r="Z85" s="112">
        <f>Y85/Y122</f>
        <v>0</v>
      </c>
      <c r="AA85" s="408"/>
      <c r="AB85" s="112" t="e">
        <f>AA85/AA122</f>
        <v>#DIV/0!</v>
      </c>
      <c r="AC85" s="113">
        <f t="shared" si="24"/>
        <v>0</v>
      </c>
      <c r="AD85" s="118">
        <f t="shared" si="25"/>
        <v>0</v>
      </c>
      <c r="AE85" s="119">
        <f>AC85/AC122</f>
        <v>0</v>
      </c>
      <c r="AF85" s="388"/>
    </row>
    <row r="86" spans="2:32">
      <c r="B86" s="393" t="s">
        <v>250</v>
      </c>
      <c r="C86" s="400">
        <v>2</v>
      </c>
      <c r="D86" s="112">
        <f>C86/C122</f>
        <v>1.3986013986013986E-2</v>
      </c>
      <c r="E86" s="401">
        <v>0</v>
      </c>
      <c r="F86" s="112">
        <f>E86/E122</f>
        <v>0</v>
      </c>
      <c r="G86" s="402">
        <v>0</v>
      </c>
      <c r="H86" s="112">
        <f>G86/G122</f>
        <v>0</v>
      </c>
      <c r="I86" s="403">
        <v>0</v>
      </c>
      <c r="J86" s="112">
        <f>I86/I122</f>
        <v>0</v>
      </c>
      <c r="K86" s="404">
        <v>0</v>
      </c>
      <c r="L86" s="112" t="e">
        <f>K86/K122</f>
        <v>#DIV/0!</v>
      </c>
      <c r="M86" s="113">
        <f t="shared" si="23"/>
        <v>2</v>
      </c>
      <c r="N86" s="118">
        <f t="shared" si="14"/>
        <v>2</v>
      </c>
      <c r="O86" s="119">
        <f>M86/M122</f>
        <v>1.2500000000000001E-2</v>
      </c>
      <c r="P86" s="19"/>
      <c r="Q86" s="18"/>
      <c r="R86" s="340" t="s">
        <v>118</v>
      </c>
      <c r="S86" s="400">
        <v>2</v>
      </c>
      <c r="T86" s="112">
        <f>S86/S122</f>
        <v>1.0101010101010102E-2</v>
      </c>
      <c r="U86" s="405">
        <v>0</v>
      </c>
      <c r="V86" s="112">
        <f>U86/U122</f>
        <v>0</v>
      </c>
      <c r="W86" s="406">
        <v>0</v>
      </c>
      <c r="X86" s="112">
        <f>W86/W122</f>
        <v>0</v>
      </c>
      <c r="Y86" s="403">
        <v>0</v>
      </c>
      <c r="Z86" s="112">
        <f>Y86/Y122</f>
        <v>0</v>
      </c>
      <c r="AA86" s="408">
        <v>0</v>
      </c>
      <c r="AB86" s="112" t="e">
        <f>AA86/AA122</f>
        <v>#DIV/0!</v>
      </c>
      <c r="AC86" s="113">
        <f t="shared" si="24"/>
        <v>2</v>
      </c>
      <c r="AD86" s="118">
        <f t="shared" si="25"/>
        <v>2</v>
      </c>
      <c r="AE86" s="119">
        <f>AC86/AC122</f>
        <v>9.1324200913242004E-3</v>
      </c>
      <c r="AF86" s="388"/>
    </row>
    <row r="87" spans="2:32">
      <c r="B87" s="393"/>
      <c r="C87" s="400"/>
      <c r="D87" s="112">
        <f>C87/C122</f>
        <v>0</v>
      </c>
      <c r="E87" s="401"/>
      <c r="F87" s="112">
        <f>E87/E122</f>
        <v>0</v>
      </c>
      <c r="G87" s="402"/>
      <c r="H87" s="112">
        <f>G87/G122</f>
        <v>0</v>
      </c>
      <c r="I87" s="403"/>
      <c r="J87" s="112">
        <f>I87/I122</f>
        <v>0</v>
      </c>
      <c r="K87" s="404"/>
      <c r="L87" s="112" t="e">
        <f>K87/K122</f>
        <v>#DIV/0!</v>
      </c>
      <c r="M87" s="113">
        <f t="shared" si="23"/>
        <v>0</v>
      </c>
      <c r="N87" s="118">
        <f t="shared" si="14"/>
        <v>0</v>
      </c>
      <c r="O87" s="119">
        <f>M87/M122</f>
        <v>0</v>
      </c>
      <c r="P87" s="19"/>
      <c r="Q87" s="18"/>
      <c r="R87" s="340"/>
      <c r="S87" s="400"/>
      <c r="T87" s="112">
        <f>S87/S122</f>
        <v>0</v>
      </c>
      <c r="U87" s="405"/>
      <c r="V87" s="112">
        <f>U87/U122</f>
        <v>0</v>
      </c>
      <c r="W87" s="406"/>
      <c r="X87" s="112">
        <f>W87/W122</f>
        <v>0</v>
      </c>
      <c r="Y87" s="403"/>
      <c r="Z87" s="112">
        <f>Y87/Y122</f>
        <v>0</v>
      </c>
      <c r="AA87" s="408"/>
      <c r="AB87" s="112" t="e">
        <f>AA87/AA122</f>
        <v>#DIV/0!</v>
      </c>
      <c r="AC87" s="113">
        <f t="shared" si="24"/>
        <v>0</v>
      </c>
      <c r="AD87" s="118">
        <f t="shared" si="25"/>
        <v>0</v>
      </c>
      <c r="AE87" s="119">
        <f>AC87/AC122</f>
        <v>0</v>
      </c>
      <c r="AF87" s="388"/>
    </row>
    <row r="88" spans="2:32">
      <c r="B88" s="393" t="s">
        <v>172</v>
      </c>
      <c r="C88" s="400">
        <v>0</v>
      </c>
      <c r="D88" s="112">
        <f>C88/C122</f>
        <v>0</v>
      </c>
      <c r="E88" s="401">
        <v>0</v>
      </c>
      <c r="F88" s="112">
        <f>E88/E122</f>
        <v>0</v>
      </c>
      <c r="G88" s="402">
        <v>0</v>
      </c>
      <c r="H88" s="112">
        <f>G88/G122</f>
        <v>0</v>
      </c>
      <c r="I88" s="403">
        <v>0</v>
      </c>
      <c r="J88" s="112">
        <f>I88/I122</f>
        <v>0</v>
      </c>
      <c r="K88" s="404">
        <v>0</v>
      </c>
      <c r="L88" s="112" t="e">
        <f>K88/K122</f>
        <v>#DIV/0!</v>
      </c>
      <c r="M88" s="113">
        <f t="shared" si="23"/>
        <v>0</v>
      </c>
      <c r="N88" s="118">
        <f t="shared" si="14"/>
        <v>0</v>
      </c>
      <c r="O88" s="119">
        <f>M88/M122</f>
        <v>0</v>
      </c>
      <c r="P88" s="19"/>
      <c r="Q88" s="18"/>
      <c r="R88" s="340" t="s">
        <v>170</v>
      </c>
      <c r="S88" s="400">
        <v>0</v>
      </c>
      <c r="T88" s="112">
        <f>S88/S122</f>
        <v>0</v>
      </c>
      <c r="U88" s="405">
        <v>0</v>
      </c>
      <c r="V88" s="112">
        <f>U88/U122</f>
        <v>0</v>
      </c>
      <c r="W88" s="406">
        <v>0</v>
      </c>
      <c r="X88" s="112">
        <f>W88/W122</f>
        <v>0</v>
      </c>
      <c r="Y88" s="403">
        <v>0</v>
      </c>
      <c r="Z88" s="112">
        <f>Y88/Y122</f>
        <v>0</v>
      </c>
      <c r="AA88" s="408">
        <v>0</v>
      </c>
      <c r="AB88" s="112" t="e">
        <f>AA88/AA122</f>
        <v>#DIV/0!</v>
      </c>
      <c r="AC88" s="113">
        <f t="shared" si="24"/>
        <v>0</v>
      </c>
      <c r="AD88" s="118">
        <f t="shared" si="25"/>
        <v>0</v>
      </c>
      <c r="AE88" s="112">
        <f>AD88/AD122</f>
        <v>0</v>
      </c>
      <c r="AF88" s="388"/>
    </row>
    <row r="89" spans="2:32">
      <c r="B89" s="393"/>
      <c r="C89" s="400"/>
      <c r="D89" s="112">
        <f>C89/C122</f>
        <v>0</v>
      </c>
      <c r="E89" s="401"/>
      <c r="F89" s="112">
        <f>E89/E122</f>
        <v>0</v>
      </c>
      <c r="G89" s="402"/>
      <c r="H89" s="112">
        <f>G89/G122</f>
        <v>0</v>
      </c>
      <c r="I89" s="403"/>
      <c r="J89" s="112">
        <f>I89/I122</f>
        <v>0</v>
      </c>
      <c r="K89" s="404"/>
      <c r="L89" s="112" t="e">
        <f>K89/K122</f>
        <v>#DIV/0!</v>
      </c>
      <c r="M89" s="113">
        <f t="shared" si="23"/>
        <v>0</v>
      </c>
      <c r="N89" s="118">
        <f t="shared" si="14"/>
        <v>0</v>
      </c>
      <c r="O89" s="112">
        <f>N89/N122</f>
        <v>0</v>
      </c>
      <c r="P89" s="19"/>
      <c r="Q89" s="18"/>
      <c r="R89" s="340"/>
      <c r="S89" s="400"/>
      <c r="T89" s="112">
        <f>S89/S122</f>
        <v>0</v>
      </c>
      <c r="U89" s="405"/>
      <c r="V89" s="112">
        <f>U89/U122</f>
        <v>0</v>
      </c>
      <c r="W89" s="406"/>
      <c r="X89" s="112">
        <f>W89/W122</f>
        <v>0</v>
      </c>
      <c r="Y89" s="403"/>
      <c r="Z89" s="112">
        <f>Y89/Y122</f>
        <v>0</v>
      </c>
      <c r="AA89" s="408"/>
      <c r="AB89" s="112" t="e">
        <f>AA89/AA122</f>
        <v>#DIV/0!</v>
      </c>
      <c r="AC89" s="113">
        <f t="shared" si="24"/>
        <v>0</v>
      </c>
      <c r="AD89" s="118">
        <f t="shared" si="25"/>
        <v>0</v>
      </c>
      <c r="AE89" s="112">
        <f>AD89/AD122</f>
        <v>0</v>
      </c>
      <c r="AF89" s="388"/>
    </row>
    <row r="90" spans="2:32">
      <c r="B90" s="393" t="s">
        <v>178</v>
      </c>
      <c r="C90" s="400">
        <v>0</v>
      </c>
      <c r="D90" s="112">
        <f>C90/C122</f>
        <v>0</v>
      </c>
      <c r="E90" s="401">
        <v>0</v>
      </c>
      <c r="F90" s="112">
        <f>E90/E122</f>
        <v>0</v>
      </c>
      <c r="G90" s="402">
        <v>0</v>
      </c>
      <c r="H90" s="112">
        <f>G90/G122</f>
        <v>0</v>
      </c>
      <c r="I90" s="403">
        <v>0</v>
      </c>
      <c r="J90" s="112">
        <f>I90/I122</f>
        <v>0</v>
      </c>
      <c r="K90" s="404">
        <v>0</v>
      </c>
      <c r="L90" s="112" t="e">
        <f>K90/K122</f>
        <v>#DIV/0!</v>
      </c>
      <c r="M90" s="113">
        <f t="shared" si="23"/>
        <v>0</v>
      </c>
      <c r="N90" s="118">
        <f t="shared" si="14"/>
        <v>0</v>
      </c>
      <c r="O90" s="112">
        <f>N90/N122</f>
        <v>0</v>
      </c>
      <c r="P90" s="19"/>
      <c r="Q90" s="18"/>
      <c r="R90" s="340" t="s">
        <v>179</v>
      </c>
      <c r="S90" s="400">
        <v>0</v>
      </c>
      <c r="T90" s="112">
        <f>S90/S122</f>
        <v>0</v>
      </c>
      <c r="U90" s="405">
        <v>0</v>
      </c>
      <c r="V90" s="112">
        <f>U90/U122</f>
        <v>0</v>
      </c>
      <c r="W90" s="406">
        <v>0</v>
      </c>
      <c r="X90" s="112">
        <f>W90/W122</f>
        <v>0</v>
      </c>
      <c r="Y90" s="403">
        <v>0</v>
      </c>
      <c r="Z90" s="112">
        <f>Y90/Y122</f>
        <v>0</v>
      </c>
      <c r="AA90" s="408">
        <v>0</v>
      </c>
      <c r="AB90" s="112" t="e">
        <f>AA90/AA122</f>
        <v>#DIV/0!</v>
      </c>
      <c r="AC90" s="113">
        <f t="shared" si="24"/>
        <v>0</v>
      </c>
      <c r="AD90" s="118">
        <f t="shared" si="25"/>
        <v>0</v>
      </c>
      <c r="AE90" s="112">
        <f>AD90/AD122</f>
        <v>0</v>
      </c>
      <c r="AF90" s="388"/>
    </row>
    <row r="91" spans="2:32">
      <c r="B91" s="393"/>
      <c r="C91" s="400"/>
      <c r="D91" s="112">
        <f>C91/C122</f>
        <v>0</v>
      </c>
      <c r="E91" s="401"/>
      <c r="F91" s="112">
        <f>E91/E122</f>
        <v>0</v>
      </c>
      <c r="G91" s="402"/>
      <c r="H91" s="112">
        <f>G91/G122</f>
        <v>0</v>
      </c>
      <c r="I91" s="403"/>
      <c r="J91" s="112">
        <f>I91/I122</f>
        <v>0</v>
      </c>
      <c r="K91" s="404"/>
      <c r="L91" s="112" t="e">
        <f>K91/K122</f>
        <v>#DIV/0!</v>
      </c>
      <c r="M91" s="113">
        <f t="shared" si="23"/>
        <v>0</v>
      </c>
      <c r="N91" s="118">
        <f t="shared" si="14"/>
        <v>0</v>
      </c>
      <c r="O91" s="112">
        <f>N91/N122</f>
        <v>0</v>
      </c>
      <c r="P91" s="19"/>
      <c r="Q91" s="18"/>
      <c r="R91" s="340"/>
      <c r="S91" s="400"/>
      <c r="T91" s="112">
        <f>S91/S122</f>
        <v>0</v>
      </c>
      <c r="U91" s="405"/>
      <c r="V91" s="112">
        <f>U91/U122</f>
        <v>0</v>
      </c>
      <c r="W91" s="406"/>
      <c r="X91" s="112">
        <f>W91/W122</f>
        <v>0</v>
      </c>
      <c r="Y91" s="403"/>
      <c r="Z91" s="112">
        <f>Y91/Y122</f>
        <v>0</v>
      </c>
      <c r="AA91" s="408"/>
      <c r="AB91" s="112" t="e">
        <f>AA91/AA122</f>
        <v>#DIV/0!</v>
      </c>
      <c r="AC91" s="113">
        <f t="shared" si="24"/>
        <v>0</v>
      </c>
      <c r="AD91" s="118">
        <f t="shared" si="25"/>
        <v>0</v>
      </c>
      <c r="AE91" s="112">
        <f>AD91/AD122</f>
        <v>0</v>
      </c>
      <c r="AF91" s="388"/>
    </row>
    <row r="92" spans="2:32">
      <c r="B92" s="393" t="s">
        <v>186</v>
      </c>
      <c r="C92" s="400">
        <v>0</v>
      </c>
      <c r="D92" s="112">
        <f>C92/C122</f>
        <v>0</v>
      </c>
      <c r="E92" s="401">
        <v>0</v>
      </c>
      <c r="F92" s="112">
        <f>E92/E122</f>
        <v>0</v>
      </c>
      <c r="G92" s="402">
        <v>0</v>
      </c>
      <c r="H92" s="112">
        <f>G92/G122</f>
        <v>0</v>
      </c>
      <c r="I92" s="403">
        <v>0</v>
      </c>
      <c r="J92" s="112">
        <f>I92/I122</f>
        <v>0</v>
      </c>
      <c r="K92" s="404">
        <v>0</v>
      </c>
      <c r="L92" s="112" t="e">
        <f>K92/K122</f>
        <v>#DIV/0!</v>
      </c>
      <c r="M92" s="113">
        <f t="shared" si="23"/>
        <v>0</v>
      </c>
      <c r="N92" s="118">
        <f t="shared" si="14"/>
        <v>0</v>
      </c>
      <c r="O92" s="112">
        <f>N92/N122</f>
        <v>0</v>
      </c>
      <c r="P92" s="19"/>
      <c r="Q92" s="18"/>
      <c r="R92" s="340" t="s">
        <v>187</v>
      </c>
      <c r="S92" s="400">
        <v>0</v>
      </c>
      <c r="T92" s="112">
        <f>S92/S122</f>
        <v>0</v>
      </c>
      <c r="U92" s="405">
        <v>0</v>
      </c>
      <c r="V92" s="112">
        <f>U92/U122</f>
        <v>0</v>
      </c>
      <c r="W92" s="406">
        <v>0</v>
      </c>
      <c r="X92" s="112">
        <f>W92/W122</f>
        <v>0</v>
      </c>
      <c r="Y92" s="403">
        <v>0</v>
      </c>
      <c r="Z92" s="112">
        <f>Y92/Y122</f>
        <v>0</v>
      </c>
      <c r="AA92" s="408">
        <v>0</v>
      </c>
      <c r="AB92" s="112" t="e">
        <f>AA92/AA122</f>
        <v>#DIV/0!</v>
      </c>
      <c r="AC92" s="113">
        <f t="shared" si="24"/>
        <v>0</v>
      </c>
      <c r="AD92" s="118">
        <f t="shared" si="25"/>
        <v>0</v>
      </c>
      <c r="AE92" s="112">
        <f>AD92/AD122</f>
        <v>0</v>
      </c>
      <c r="AF92" s="388"/>
    </row>
    <row r="93" spans="2:32">
      <c r="B93" s="393"/>
      <c r="C93" s="400"/>
      <c r="D93" s="112">
        <f>C93/C122</f>
        <v>0</v>
      </c>
      <c r="E93" s="401"/>
      <c r="F93" s="112">
        <f>E93/E122</f>
        <v>0</v>
      </c>
      <c r="G93" s="402"/>
      <c r="H93" s="112">
        <f>G93/G122</f>
        <v>0</v>
      </c>
      <c r="I93" s="403"/>
      <c r="J93" s="112">
        <f>I93/I122</f>
        <v>0</v>
      </c>
      <c r="K93" s="404"/>
      <c r="L93" s="112" t="e">
        <f>K93/K122</f>
        <v>#DIV/0!</v>
      </c>
      <c r="M93" s="113">
        <f t="shared" si="23"/>
        <v>0</v>
      </c>
      <c r="N93" s="118">
        <f t="shared" si="14"/>
        <v>0</v>
      </c>
      <c r="O93" s="112">
        <f>N93/N122</f>
        <v>0</v>
      </c>
      <c r="P93" s="19"/>
      <c r="Q93" s="18"/>
      <c r="R93" s="340"/>
      <c r="S93" s="400"/>
      <c r="T93" s="112">
        <f>S93/S122</f>
        <v>0</v>
      </c>
      <c r="U93" s="405"/>
      <c r="V93" s="112">
        <f>U93/U122</f>
        <v>0</v>
      </c>
      <c r="W93" s="406"/>
      <c r="X93" s="112">
        <f>W93/W122</f>
        <v>0</v>
      </c>
      <c r="Y93" s="403"/>
      <c r="Z93" s="112">
        <f>Y93/Y122</f>
        <v>0</v>
      </c>
      <c r="AA93" s="408"/>
      <c r="AB93" s="112" t="e">
        <f>AA93/AA122</f>
        <v>#DIV/0!</v>
      </c>
      <c r="AC93" s="113">
        <f t="shared" si="24"/>
        <v>0</v>
      </c>
      <c r="AD93" s="118">
        <f t="shared" si="25"/>
        <v>0</v>
      </c>
      <c r="AE93" s="112">
        <f>AD93/AD122</f>
        <v>0</v>
      </c>
      <c r="AF93" s="388"/>
    </row>
    <row r="94" spans="2:32">
      <c r="B94" s="389" t="s">
        <v>190</v>
      </c>
      <c r="C94" s="400">
        <v>0</v>
      </c>
      <c r="D94" s="112">
        <f>C94/C122</f>
        <v>0</v>
      </c>
      <c r="E94" s="401">
        <v>0</v>
      </c>
      <c r="F94" s="112">
        <f>E94/E122</f>
        <v>0</v>
      </c>
      <c r="G94" s="402">
        <v>0</v>
      </c>
      <c r="H94" s="112">
        <f>G94/G122</f>
        <v>0</v>
      </c>
      <c r="I94" s="403">
        <v>0</v>
      </c>
      <c r="J94" s="112">
        <f>I94/I122</f>
        <v>0</v>
      </c>
      <c r="K94" s="404">
        <v>0</v>
      </c>
      <c r="L94" s="112" t="e">
        <f>K94/K122</f>
        <v>#DIV/0!</v>
      </c>
      <c r="M94" s="113">
        <f t="shared" si="23"/>
        <v>0</v>
      </c>
      <c r="N94" s="118">
        <f t="shared" si="14"/>
        <v>0</v>
      </c>
      <c r="O94" s="112">
        <f>N94/N122</f>
        <v>0</v>
      </c>
      <c r="P94" s="18"/>
      <c r="Q94" s="18"/>
      <c r="R94" s="122" t="s">
        <v>189</v>
      </c>
      <c r="S94" s="400">
        <v>0</v>
      </c>
      <c r="T94" s="112">
        <f>S94/S122</f>
        <v>0</v>
      </c>
      <c r="U94" s="405">
        <v>0</v>
      </c>
      <c r="V94" s="112">
        <f>U94/U122</f>
        <v>0</v>
      </c>
      <c r="W94" s="406">
        <v>0</v>
      </c>
      <c r="X94" s="112">
        <f>W94/W122</f>
        <v>0</v>
      </c>
      <c r="Y94" s="403">
        <v>0</v>
      </c>
      <c r="Z94" s="112">
        <f>Y94/Y122</f>
        <v>0</v>
      </c>
      <c r="AA94" s="408">
        <v>0</v>
      </c>
      <c r="AB94" s="112" t="e">
        <f>AA94/AA122</f>
        <v>#DIV/0!</v>
      </c>
      <c r="AC94" s="113">
        <f t="shared" si="24"/>
        <v>0</v>
      </c>
      <c r="AD94" s="118">
        <f t="shared" si="25"/>
        <v>0</v>
      </c>
      <c r="AE94" s="112">
        <f>AD94/AD122</f>
        <v>0</v>
      </c>
      <c r="AF94" s="388"/>
    </row>
    <row r="95" spans="2:32">
      <c r="B95" s="389"/>
      <c r="C95" s="400"/>
      <c r="D95" s="112">
        <f>C95/C122</f>
        <v>0</v>
      </c>
      <c r="E95" s="401"/>
      <c r="F95" s="112">
        <f>E95/E122</f>
        <v>0</v>
      </c>
      <c r="G95" s="402"/>
      <c r="H95" s="112">
        <f>G95/G122</f>
        <v>0</v>
      </c>
      <c r="I95" s="403"/>
      <c r="J95" s="112">
        <f>I95/I122</f>
        <v>0</v>
      </c>
      <c r="K95" s="404"/>
      <c r="L95" s="112" t="e">
        <f>K95/K122</f>
        <v>#DIV/0!</v>
      </c>
      <c r="M95" s="113">
        <f t="shared" si="23"/>
        <v>0</v>
      </c>
      <c r="N95" s="118">
        <f t="shared" si="14"/>
        <v>0</v>
      </c>
      <c r="O95" s="112">
        <f>N95/N122</f>
        <v>0</v>
      </c>
      <c r="P95" s="18"/>
      <c r="Q95" s="18"/>
      <c r="R95" s="122"/>
      <c r="S95" s="400"/>
      <c r="T95" s="112">
        <f>S95/S122</f>
        <v>0</v>
      </c>
      <c r="U95" s="405"/>
      <c r="V95" s="112">
        <f>U95/U122</f>
        <v>0</v>
      </c>
      <c r="W95" s="406"/>
      <c r="X95" s="112">
        <f>W95/W122</f>
        <v>0</v>
      </c>
      <c r="Y95" s="403"/>
      <c r="Z95" s="112">
        <f>Y95/Y122</f>
        <v>0</v>
      </c>
      <c r="AA95" s="408"/>
      <c r="AB95" s="112" t="e">
        <f>AA95/AA122</f>
        <v>#DIV/0!</v>
      </c>
      <c r="AC95" s="113">
        <f t="shared" si="24"/>
        <v>0</v>
      </c>
      <c r="AD95" s="118">
        <f t="shared" si="25"/>
        <v>0</v>
      </c>
      <c r="AE95" s="112">
        <f>AD95/AD122</f>
        <v>0</v>
      </c>
      <c r="AF95" s="388"/>
    </row>
    <row r="96" spans="2:32">
      <c r="B96" s="393" t="s">
        <v>197</v>
      </c>
      <c r="C96" s="400">
        <v>0</v>
      </c>
      <c r="D96" s="112">
        <f>C96/C122</f>
        <v>0</v>
      </c>
      <c r="E96" s="401">
        <v>1</v>
      </c>
      <c r="F96" s="112">
        <f>E96/E122</f>
        <v>0.2</v>
      </c>
      <c r="G96" s="402">
        <v>0</v>
      </c>
      <c r="H96" s="112">
        <f>G96/G122</f>
        <v>0</v>
      </c>
      <c r="I96" s="403">
        <v>0</v>
      </c>
      <c r="J96" s="112">
        <f>I96/I122</f>
        <v>0</v>
      </c>
      <c r="K96" s="404">
        <v>0</v>
      </c>
      <c r="L96" s="112" t="e">
        <f>K96/K122</f>
        <v>#DIV/0!</v>
      </c>
      <c r="M96" s="113">
        <f t="shared" si="23"/>
        <v>1</v>
      </c>
      <c r="N96" s="118">
        <f t="shared" si="14"/>
        <v>1</v>
      </c>
      <c r="O96" s="112">
        <f>N96/N122</f>
        <v>6.2500000000000003E-3</v>
      </c>
      <c r="P96" s="18"/>
      <c r="Q96" s="18"/>
      <c r="R96" s="340" t="s">
        <v>197</v>
      </c>
      <c r="S96" s="400">
        <v>0</v>
      </c>
      <c r="T96" s="112">
        <f>S96/S122</f>
        <v>0</v>
      </c>
      <c r="U96" s="405">
        <v>1</v>
      </c>
      <c r="V96" s="112">
        <f>U96/U122</f>
        <v>0.14285714285714285</v>
      </c>
      <c r="W96" s="406">
        <v>0</v>
      </c>
      <c r="X96" s="112">
        <f>W96/W122</f>
        <v>0</v>
      </c>
      <c r="Y96" s="403">
        <v>0</v>
      </c>
      <c r="Z96" s="112">
        <f>Y96/Y122</f>
        <v>0</v>
      </c>
      <c r="AA96" s="408">
        <v>0</v>
      </c>
      <c r="AB96" s="112" t="e">
        <f>AA96/AA122</f>
        <v>#DIV/0!</v>
      </c>
      <c r="AC96" s="113">
        <f t="shared" si="24"/>
        <v>1</v>
      </c>
      <c r="AD96" s="118">
        <f t="shared" si="25"/>
        <v>1</v>
      </c>
      <c r="AE96" s="112">
        <f>AD96/AD122</f>
        <v>4.5662100456621002E-3</v>
      </c>
      <c r="AF96" s="388"/>
    </row>
    <row r="97" spans="2:32">
      <c r="B97" s="393"/>
      <c r="C97" s="400"/>
      <c r="D97" s="112">
        <f>C97/C122</f>
        <v>0</v>
      </c>
      <c r="E97" s="401"/>
      <c r="F97" s="112">
        <f>E97/E122</f>
        <v>0</v>
      </c>
      <c r="G97" s="402"/>
      <c r="H97" s="112">
        <f>G97/G122</f>
        <v>0</v>
      </c>
      <c r="I97" s="403"/>
      <c r="J97" s="112">
        <f>I97/I122</f>
        <v>0</v>
      </c>
      <c r="K97" s="404"/>
      <c r="L97" s="112" t="e">
        <f>K97/K122</f>
        <v>#DIV/0!</v>
      </c>
      <c r="M97" s="113">
        <f t="shared" si="23"/>
        <v>0</v>
      </c>
      <c r="N97" s="118">
        <f t="shared" si="14"/>
        <v>0</v>
      </c>
      <c r="O97" s="112">
        <f>N97/N122</f>
        <v>0</v>
      </c>
      <c r="P97" s="18"/>
      <c r="Q97" s="18"/>
      <c r="R97" s="340"/>
      <c r="S97" s="400"/>
      <c r="T97" s="112">
        <f>S97/S122</f>
        <v>0</v>
      </c>
      <c r="U97" s="405"/>
      <c r="V97" s="112">
        <f>U97/U122</f>
        <v>0</v>
      </c>
      <c r="W97" s="406"/>
      <c r="X97" s="112">
        <f>W97/W122</f>
        <v>0</v>
      </c>
      <c r="Y97" s="403"/>
      <c r="Z97" s="112">
        <f>Y97/Y122</f>
        <v>0</v>
      </c>
      <c r="AA97" s="408"/>
      <c r="AB97" s="112" t="e">
        <f>AA97/AA122</f>
        <v>#DIV/0!</v>
      </c>
      <c r="AC97" s="113">
        <f t="shared" si="24"/>
        <v>0</v>
      </c>
      <c r="AD97" s="118">
        <f t="shared" si="25"/>
        <v>0</v>
      </c>
      <c r="AE97" s="112">
        <f>AD97/AD122</f>
        <v>0</v>
      </c>
      <c r="AF97" s="388"/>
    </row>
    <row r="98" spans="2:32">
      <c r="B98" s="393" t="s">
        <v>199</v>
      </c>
      <c r="C98" s="400">
        <v>0</v>
      </c>
      <c r="D98" s="112">
        <f>C98/C122</f>
        <v>0</v>
      </c>
      <c r="E98" s="401">
        <v>0</v>
      </c>
      <c r="F98" s="112">
        <f>E98/E122</f>
        <v>0</v>
      </c>
      <c r="G98" s="402">
        <v>0</v>
      </c>
      <c r="H98" s="112">
        <f>G98/G122</f>
        <v>0</v>
      </c>
      <c r="I98" s="403">
        <v>0</v>
      </c>
      <c r="J98" s="112">
        <f>I98/I122</f>
        <v>0</v>
      </c>
      <c r="K98" s="404">
        <v>0</v>
      </c>
      <c r="L98" s="112" t="e">
        <f>K98/K122</f>
        <v>#DIV/0!</v>
      </c>
      <c r="M98" s="113">
        <f t="shared" si="23"/>
        <v>0</v>
      </c>
      <c r="N98" s="118">
        <f t="shared" si="14"/>
        <v>0</v>
      </c>
      <c r="O98" s="112">
        <f>N98/N122</f>
        <v>0</v>
      </c>
      <c r="P98" s="18"/>
      <c r="Q98" s="18"/>
      <c r="R98" s="340" t="s">
        <v>195</v>
      </c>
      <c r="S98" s="400">
        <v>0</v>
      </c>
      <c r="T98" s="112">
        <f>S98/S122</f>
        <v>0</v>
      </c>
      <c r="U98" s="405">
        <v>0</v>
      </c>
      <c r="V98" s="112">
        <f>U98/U122</f>
        <v>0</v>
      </c>
      <c r="W98" s="406">
        <v>0</v>
      </c>
      <c r="X98" s="112">
        <f>W98/W122</f>
        <v>0</v>
      </c>
      <c r="Y98" s="403">
        <v>0</v>
      </c>
      <c r="Z98" s="112">
        <f>Y98/Y122</f>
        <v>0</v>
      </c>
      <c r="AA98" s="408">
        <v>0</v>
      </c>
      <c r="AB98" s="112" t="e">
        <f>AA98/AA122</f>
        <v>#DIV/0!</v>
      </c>
      <c r="AC98" s="113">
        <f t="shared" si="24"/>
        <v>0</v>
      </c>
      <c r="AD98" s="118">
        <f t="shared" si="25"/>
        <v>0</v>
      </c>
      <c r="AE98" s="112">
        <f>AD98/AD122</f>
        <v>0</v>
      </c>
      <c r="AF98" s="388"/>
    </row>
    <row r="99" spans="2:32">
      <c r="B99" s="393"/>
      <c r="C99" s="400"/>
      <c r="D99" s="112">
        <f>C99/C122</f>
        <v>0</v>
      </c>
      <c r="E99" s="401"/>
      <c r="F99" s="112">
        <f>E99/E122</f>
        <v>0</v>
      </c>
      <c r="G99" s="402"/>
      <c r="H99" s="112">
        <f>G99/G122</f>
        <v>0</v>
      </c>
      <c r="I99" s="403"/>
      <c r="J99" s="112">
        <f>I99/I122</f>
        <v>0</v>
      </c>
      <c r="K99" s="404"/>
      <c r="L99" s="112" t="e">
        <f>K99/K122</f>
        <v>#DIV/0!</v>
      </c>
      <c r="M99" s="113">
        <f t="shared" si="23"/>
        <v>0</v>
      </c>
      <c r="N99" s="118">
        <f t="shared" si="14"/>
        <v>0</v>
      </c>
      <c r="O99" s="112">
        <f>N99/N122</f>
        <v>0</v>
      </c>
      <c r="P99" s="18"/>
      <c r="Q99" s="18"/>
      <c r="R99" s="340"/>
      <c r="S99" s="400"/>
      <c r="T99" s="112">
        <f>S99/S122</f>
        <v>0</v>
      </c>
      <c r="U99" s="405"/>
      <c r="V99" s="112">
        <f>U99/U122</f>
        <v>0</v>
      </c>
      <c r="W99" s="406"/>
      <c r="X99" s="112">
        <f>W99/W122</f>
        <v>0</v>
      </c>
      <c r="Y99" s="403"/>
      <c r="Z99" s="112">
        <f>Y99/Y122</f>
        <v>0</v>
      </c>
      <c r="AA99" s="408"/>
      <c r="AB99" s="112" t="e">
        <f>AA99/AA122</f>
        <v>#DIV/0!</v>
      </c>
      <c r="AC99" s="113">
        <f t="shared" si="24"/>
        <v>0</v>
      </c>
      <c r="AD99" s="118">
        <f t="shared" si="25"/>
        <v>0</v>
      </c>
      <c r="AE99" s="112">
        <f>AD99/AD122</f>
        <v>0</v>
      </c>
      <c r="AF99" s="388"/>
    </row>
    <row r="100" spans="2:32">
      <c r="B100" s="393" t="s">
        <v>207</v>
      </c>
      <c r="C100" s="400">
        <v>0</v>
      </c>
      <c r="D100" s="112">
        <f>C100/C122</f>
        <v>0</v>
      </c>
      <c r="E100" s="401">
        <v>0</v>
      </c>
      <c r="F100" s="112">
        <f>E100/E122</f>
        <v>0</v>
      </c>
      <c r="G100" s="402">
        <v>0</v>
      </c>
      <c r="H100" s="112">
        <f>G100/G122</f>
        <v>0</v>
      </c>
      <c r="I100" s="403">
        <v>0</v>
      </c>
      <c r="J100" s="112">
        <f>I100/I122</f>
        <v>0</v>
      </c>
      <c r="K100" s="404">
        <v>0</v>
      </c>
      <c r="L100" s="112" t="e">
        <f>K100/K122</f>
        <v>#DIV/0!</v>
      </c>
      <c r="M100" s="113">
        <f t="shared" si="23"/>
        <v>0</v>
      </c>
      <c r="N100" s="118">
        <f t="shared" si="14"/>
        <v>0</v>
      </c>
      <c r="O100" s="112">
        <f>N100/N122</f>
        <v>0</v>
      </c>
      <c r="P100" s="18"/>
      <c r="Q100" s="18"/>
      <c r="R100" s="340" t="s">
        <v>198</v>
      </c>
      <c r="S100" s="400">
        <v>0</v>
      </c>
      <c r="T100" s="112">
        <f>S100/S122</f>
        <v>0</v>
      </c>
      <c r="U100" s="405">
        <v>0</v>
      </c>
      <c r="V100" s="112">
        <f>U100/U122</f>
        <v>0</v>
      </c>
      <c r="W100" s="406">
        <v>0</v>
      </c>
      <c r="X100" s="112">
        <f>W100/W122</f>
        <v>0</v>
      </c>
      <c r="Y100" s="403">
        <v>0</v>
      </c>
      <c r="Z100" s="112">
        <f>Y100/Y122</f>
        <v>0</v>
      </c>
      <c r="AA100" s="408">
        <v>0</v>
      </c>
      <c r="AB100" s="112" t="e">
        <f>AA100/AA122</f>
        <v>#DIV/0!</v>
      </c>
      <c r="AC100" s="113">
        <f t="shared" si="24"/>
        <v>0</v>
      </c>
      <c r="AD100" s="118">
        <f t="shared" si="25"/>
        <v>0</v>
      </c>
      <c r="AE100" s="112">
        <f>AD100/AD122</f>
        <v>0</v>
      </c>
      <c r="AF100" s="388"/>
    </row>
    <row r="101" spans="2:32">
      <c r="B101" s="393"/>
      <c r="C101" s="400"/>
      <c r="D101" s="112">
        <f>C101/C122</f>
        <v>0</v>
      </c>
      <c r="E101" s="401"/>
      <c r="F101" s="112">
        <f>E101/E122</f>
        <v>0</v>
      </c>
      <c r="G101" s="402"/>
      <c r="H101" s="112">
        <f>G101/G122</f>
        <v>0</v>
      </c>
      <c r="I101" s="403"/>
      <c r="J101" s="112">
        <f>I101/I122</f>
        <v>0</v>
      </c>
      <c r="K101" s="404"/>
      <c r="L101" s="112" t="e">
        <f>K101/K122</f>
        <v>#DIV/0!</v>
      </c>
      <c r="M101" s="113">
        <f t="shared" si="23"/>
        <v>0</v>
      </c>
      <c r="N101" s="118">
        <f t="shared" si="14"/>
        <v>0</v>
      </c>
      <c r="O101" s="112">
        <f>N101/N122</f>
        <v>0</v>
      </c>
      <c r="P101" s="18"/>
      <c r="Q101" s="18"/>
      <c r="R101" s="17"/>
      <c r="S101" s="400"/>
      <c r="T101" s="112">
        <f>S101/S122</f>
        <v>0</v>
      </c>
      <c r="U101" s="405"/>
      <c r="V101" s="112">
        <f>U101/U122</f>
        <v>0</v>
      </c>
      <c r="W101" s="406"/>
      <c r="X101" s="112">
        <f>W101/W122</f>
        <v>0</v>
      </c>
      <c r="Y101" s="403"/>
      <c r="Z101" s="112">
        <f>Y101/Y122</f>
        <v>0</v>
      </c>
      <c r="AA101" s="408"/>
      <c r="AB101" s="112" t="e">
        <f>AA101/AA122</f>
        <v>#DIV/0!</v>
      </c>
      <c r="AC101" s="113">
        <f t="shared" si="24"/>
        <v>0</v>
      </c>
      <c r="AD101" s="118">
        <f t="shared" si="25"/>
        <v>0</v>
      </c>
      <c r="AE101" s="112">
        <f>AD101/AD122</f>
        <v>0</v>
      </c>
      <c r="AF101" s="388"/>
    </row>
    <row r="102" spans="2:32">
      <c r="B102" s="393" t="s">
        <v>196</v>
      </c>
      <c r="C102" s="400">
        <v>0</v>
      </c>
      <c r="D102" s="112">
        <f>C102/C122</f>
        <v>0</v>
      </c>
      <c r="E102" s="401">
        <v>0</v>
      </c>
      <c r="F102" s="112">
        <f>E102/E122</f>
        <v>0</v>
      </c>
      <c r="G102" s="402">
        <v>0</v>
      </c>
      <c r="H102" s="112">
        <f>G102/G122</f>
        <v>0</v>
      </c>
      <c r="I102" s="403">
        <v>0</v>
      </c>
      <c r="J102" s="112">
        <f>I102/I122</f>
        <v>0</v>
      </c>
      <c r="K102" s="404">
        <v>0</v>
      </c>
      <c r="L102" s="112" t="e">
        <f>K102/K122</f>
        <v>#DIV/0!</v>
      </c>
      <c r="M102" s="113">
        <f t="shared" si="23"/>
        <v>0</v>
      </c>
      <c r="N102" s="118">
        <f t="shared" si="14"/>
        <v>0</v>
      </c>
      <c r="O102" s="112">
        <f>N102/N122</f>
        <v>0</v>
      </c>
      <c r="P102" s="18"/>
      <c r="Q102" s="18"/>
      <c r="R102" s="17" t="s">
        <v>196</v>
      </c>
      <c r="S102" s="400">
        <v>0</v>
      </c>
      <c r="T102" s="112">
        <f>S102/S122</f>
        <v>0</v>
      </c>
      <c r="U102" s="405">
        <v>0</v>
      </c>
      <c r="V102" s="112">
        <f>U102/U122</f>
        <v>0</v>
      </c>
      <c r="W102" s="406">
        <v>0</v>
      </c>
      <c r="X102" s="112">
        <f>W102/W122</f>
        <v>0</v>
      </c>
      <c r="Y102" s="403">
        <v>0</v>
      </c>
      <c r="Z102" s="112">
        <f>Y102/Y122</f>
        <v>0</v>
      </c>
      <c r="AA102" s="408">
        <v>0</v>
      </c>
      <c r="AB102" s="112" t="e">
        <f>AA102/AA122</f>
        <v>#DIV/0!</v>
      </c>
      <c r="AC102" s="113">
        <f t="shared" si="24"/>
        <v>0</v>
      </c>
      <c r="AD102" s="118">
        <f t="shared" si="25"/>
        <v>0</v>
      </c>
      <c r="AE102" s="112">
        <f>AD102/AD122</f>
        <v>0</v>
      </c>
      <c r="AF102" s="388"/>
    </row>
    <row r="103" spans="2:32">
      <c r="B103" s="393"/>
      <c r="C103" s="400"/>
      <c r="D103" s="112">
        <f>C103/C122</f>
        <v>0</v>
      </c>
      <c r="E103" s="401"/>
      <c r="F103" s="112">
        <f>E103/E122</f>
        <v>0</v>
      </c>
      <c r="G103" s="402"/>
      <c r="H103" s="112">
        <f>G103/G122</f>
        <v>0</v>
      </c>
      <c r="I103" s="403"/>
      <c r="J103" s="112">
        <f>I103/I122</f>
        <v>0</v>
      </c>
      <c r="K103" s="404"/>
      <c r="L103" s="112" t="e">
        <f>K103/K122</f>
        <v>#DIV/0!</v>
      </c>
      <c r="M103" s="113">
        <f t="shared" si="23"/>
        <v>0</v>
      </c>
      <c r="N103" s="118">
        <f t="shared" si="14"/>
        <v>0</v>
      </c>
      <c r="O103" s="112">
        <f>N103/N122</f>
        <v>0</v>
      </c>
      <c r="P103" s="18"/>
      <c r="Q103" s="18"/>
      <c r="R103" s="17"/>
      <c r="S103" s="400"/>
      <c r="T103" s="112">
        <f>S103/S122</f>
        <v>0</v>
      </c>
      <c r="U103" s="405"/>
      <c r="V103" s="112">
        <f>U103/U122</f>
        <v>0</v>
      </c>
      <c r="W103" s="406"/>
      <c r="X103" s="112">
        <f>W103/W122</f>
        <v>0</v>
      </c>
      <c r="Y103" s="403"/>
      <c r="Z103" s="112">
        <f>Y103/Y122</f>
        <v>0</v>
      </c>
      <c r="AA103" s="408"/>
      <c r="AB103" s="112" t="e">
        <f>AA103/AA122</f>
        <v>#DIV/0!</v>
      </c>
      <c r="AC103" s="113">
        <f t="shared" si="24"/>
        <v>0</v>
      </c>
      <c r="AD103" s="118">
        <f t="shared" si="25"/>
        <v>0</v>
      </c>
      <c r="AE103" s="112">
        <f>AD103/AD122</f>
        <v>0</v>
      </c>
      <c r="AF103" s="388"/>
    </row>
    <row r="104" spans="2:32">
      <c r="B104" s="393" t="s">
        <v>213</v>
      </c>
      <c r="C104" s="400">
        <v>0</v>
      </c>
      <c r="D104" s="112">
        <f>C104/C122</f>
        <v>0</v>
      </c>
      <c r="E104" s="401">
        <v>0</v>
      </c>
      <c r="F104" s="112">
        <f>E104/E122</f>
        <v>0</v>
      </c>
      <c r="G104" s="402">
        <v>0</v>
      </c>
      <c r="H104" s="112">
        <f>G104/G122</f>
        <v>0</v>
      </c>
      <c r="I104" s="403">
        <v>0</v>
      </c>
      <c r="J104" s="112">
        <f>I104/I122</f>
        <v>0</v>
      </c>
      <c r="K104" s="404">
        <v>0</v>
      </c>
      <c r="L104" s="112" t="e">
        <f>K104/K122</f>
        <v>#DIV/0!</v>
      </c>
      <c r="M104" s="113">
        <f t="shared" si="23"/>
        <v>0</v>
      </c>
      <c r="N104" s="118">
        <f t="shared" si="14"/>
        <v>0</v>
      </c>
      <c r="O104" s="112">
        <f>N104/N122</f>
        <v>0</v>
      </c>
      <c r="P104" s="18"/>
      <c r="Q104" s="18"/>
      <c r="R104" s="17" t="s">
        <v>209</v>
      </c>
      <c r="S104" s="400">
        <v>0</v>
      </c>
      <c r="T104" s="112">
        <f>S104/S122</f>
        <v>0</v>
      </c>
      <c r="U104" s="405">
        <v>0</v>
      </c>
      <c r="V104" s="112">
        <f>U104/U122</f>
        <v>0</v>
      </c>
      <c r="W104" s="406">
        <v>0</v>
      </c>
      <c r="X104" s="112">
        <f>W104/W122</f>
        <v>0</v>
      </c>
      <c r="Y104" s="403">
        <v>0</v>
      </c>
      <c r="Z104" s="112">
        <f>Y104/Y122</f>
        <v>0</v>
      </c>
      <c r="AA104" s="408">
        <v>0</v>
      </c>
      <c r="AB104" s="112" t="e">
        <f>AA104/AA122</f>
        <v>#DIV/0!</v>
      </c>
      <c r="AC104" s="113">
        <f t="shared" si="24"/>
        <v>0</v>
      </c>
      <c r="AD104" s="118">
        <f t="shared" si="25"/>
        <v>0</v>
      </c>
      <c r="AE104" s="112">
        <f>AD104/AD122</f>
        <v>0</v>
      </c>
      <c r="AF104" s="388"/>
    </row>
    <row r="105" spans="2:32">
      <c r="B105" s="393"/>
      <c r="C105" s="400"/>
      <c r="D105" s="112">
        <f>C105/C122</f>
        <v>0</v>
      </c>
      <c r="E105" s="401"/>
      <c r="F105" s="112">
        <f>E105/E122</f>
        <v>0</v>
      </c>
      <c r="G105" s="402"/>
      <c r="H105" s="112">
        <f>G105/G122</f>
        <v>0</v>
      </c>
      <c r="I105" s="403"/>
      <c r="J105" s="112">
        <f>I105/I122</f>
        <v>0</v>
      </c>
      <c r="K105" s="404"/>
      <c r="L105" s="112" t="e">
        <f>K105/K122</f>
        <v>#DIV/0!</v>
      </c>
      <c r="M105" s="113">
        <f t="shared" si="23"/>
        <v>0</v>
      </c>
      <c r="N105" s="118">
        <f t="shared" si="14"/>
        <v>0</v>
      </c>
      <c r="O105" s="112">
        <f>N105/N122</f>
        <v>0</v>
      </c>
      <c r="P105" s="18"/>
      <c r="Q105" s="18"/>
      <c r="R105" s="17"/>
      <c r="S105" s="400"/>
      <c r="T105" s="112">
        <f>S105/S122</f>
        <v>0</v>
      </c>
      <c r="U105" s="405"/>
      <c r="V105" s="112">
        <f>U105/U122</f>
        <v>0</v>
      </c>
      <c r="W105" s="406"/>
      <c r="X105" s="112">
        <f>W105/W122</f>
        <v>0</v>
      </c>
      <c r="Y105" s="403"/>
      <c r="Z105" s="112">
        <f>Y105/Y122</f>
        <v>0</v>
      </c>
      <c r="AA105" s="408"/>
      <c r="AB105" s="112" t="e">
        <f>AA105/AA122</f>
        <v>#DIV/0!</v>
      </c>
      <c r="AC105" s="113">
        <f t="shared" si="24"/>
        <v>0</v>
      </c>
      <c r="AD105" s="118">
        <f t="shared" si="25"/>
        <v>0</v>
      </c>
      <c r="AE105" s="112">
        <f>AD105/AD122</f>
        <v>0</v>
      </c>
      <c r="AF105" s="388"/>
    </row>
    <row r="106" spans="2:32">
      <c r="B106" s="393" t="s">
        <v>211</v>
      </c>
      <c r="C106" s="400">
        <v>0</v>
      </c>
      <c r="D106" s="112">
        <f>C106/C122</f>
        <v>0</v>
      </c>
      <c r="E106" s="401">
        <v>0</v>
      </c>
      <c r="F106" s="112">
        <f>E106/E122</f>
        <v>0</v>
      </c>
      <c r="G106" s="402">
        <v>0</v>
      </c>
      <c r="H106" s="112">
        <f>G106/G122</f>
        <v>0</v>
      </c>
      <c r="I106" s="403">
        <v>0</v>
      </c>
      <c r="J106" s="112">
        <f>I106/I122</f>
        <v>0</v>
      </c>
      <c r="K106" s="404">
        <v>0</v>
      </c>
      <c r="L106" s="112" t="e">
        <f>K106/K122</f>
        <v>#DIV/0!</v>
      </c>
      <c r="M106" s="113">
        <f t="shared" si="23"/>
        <v>0</v>
      </c>
      <c r="N106" s="118">
        <f t="shared" si="14"/>
        <v>0</v>
      </c>
      <c r="O106" s="112">
        <f>N106/N122</f>
        <v>0</v>
      </c>
      <c r="P106" s="18"/>
      <c r="Q106" s="18"/>
      <c r="R106" s="17" t="s">
        <v>211</v>
      </c>
      <c r="S106" s="400">
        <v>0</v>
      </c>
      <c r="T106" s="112">
        <f>S106/S122</f>
        <v>0</v>
      </c>
      <c r="U106" s="405">
        <v>0</v>
      </c>
      <c r="V106" s="112">
        <f>U106/U122</f>
        <v>0</v>
      </c>
      <c r="W106" s="406">
        <v>0</v>
      </c>
      <c r="X106" s="112">
        <f>W106/W122</f>
        <v>0</v>
      </c>
      <c r="Y106" s="403">
        <v>0</v>
      </c>
      <c r="Z106" s="112">
        <f>Y106/Y122</f>
        <v>0</v>
      </c>
      <c r="AA106" s="408">
        <v>0</v>
      </c>
      <c r="AB106" s="112" t="e">
        <f>AA106/AA122</f>
        <v>#DIV/0!</v>
      </c>
      <c r="AC106" s="113">
        <f t="shared" si="24"/>
        <v>0</v>
      </c>
      <c r="AD106" s="118">
        <f t="shared" si="25"/>
        <v>0</v>
      </c>
      <c r="AE106" s="112">
        <f>AD106/AD122</f>
        <v>0</v>
      </c>
      <c r="AF106" s="388"/>
    </row>
    <row r="107" spans="2:32">
      <c r="B107" s="393"/>
      <c r="C107" s="400"/>
      <c r="D107" s="112">
        <f>C107/C122</f>
        <v>0</v>
      </c>
      <c r="E107" s="401"/>
      <c r="F107" s="112">
        <f>E107/E122</f>
        <v>0</v>
      </c>
      <c r="G107" s="402"/>
      <c r="H107" s="112">
        <f>G107/G122</f>
        <v>0</v>
      </c>
      <c r="I107" s="403"/>
      <c r="J107" s="112">
        <f>I107/I122</f>
        <v>0</v>
      </c>
      <c r="K107" s="404"/>
      <c r="L107" s="112" t="e">
        <f>K107/K122</f>
        <v>#DIV/0!</v>
      </c>
      <c r="M107" s="113">
        <f t="shared" si="23"/>
        <v>0</v>
      </c>
      <c r="N107" s="118">
        <f t="shared" si="14"/>
        <v>0</v>
      </c>
      <c r="O107" s="112">
        <f>N107/N122</f>
        <v>0</v>
      </c>
      <c r="P107" s="18"/>
      <c r="Q107" s="18"/>
      <c r="R107" s="17"/>
      <c r="S107" s="400"/>
      <c r="T107" s="112">
        <f>S107/S122</f>
        <v>0</v>
      </c>
      <c r="U107" s="405"/>
      <c r="V107" s="112">
        <f>U107/U122</f>
        <v>0</v>
      </c>
      <c r="W107" s="406"/>
      <c r="X107" s="112">
        <f>W107/W122</f>
        <v>0</v>
      </c>
      <c r="Y107" s="403"/>
      <c r="Z107" s="112">
        <f>Y107/Y122</f>
        <v>0</v>
      </c>
      <c r="AA107" s="408"/>
      <c r="AB107" s="112" t="e">
        <f>AA107/AA122</f>
        <v>#DIV/0!</v>
      </c>
      <c r="AC107" s="113">
        <f t="shared" si="24"/>
        <v>0</v>
      </c>
      <c r="AD107" s="118">
        <f t="shared" si="25"/>
        <v>0</v>
      </c>
      <c r="AE107" s="112">
        <f>AD107/AD122</f>
        <v>0</v>
      </c>
      <c r="AF107" s="388"/>
    </row>
    <row r="108" spans="2:32">
      <c r="B108" s="393" t="s">
        <v>210</v>
      </c>
      <c r="C108" s="400">
        <v>0</v>
      </c>
      <c r="D108" s="112">
        <f>C108/C122</f>
        <v>0</v>
      </c>
      <c r="E108" s="401">
        <v>0</v>
      </c>
      <c r="F108" s="112">
        <f>E108/E122</f>
        <v>0</v>
      </c>
      <c r="G108" s="402">
        <v>0</v>
      </c>
      <c r="H108" s="112">
        <f>G108/G122</f>
        <v>0</v>
      </c>
      <c r="I108" s="403">
        <v>0</v>
      </c>
      <c r="J108" s="112">
        <f>I108/I122</f>
        <v>0</v>
      </c>
      <c r="K108" s="404">
        <v>0</v>
      </c>
      <c r="L108" s="112" t="e">
        <f>K108/K122</f>
        <v>#DIV/0!</v>
      </c>
      <c r="M108" s="113">
        <f>C108+E108+G108+I108+K108</f>
        <v>0</v>
      </c>
      <c r="N108" s="118">
        <f t="shared" si="14"/>
        <v>0</v>
      </c>
      <c r="O108" s="112">
        <f>N108/N122</f>
        <v>0</v>
      </c>
      <c r="P108" s="18"/>
      <c r="Q108" s="18"/>
      <c r="R108" s="17" t="s">
        <v>210</v>
      </c>
      <c r="S108" s="400">
        <v>0</v>
      </c>
      <c r="T108" s="112">
        <f>S108/S122</f>
        <v>0</v>
      </c>
      <c r="U108" s="405">
        <v>0</v>
      </c>
      <c r="V108" s="112">
        <f>U108/U122</f>
        <v>0</v>
      </c>
      <c r="W108" s="406">
        <v>0</v>
      </c>
      <c r="X108" s="112">
        <f>W108/W122</f>
        <v>0</v>
      </c>
      <c r="Y108" s="403">
        <v>0</v>
      </c>
      <c r="Z108" s="112">
        <f>Y108/Y122</f>
        <v>0</v>
      </c>
      <c r="AA108" s="408">
        <v>0</v>
      </c>
      <c r="AB108" s="112" t="e">
        <f>AA108/AA122</f>
        <v>#DIV/0!</v>
      </c>
      <c r="AC108" s="113">
        <f t="shared" si="24"/>
        <v>0</v>
      </c>
      <c r="AD108" s="118">
        <f t="shared" si="25"/>
        <v>0</v>
      </c>
      <c r="AE108" s="112">
        <f>AD108/AD122</f>
        <v>0</v>
      </c>
      <c r="AF108" s="388"/>
    </row>
    <row r="109" spans="2:32">
      <c r="B109" s="393"/>
      <c r="C109" s="400"/>
      <c r="D109" s="112">
        <f>C109/C122</f>
        <v>0</v>
      </c>
      <c r="E109" s="401"/>
      <c r="F109" s="112">
        <f>E109/E122</f>
        <v>0</v>
      </c>
      <c r="G109" s="402"/>
      <c r="H109" s="112">
        <f>G109/G122</f>
        <v>0</v>
      </c>
      <c r="I109" s="403"/>
      <c r="J109" s="112">
        <f>I109/I122</f>
        <v>0</v>
      </c>
      <c r="K109" s="404"/>
      <c r="L109" s="112" t="e">
        <f>K109/K122</f>
        <v>#DIV/0!</v>
      </c>
      <c r="M109" s="113">
        <f t="shared" ref="M109:M117" si="26">C109+E109+G109+I109+K109</f>
        <v>0</v>
      </c>
      <c r="N109" s="118">
        <f t="shared" si="14"/>
        <v>0</v>
      </c>
      <c r="O109" s="112">
        <f>N109/N122</f>
        <v>0</v>
      </c>
      <c r="P109" s="18"/>
      <c r="Q109" s="18"/>
      <c r="R109" s="17"/>
      <c r="S109" s="400"/>
      <c r="T109" s="112">
        <f>S109/S122</f>
        <v>0</v>
      </c>
      <c r="U109" s="405"/>
      <c r="V109" s="112">
        <f>U109/U122</f>
        <v>0</v>
      </c>
      <c r="W109" s="406"/>
      <c r="X109" s="112">
        <f>W109/W122</f>
        <v>0</v>
      </c>
      <c r="Y109" s="403"/>
      <c r="Z109" s="112">
        <f>Y109/Y122</f>
        <v>0</v>
      </c>
      <c r="AA109" s="408"/>
      <c r="AB109" s="112" t="e">
        <f>AA109/AA122</f>
        <v>#DIV/0!</v>
      </c>
      <c r="AC109" s="113">
        <f t="shared" si="24"/>
        <v>0</v>
      </c>
      <c r="AD109" s="118">
        <f t="shared" si="25"/>
        <v>0</v>
      </c>
      <c r="AE109" s="112">
        <f>AD109/AD122</f>
        <v>0</v>
      </c>
      <c r="AF109" s="388"/>
    </row>
    <row r="110" spans="2:32">
      <c r="B110" s="393" t="s">
        <v>212</v>
      </c>
      <c r="C110" s="400">
        <v>0</v>
      </c>
      <c r="D110" s="112">
        <f>C110/C122</f>
        <v>0</v>
      </c>
      <c r="E110" s="401">
        <v>0</v>
      </c>
      <c r="F110" s="112">
        <f>E110/E122</f>
        <v>0</v>
      </c>
      <c r="G110" s="402">
        <v>0</v>
      </c>
      <c r="H110" s="112">
        <f>G110/G122</f>
        <v>0</v>
      </c>
      <c r="I110" s="403">
        <v>0</v>
      </c>
      <c r="J110" s="112">
        <f>I110/I122</f>
        <v>0</v>
      </c>
      <c r="K110" s="404">
        <v>0</v>
      </c>
      <c r="L110" s="112" t="e">
        <f>K110/K122</f>
        <v>#DIV/0!</v>
      </c>
      <c r="M110" s="113">
        <f t="shared" si="26"/>
        <v>0</v>
      </c>
      <c r="N110" s="118">
        <f t="shared" si="14"/>
        <v>0</v>
      </c>
      <c r="O110" s="112">
        <f>N110/N122</f>
        <v>0</v>
      </c>
      <c r="P110" s="18"/>
      <c r="Q110" s="18"/>
      <c r="R110" s="17" t="s">
        <v>212</v>
      </c>
      <c r="S110" s="400">
        <v>0</v>
      </c>
      <c r="T110" s="112">
        <f>S110/S122</f>
        <v>0</v>
      </c>
      <c r="U110" s="405">
        <v>0</v>
      </c>
      <c r="V110" s="112">
        <f>U110/U122</f>
        <v>0</v>
      </c>
      <c r="W110" s="406">
        <v>0</v>
      </c>
      <c r="X110" s="112">
        <f>W110/W122</f>
        <v>0</v>
      </c>
      <c r="Y110" s="403">
        <v>0</v>
      </c>
      <c r="Z110" s="112">
        <f>Y110/Y122</f>
        <v>0</v>
      </c>
      <c r="AA110" s="408">
        <v>0</v>
      </c>
      <c r="AB110" s="112" t="e">
        <f>AA110/AA122</f>
        <v>#DIV/0!</v>
      </c>
      <c r="AC110" s="113">
        <f t="shared" si="24"/>
        <v>0</v>
      </c>
      <c r="AD110" s="118">
        <f t="shared" si="25"/>
        <v>0</v>
      </c>
      <c r="AE110" s="112">
        <f>AD110/AD122</f>
        <v>0</v>
      </c>
      <c r="AF110" s="388"/>
    </row>
    <row r="111" spans="2:32">
      <c r="B111" s="393"/>
      <c r="C111" s="400"/>
      <c r="D111" s="112">
        <f>C111/C122</f>
        <v>0</v>
      </c>
      <c r="E111" s="401"/>
      <c r="F111" s="112">
        <f>E111/E122</f>
        <v>0</v>
      </c>
      <c r="G111" s="402"/>
      <c r="H111" s="112">
        <f>G111/G122</f>
        <v>0</v>
      </c>
      <c r="I111" s="403"/>
      <c r="J111" s="112">
        <f>I111/I122</f>
        <v>0</v>
      </c>
      <c r="K111" s="404"/>
      <c r="L111" s="112" t="e">
        <f>K111/K122</f>
        <v>#DIV/0!</v>
      </c>
      <c r="M111" s="113">
        <f t="shared" si="26"/>
        <v>0</v>
      </c>
      <c r="N111" s="118">
        <f t="shared" si="14"/>
        <v>0</v>
      </c>
      <c r="O111" s="112">
        <f>N111/N122</f>
        <v>0</v>
      </c>
      <c r="P111" s="18"/>
      <c r="Q111" s="18"/>
      <c r="R111" s="17"/>
      <c r="S111" s="400"/>
      <c r="T111" s="112">
        <f>S111/S122</f>
        <v>0</v>
      </c>
      <c r="U111" s="405"/>
      <c r="V111" s="112">
        <f>U111/U122</f>
        <v>0</v>
      </c>
      <c r="W111" s="406"/>
      <c r="X111" s="112">
        <f>W111/W122</f>
        <v>0</v>
      </c>
      <c r="Y111" s="403"/>
      <c r="Z111" s="112">
        <f>Y111/Y122</f>
        <v>0</v>
      </c>
      <c r="AA111" s="408"/>
      <c r="AB111" s="112" t="e">
        <f>AA111/AA122</f>
        <v>#DIV/0!</v>
      </c>
      <c r="AC111" s="113">
        <f t="shared" si="24"/>
        <v>0</v>
      </c>
      <c r="AD111" s="118">
        <f t="shared" si="25"/>
        <v>0</v>
      </c>
      <c r="AE111" s="112">
        <f>AD111/AD122</f>
        <v>0</v>
      </c>
      <c r="AF111" s="388"/>
    </row>
    <row r="112" spans="2:32">
      <c r="B112" s="393" t="s">
        <v>251</v>
      </c>
      <c r="C112" s="400">
        <v>0</v>
      </c>
      <c r="D112" s="112">
        <f>C112/C122</f>
        <v>0</v>
      </c>
      <c r="E112" s="401">
        <v>0</v>
      </c>
      <c r="F112" s="112">
        <f>E112/E122</f>
        <v>0</v>
      </c>
      <c r="G112" s="402">
        <v>0</v>
      </c>
      <c r="H112" s="112">
        <f>G112/G122</f>
        <v>0</v>
      </c>
      <c r="I112" s="403">
        <v>0</v>
      </c>
      <c r="J112" s="112">
        <f>I112/I122</f>
        <v>0</v>
      </c>
      <c r="K112" s="404">
        <v>0</v>
      </c>
      <c r="L112" s="112" t="e">
        <f>K112/K122</f>
        <v>#DIV/0!</v>
      </c>
      <c r="M112" s="113">
        <f t="shared" si="26"/>
        <v>0</v>
      </c>
      <c r="N112" s="118">
        <f t="shared" si="14"/>
        <v>0</v>
      </c>
      <c r="O112" s="112">
        <f>N112/N122</f>
        <v>0</v>
      </c>
      <c r="P112" s="18"/>
      <c r="Q112" s="18"/>
      <c r="R112" s="17" t="s">
        <v>227</v>
      </c>
      <c r="S112" s="400">
        <v>0</v>
      </c>
      <c r="T112" s="112">
        <f>S112/S122</f>
        <v>0</v>
      </c>
      <c r="U112" s="405">
        <v>0</v>
      </c>
      <c r="V112" s="112">
        <f>U112/U122</f>
        <v>0</v>
      </c>
      <c r="W112" s="406">
        <v>0</v>
      </c>
      <c r="X112" s="112">
        <f>W112/W122</f>
        <v>0</v>
      </c>
      <c r="Y112" s="403">
        <v>0</v>
      </c>
      <c r="Z112" s="112">
        <f>Y112/Y122</f>
        <v>0</v>
      </c>
      <c r="AA112" s="408">
        <v>0</v>
      </c>
      <c r="AB112" s="112" t="e">
        <f>AA112/AA122</f>
        <v>#DIV/0!</v>
      </c>
      <c r="AC112" s="113">
        <f t="shared" si="24"/>
        <v>0</v>
      </c>
      <c r="AD112" s="118">
        <f t="shared" si="25"/>
        <v>0</v>
      </c>
      <c r="AE112" s="112">
        <f>AD112/AD122</f>
        <v>0</v>
      </c>
      <c r="AF112" s="388"/>
    </row>
    <row r="113" spans="2:32">
      <c r="B113" s="393"/>
      <c r="C113" s="400"/>
      <c r="D113" s="112">
        <f>C113/C122</f>
        <v>0</v>
      </c>
      <c r="E113" s="401"/>
      <c r="F113" s="112">
        <f>E113/E122</f>
        <v>0</v>
      </c>
      <c r="G113" s="402"/>
      <c r="H113" s="112">
        <f>G113/G122</f>
        <v>0</v>
      </c>
      <c r="I113" s="403"/>
      <c r="J113" s="112">
        <f>I113/I122</f>
        <v>0</v>
      </c>
      <c r="K113" s="404"/>
      <c r="L113" s="112" t="e">
        <f>K113/K122</f>
        <v>#DIV/0!</v>
      </c>
      <c r="M113" s="113">
        <f t="shared" si="26"/>
        <v>0</v>
      </c>
      <c r="N113" s="118">
        <f t="shared" si="14"/>
        <v>0</v>
      </c>
      <c r="O113" s="112">
        <f>N113/N122</f>
        <v>0</v>
      </c>
      <c r="P113" s="18"/>
      <c r="Q113" s="18"/>
      <c r="R113" s="17"/>
      <c r="S113" s="400"/>
      <c r="T113" s="112">
        <f>S113/S122</f>
        <v>0</v>
      </c>
      <c r="U113" s="405"/>
      <c r="V113" s="112">
        <f>U113/U122</f>
        <v>0</v>
      </c>
      <c r="W113" s="406"/>
      <c r="X113" s="112">
        <f>W113/W122</f>
        <v>0</v>
      </c>
      <c r="Y113" s="403"/>
      <c r="Z113" s="112">
        <f>Y113/Y122</f>
        <v>0</v>
      </c>
      <c r="AA113" s="408"/>
      <c r="AB113" s="112" t="e">
        <f>AA113/AA122</f>
        <v>#DIV/0!</v>
      </c>
      <c r="AC113" s="113">
        <f t="shared" si="24"/>
        <v>0</v>
      </c>
      <c r="AD113" s="118">
        <f t="shared" si="25"/>
        <v>0</v>
      </c>
      <c r="AE113" s="112">
        <f>AD113/AD122</f>
        <v>0</v>
      </c>
      <c r="AF113" s="388"/>
    </row>
    <row r="114" spans="2:32">
      <c r="B114" s="393" t="s">
        <v>231</v>
      </c>
      <c r="C114" s="400">
        <v>0</v>
      </c>
      <c r="D114" s="112">
        <f>C114/C122</f>
        <v>0</v>
      </c>
      <c r="E114" s="401">
        <v>0</v>
      </c>
      <c r="F114" s="112">
        <f>E114/E122</f>
        <v>0</v>
      </c>
      <c r="G114" s="402">
        <v>0</v>
      </c>
      <c r="H114" s="112">
        <f>G114/G122</f>
        <v>0</v>
      </c>
      <c r="I114" s="403">
        <v>0</v>
      </c>
      <c r="J114" s="112">
        <f>I114/I122</f>
        <v>0</v>
      </c>
      <c r="K114" s="404">
        <v>0</v>
      </c>
      <c r="L114" s="112" t="e">
        <f>K114/K122</f>
        <v>#DIV/0!</v>
      </c>
      <c r="M114" s="113">
        <f t="shared" si="26"/>
        <v>0</v>
      </c>
      <c r="N114" s="118">
        <f t="shared" si="14"/>
        <v>0</v>
      </c>
      <c r="O114" s="112">
        <f>N114/N122</f>
        <v>0</v>
      </c>
      <c r="P114" s="18"/>
      <c r="Q114" s="18"/>
      <c r="R114" s="17" t="s">
        <v>231</v>
      </c>
      <c r="S114" s="400">
        <v>0</v>
      </c>
      <c r="T114" s="112">
        <f>S114/S122</f>
        <v>0</v>
      </c>
      <c r="U114" s="405">
        <v>0</v>
      </c>
      <c r="V114" s="112">
        <f>U114/U122</f>
        <v>0</v>
      </c>
      <c r="W114" s="406">
        <v>0</v>
      </c>
      <c r="X114" s="112">
        <f>W114/W122</f>
        <v>0</v>
      </c>
      <c r="Y114" s="403">
        <v>0</v>
      </c>
      <c r="Z114" s="112">
        <f>Y114/Y122</f>
        <v>0</v>
      </c>
      <c r="AA114" s="408">
        <v>0</v>
      </c>
      <c r="AB114" s="112" t="e">
        <f>AA114/AA122</f>
        <v>#DIV/0!</v>
      </c>
      <c r="AC114" s="113">
        <f t="shared" si="24"/>
        <v>0</v>
      </c>
      <c r="AD114" s="118">
        <f t="shared" si="25"/>
        <v>0</v>
      </c>
      <c r="AE114" s="112">
        <f>AD114/AD122</f>
        <v>0</v>
      </c>
      <c r="AF114" s="388"/>
    </row>
    <row r="115" spans="2:32">
      <c r="B115" s="393"/>
      <c r="C115" s="400"/>
      <c r="D115" s="112">
        <f>C115/C122</f>
        <v>0</v>
      </c>
      <c r="E115" s="401"/>
      <c r="F115" s="112">
        <f>E115/E122</f>
        <v>0</v>
      </c>
      <c r="G115" s="402"/>
      <c r="H115" s="112">
        <f>G115/G122</f>
        <v>0</v>
      </c>
      <c r="I115" s="403"/>
      <c r="J115" s="112">
        <f>I115/I122</f>
        <v>0</v>
      </c>
      <c r="K115" s="404"/>
      <c r="L115" s="112" t="e">
        <f>K115/K122</f>
        <v>#DIV/0!</v>
      </c>
      <c r="M115" s="113">
        <f t="shared" si="26"/>
        <v>0</v>
      </c>
      <c r="N115" s="118">
        <f t="shared" si="14"/>
        <v>0</v>
      </c>
      <c r="O115" s="112">
        <f>N115/N122</f>
        <v>0</v>
      </c>
      <c r="P115" s="18"/>
      <c r="Q115" s="18"/>
      <c r="R115" s="17"/>
      <c r="S115" s="400"/>
      <c r="T115" s="112">
        <f>S115/S122</f>
        <v>0</v>
      </c>
      <c r="U115" s="405"/>
      <c r="V115" s="112">
        <f>U115/U122</f>
        <v>0</v>
      </c>
      <c r="W115" s="406"/>
      <c r="X115" s="112">
        <f>W115/W122</f>
        <v>0</v>
      </c>
      <c r="Y115" s="403"/>
      <c r="Z115" s="112">
        <f>Y115/Y122</f>
        <v>0</v>
      </c>
      <c r="AA115" s="408"/>
      <c r="AB115" s="112" t="e">
        <f>AA115/AA122</f>
        <v>#DIV/0!</v>
      </c>
      <c r="AC115" s="113">
        <f t="shared" si="24"/>
        <v>0</v>
      </c>
      <c r="AD115" s="197">
        <f t="shared" si="25"/>
        <v>0</v>
      </c>
      <c r="AE115" s="112">
        <f>AD115/AD122</f>
        <v>0</v>
      </c>
      <c r="AF115" s="388"/>
    </row>
    <row r="116" spans="2:32">
      <c r="B116" s="393" t="s">
        <v>235</v>
      </c>
      <c r="C116" s="400">
        <v>0</v>
      </c>
      <c r="D116" s="112">
        <f>C116/C122</f>
        <v>0</v>
      </c>
      <c r="E116" s="401">
        <v>0</v>
      </c>
      <c r="F116" s="112">
        <f>E116/E122</f>
        <v>0</v>
      </c>
      <c r="G116" s="402">
        <v>0</v>
      </c>
      <c r="H116" s="112">
        <f>G116/G122</f>
        <v>0</v>
      </c>
      <c r="I116" s="403">
        <v>0</v>
      </c>
      <c r="J116" s="112">
        <f>I116/I122</f>
        <v>0</v>
      </c>
      <c r="K116" s="404">
        <v>0</v>
      </c>
      <c r="L116" s="112" t="e">
        <f>K116/K122</f>
        <v>#DIV/0!</v>
      </c>
      <c r="M116" s="113">
        <f t="shared" si="26"/>
        <v>0</v>
      </c>
      <c r="N116" s="118">
        <f t="shared" si="14"/>
        <v>0</v>
      </c>
      <c r="O116" s="112">
        <f>N116/N122</f>
        <v>0</v>
      </c>
      <c r="P116" s="18"/>
      <c r="Q116" s="18"/>
      <c r="R116" s="17" t="s">
        <v>235</v>
      </c>
      <c r="S116" s="400">
        <v>0</v>
      </c>
      <c r="T116" s="112">
        <f>S116/S122</f>
        <v>0</v>
      </c>
      <c r="U116" s="405">
        <v>0</v>
      </c>
      <c r="V116" s="112">
        <f>U116/U122</f>
        <v>0</v>
      </c>
      <c r="W116" s="406">
        <v>0</v>
      </c>
      <c r="X116" s="112">
        <f>W116/W122</f>
        <v>0</v>
      </c>
      <c r="Y116" s="403">
        <v>0</v>
      </c>
      <c r="Z116" s="112">
        <f>Y116/Y122</f>
        <v>0</v>
      </c>
      <c r="AA116" s="408">
        <v>0</v>
      </c>
      <c r="AB116" s="112" t="e">
        <f>AA116/AA122</f>
        <v>#DIV/0!</v>
      </c>
      <c r="AC116" s="113">
        <f t="shared" si="24"/>
        <v>0</v>
      </c>
      <c r="AD116" s="197">
        <f t="shared" si="25"/>
        <v>0</v>
      </c>
      <c r="AE116" s="112">
        <f>AD116/AD122</f>
        <v>0</v>
      </c>
      <c r="AF116" s="388"/>
    </row>
    <row r="117" spans="2:32">
      <c r="B117" s="393"/>
      <c r="C117" s="400"/>
      <c r="D117" s="112">
        <f>C117/C122</f>
        <v>0</v>
      </c>
      <c r="E117" s="401"/>
      <c r="F117" s="112">
        <f>E117/E122</f>
        <v>0</v>
      </c>
      <c r="G117" s="402"/>
      <c r="H117" s="112">
        <f>G117/G122</f>
        <v>0</v>
      </c>
      <c r="I117" s="403"/>
      <c r="J117" s="112">
        <f>I117/I122</f>
        <v>0</v>
      </c>
      <c r="K117" s="404"/>
      <c r="L117" s="112" t="e">
        <f>K117/K122</f>
        <v>#DIV/0!</v>
      </c>
      <c r="M117" s="113">
        <f t="shared" si="26"/>
        <v>0</v>
      </c>
      <c r="N117" s="118">
        <f t="shared" si="14"/>
        <v>0</v>
      </c>
      <c r="O117" s="112">
        <f>N117/N122</f>
        <v>0</v>
      </c>
      <c r="P117" s="18"/>
      <c r="Q117" s="18"/>
      <c r="R117" s="17"/>
      <c r="S117" s="400"/>
      <c r="T117" s="112">
        <f>S117/S122</f>
        <v>0</v>
      </c>
      <c r="U117" s="405"/>
      <c r="V117" s="112">
        <f>U117/U122</f>
        <v>0</v>
      </c>
      <c r="W117" s="406"/>
      <c r="X117" s="112">
        <f>W117/W122</f>
        <v>0</v>
      </c>
      <c r="Y117" s="403"/>
      <c r="Z117" s="112">
        <f>Y117/Y122</f>
        <v>0</v>
      </c>
      <c r="AA117" s="408"/>
      <c r="AB117" s="112" t="e">
        <f>AA117/AA122</f>
        <v>#DIV/0!</v>
      </c>
      <c r="AC117" s="113">
        <f t="shared" si="24"/>
        <v>0</v>
      </c>
      <c r="AD117" s="197">
        <f t="shared" si="25"/>
        <v>0</v>
      </c>
      <c r="AE117" s="112">
        <f>AD117/AD122</f>
        <v>0</v>
      </c>
      <c r="AF117" s="388"/>
    </row>
    <row r="118" spans="2:32">
      <c r="B118" s="393" t="s">
        <v>247</v>
      </c>
      <c r="C118" s="400">
        <v>0</v>
      </c>
      <c r="D118" s="112">
        <f>C118/C122</f>
        <v>0</v>
      </c>
      <c r="E118" s="401">
        <v>0</v>
      </c>
      <c r="F118" s="112">
        <f>E118/E122</f>
        <v>0</v>
      </c>
      <c r="G118" s="402">
        <v>0</v>
      </c>
      <c r="H118" s="112">
        <f>G118/G122</f>
        <v>0</v>
      </c>
      <c r="I118" s="403">
        <v>0</v>
      </c>
      <c r="J118" s="112">
        <f>I118/I122</f>
        <v>0</v>
      </c>
      <c r="K118" s="404">
        <v>0</v>
      </c>
      <c r="L118" s="112" t="e">
        <f>K118/K122</f>
        <v>#DIV/0!</v>
      </c>
      <c r="M118" s="113">
        <f>C118+E118+G118+I118+K118</f>
        <v>0</v>
      </c>
      <c r="N118" s="118">
        <f t="shared" si="14"/>
        <v>0</v>
      </c>
      <c r="O118" s="112">
        <f>N118/N122</f>
        <v>0</v>
      </c>
      <c r="P118" s="18"/>
      <c r="Q118" s="18"/>
      <c r="R118" s="17" t="s">
        <v>247</v>
      </c>
      <c r="S118" s="400">
        <v>0</v>
      </c>
      <c r="T118" s="112">
        <f>S118/S122</f>
        <v>0</v>
      </c>
      <c r="U118" s="405">
        <v>0</v>
      </c>
      <c r="V118" s="112">
        <f>U118/U122</f>
        <v>0</v>
      </c>
      <c r="W118" s="406">
        <v>0</v>
      </c>
      <c r="X118" s="112">
        <f>W118/W122</f>
        <v>0</v>
      </c>
      <c r="Y118" s="403">
        <v>0</v>
      </c>
      <c r="Z118" s="112">
        <f>Y118/Y122</f>
        <v>0</v>
      </c>
      <c r="AA118" s="408">
        <v>0</v>
      </c>
      <c r="AB118" s="112" t="e">
        <f>AA118/AA122</f>
        <v>#DIV/0!</v>
      </c>
      <c r="AC118" s="113">
        <f t="shared" si="24"/>
        <v>0</v>
      </c>
      <c r="AD118" s="197">
        <f t="shared" si="25"/>
        <v>0</v>
      </c>
      <c r="AE118" s="112">
        <f>AD118/AD122</f>
        <v>0</v>
      </c>
      <c r="AF118" s="388"/>
    </row>
    <row r="119" spans="2:32" ht="14.25" thickBot="1">
      <c r="B119" s="390" t="s">
        <v>243</v>
      </c>
      <c r="C119" s="110">
        <f t="shared" ref="C119:M119" si="27">SUM(C32:C118)</f>
        <v>141</v>
      </c>
      <c r="D119" s="371">
        <f t="shared" si="27"/>
        <v>1</v>
      </c>
      <c r="E119" s="110">
        <f t="shared" si="27"/>
        <v>5</v>
      </c>
      <c r="F119" s="371">
        <f t="shared" si="27"/>
        <v>1</v>
      </c>
      <c r="G119" s="110">
        <f t="shared" si="27"/>
        <v>4</v>
      </c>
      <c r="H119" s="371">
        <f t="shared" si="27"/>
        <v>1</v>
      </c>
      <c r="I119" s="110">
        <f t="shared" si="27"/>
        <v>8</v>
      </c>
      <c r="J119" s="371">
        <f t="shared" si="27"/>
        <v>1</v>
      </c>
      <c r="K119" s="110">
        <f t="shared" si="27"/>
        <v>0</v>
      </c>
      <c r="L119" s="371" t="e">
        <f t="shared" si="27"/>
        <v>#DIV/0!</v>
      </c>
      <c r="M119" s="113">
        <f t="shared" si="27"/>
        <v>158</v>
      </c>
      <c r="N119" s="120"/>
      <c r="O119" s="373"/>
      <c r="P119" s="18"/>
      <c r="Q119" s="18"/>
      <c r="R119" s="332" t="s">
        <v>243</v>
      </c>
      <c r="S119" s="110">
        <f t="shared" ref="S119:AC119" si="28">SUM(S32:S118)</f>
        <v>198</v>
      </c>
      <c r="T119" s="371">
        <f t="shared" si="28"/>
        <v>1</v>
      </c>
      <c r="U119" s="110">
        <f t="shared" si="28"/>
        <v>7</v>
      </c>
      <c r="V119" s="371">
        <f t="shared" si="28"/>
        <v>1</v>
      </c>
      <c r="W119" s="110">
        <f t="shared" si="28"/>
        <v>4</v>
      </c>
      <c r="X119" s="371">
        <f t="shared" si="28"/>
        <v>1</v>
      </c>
      <c r="Y119" s="110">
        <f t="shared" si="28"/>
        <v>10</v>
      </c>
      <c r="Z119" s="371">
        <f t="shared" si="28"/>
        <v>1</v>
      </c>
      <c r="AA119" s="110">
        <f t="shared" si="28"/>
        <v>0</v>
      </c>
      <c r="AB119" s="372" t="e">
        <f t="shared" si="28"/>
        <v>#DIV/0!</v>
      </c>
      <c r="AC119" s="113">
        <f t="shared" si="28"/>
        <v>219</v>
      </c>
      <c r="AD119" s="120"/>
      <c r="AE119" s="373"/>
      <c r="AF119" s="388"/>
    </row>
    <row r="120" spans="2:32">
      <c r="B120" s="391" t="s">
        <v>244</v>
      </c>
      <c r="C120" s="334">
        <v>141</v>
      </c>
      <c r="D120" s="334"/>
      <c r="E120" s="334">
        <v>5</v>
      </c>
      <c r="F120" s="334"/>
      <c r="G120" s="334">
        <v>4</v>
      </c>
      <c r="H120" s="334"/>
      <c r="I120" s="334">
        <v>8</v>
      </c>
      <c r="J120" s="334"/>
      <c r="K120" s="334">
        <v>0</v>
      </c>
      <c r="L120" s="334"/>
      <c r="M120" s="360">
        <f xml:space="preserve"> (C120+E120+G120+I120+K120)</f>
        <v>158</v>
      </c>
      <c r="N120" s="334"/>
      <c r="O120" s="334"/>
      <c r="P120" s="337"/>
      <c r="Q120" s="337"/>
      <c r="R120" s="335" t="s">
        <v>244</v>
      </c>
      <c r="S120" s="334">
        <v>198</v>
      </c>
      <c r="T120" s="334"/>
      <c r="U120" s="336">
        <v>7</v>
      </c>
      <c r="V120" s="334"/>
      <c r="W120" s="336">
        <v>4</v>
      </c>
      <c r="X120" s="334"/>
      <c r="Y120" s="336">
        <v>10</v>
      </c>
      <c r="Z120" s="334"/>
      <c r="AA120" s="336">
        <v>0</v>
      </c>
      <c r="AB120" s="334"/>
      <c r="AC120" s="360">
        <f xml:space="preserve"> (S120+U120+W120+Y120+AA120)</f>
        <v>219</v>
      </c>
      <c r="AD120" s="16"/>
      <c r="AE120" s="16"/>
      <c r="AF120" s="388"/>
    </row>
    <row r="121" spans="2:32">
      <c r="B121" s="395"/>
      <c r="C121" s="110" t="s">
        <v>52</v>
      </c>
      <c r="D121" s="111"/>
      <c r="E121" s="107" t="s">
        <v>51</v>
      </c>
      <c r="F121" s="111"/>
      <c r="G121" s="106" t="s">
        <v>50</v>
      </c>
      <c r="H121" s="111"/>
      <c r="I121" s="108" t="s">
        <v>49</v>
      </c>
      <c r="J121" s="111"/>
      <c r="K121" s="109" t="s">
        <v>69</v>
      </c>
      <c r="L121" s="111"/>
      <c r="M121" s="337" t="s">
        <v>246</v>
      </c>
      <c r="N121" s="337" t="s">
        <v>283</v>
      </c>
      <c r="O121" s="337"/>
      <c r="P121" s="337"/>
      <c r="Q121" s="337"/>
      <c r="R121" s="338"/>
      <c r="S121" s="110" t="s">
        <v>52</v>
      </c>
      <c r="T121" s="111"/>
      <c r="U121" s="107" t="s">
        <v>51</v>
      </c>
      <c r="V121" s="111"/>
      <c r="W121" s="106" t="s">
        <v>50</v>
      </c>
      <c r="X121" s="111"/>
      <c r="Y121" s="108" t="s">
        <v>49</v>
      </c>
      <c r="Z121" s="111"/>
      <c r="AA121" s="109" t="s">
        <v>69</v>
      </c>
      <c r="AB121" s="111"/>
      <c r="AC121" s="337" t="s">
        <v>246</v>
      </c>
      <c r="AD121" s="337" t="s">
        <v>284</v>
      </c>
      <c r="AE121" s="18"/>
      <c r="AF121" s="388"/>
    </row>
    <row r="122" spans="2:32">
      <c r="B122" s="390" t="s">
        <v>245</v>
      </c>
      <c r="C122" s="110">
        <f>C27+C119</f>
        <v>143</v>
      </c>
      <c r="D122" s="110"/>
      <c r="E122" s="110">
        <f>E27+E119</f>
        <v>5</v>
      </c>
      <c r="F122" s="110"/>
      <c r="G122" s="110">
        <f>G27+G119</f>
        <v>4</v>
      </c>
      <c r="H122" s="110"/>
      <c r="I122" s="110">
        <f>I27+I119</f>
        <v>8</v>
      </c>
      <c r="J122" s="110"/>
      <c r="K122" s="110">
        <f>K27+K119</f>
        <v>0</v>
      </c>
      <c r="L122" s="110">
        <f>SUM(C122:K122)</f>
        <v>160</v>
      </c>
      <c r="M122" s="339">
        <f>M27+M119</f>
        <v>160</v>
      </c>
      <c r="N122" s="339">
        <f>SUM(N32:N120)</f>
        <v>160</v>
      </c>
      <c r="O122" s="16"/>
      <c r="P122" s="18"/>
      <c r="Q122" s="18"/>
      <c r="R122" s="332" t="s">
        <v>245</v>
      </c>
      <c r="S122" s="110">
        <f>S27+S119</f>
        <v>198</v>
      </c>
      <c r="T122" s="110"/>
      <c r="U122" s="376">
        <f>U27+U119</f>
        <v>7</v>
      </c>
      <c r="V122" s="110"/>
      <c r="W122" s="376">
        <f>W27+W119</f>
        <v>4</v>
      </c>
      <c r="X122" s="110"/>
      <c r="Y122" s="376">
        <f>Y27+Y119</f>
        <v>10</v>
      </c>
      <c r="Z122" s="110"/>
      <c r="AA122" s="376">
        <f>AA27+AA119</f>
        <v>0</v>
      </c>
      <c r="AB122" s="110">
        <f>SUM(S122:AA122)</f>
        <v>219</v>
      </c>
      <c r="AC122" s="339">
        <f>AC27+AC119</f>
        <v>219</v>
      </c>
      <c r="AD122" s="339">
        <f>SUM(AD32:AD120)</f>
        <v>219</v>
      </c>
      <c r="AE122" s="16"/>
      <c r="AF122" s="388"/>
    </row>
    <row r="123" spans="2:32" ht="14.25" thickBot="1">
      <c r="B123" s="396"/>
      <c r="C123" s="397"/>
      <c r="D123" s="397"/>
      <c r="E123" s="397"/>
      <c r="F123" s="397"/>
      <c r="G123" s="397"/>
      <c r="H123" s="397"/>
      <c r="I123" s="397"/>
      <c r="J123" s="397"/>
      <c r="K123" s="397"/>
      <c r="L123" s="397"/>
      <c r="M123" s="397"/>
      <c r="N123" s="397"/>
      <c r="O123" s="397"/>
      <c r="P123" s="397"/>
      <c r="Q123" s="397"/>
      <c r="R123" s="397"/>
      <c r="S123" s="397"/>
      <c r="T123" s="397"/>
      <c r="U123" s="398"/>
      <c r="V123" s="397"/>
      <c r="W123" s="398"/>
      <c r="X123" s="397"/>
      <c r="Y123" s="398"/>
      <c r="Z123" s="397"/>
      <c r="AA123" s="398"/>
      <c r="AB123" s="397"/>
      <c r="AC123" s="397"/>
      <c r="AD123" s="397"/>
      <c r="AE123" s="397"/>
      <c r="AF123" s="399"/>
    </row>
  </sheetData>
  <phoneticPr fontId="28"/>
  <pageMargins left="0.7" right="0.7" top="0.75" bottom="0.75" header="0.3" footer="0.3"/>
  <pageSetup paperSize="9" scale="47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828675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A6" sqref="A6"/>
    </sheetView>
  </sheetViews>
  <sheetFormatPr defaultRowHeight="13.5"/>
  <cols>
    <col min="1" max="1" width="14" customWidth="1"/>
  </cols>
  <sheetData>
    <row r="1" spans="1:3">
      <c r="A1" t="s">
        <v>259</v>
      </c>
      <c r="C1" t="s">
        <v>260</v>
      </c>
    </row>
    <row r="2" spans="1:3">
      <c r="A2" s="370">
        <v>43800</v>
      </c>
      <c r="C2" t="s">
        <v>278</v>
      </c>
    </row>
    <row r="3" spans="1:3">
      <c r="A3" s="370">
        <v>43831</v>
      </c>
    </row>
    <row r="4" spans="1:3">
      <c r="A4" s="370">
        <v>43862</v>
      </c>
    </row>
    <row r="5" spans="1:3">
      <c r="A5" s="370">
        <v>43891</v>
      </c>
    </row>
    <row r="6" spans="1:3">
      <c r="A6" s="370">
        <v>43922</v>
      </c>
    </row>
    <row r="7" spans="1:3">
      <c r="A7" s="370">
        <v>43952</v>
      </c>
    </row>
    <row r="8" spans="1:3">
      <c r="A8" s="370">
        <v>43983</v>
      </c>
    </row>
  </sheetData>
  <phoneticPr fontId="2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L36" sqref="L36"/>
    </sheetView>
  </sheetViews>
  <sheetFormatPr defaultRowHeight="13.5"/>
  <sheetData>
    <row r="1" spans="1:1">
      <c r="A1" t="s">
        <v>288</v>
      </c>
    </row>
  </sheetData>
  <phoneticPr fontId="2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対前年実績・増加率</vt:lpstr>
      <vt:lpstr>効果測定2012年度-2016年度月別比較</vt:lpstr>
      <vt:lpstr>外国語実績201201-201712</vt:lpstr>
      <vt:lpstr>集計用</vt:lpstr>
      <vt:lpstr>取込済</vt:lpstr>
      <vt:lpstr>未設定</vt:lpstr>
      <vt:lpstr>'外国語実績201201-201712'!Print_Area</vt:lpstr>
      <vt:lpstr>'効果測定2012年度-2016年度月別比較'!Print_Area</vt:lpstr>
      <vt:lpstr>対前年実績・増加率!Print_Area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2020-07-17T01:36:27Z</dcterms:modified>
</cp:coreProperties>
</file>